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Maurizio\Desktop\calcolatore__solare\"/>
    </mc:Choice>
  </mc:AlternateContent>
  <xr:revisionPtr revIDLastSave="0" documentId="13_ncr:1_{39899BDC-5C40-4755-956E-FF1E33D4D5EB}" xr6:coauthVersionLast="47" xr6:coauthVersionMax="47" xr10:uidLastSave="{00000000-0000-0000-0000-000000000000}"/>
  <bookViews>
    <workbookView xWindow="-120" yWindow="-120" windowWidth="20640" windowHeight="11760" tabRatio="845" firstSheet="13" activeTab="13" xr2:uid="{00000000-000D-0000-FFFF-FFFF00000000}"/>
  </bookViews>
  <sheets>
    <sheet name="INSER. DATI" sheetId="1" state="hidden" r:id="rId1"/>
    <sheet name="DATI" sheetId="2" state="hidden" r:id="rId2"/>
    <sheet name="STAMPA" sheetId="3" state="hidden" r:id="rId3"/>
    <sheet name="X OK" sheetId="4" state="hidden" r:id="rId4"/>
    <sheet name="x inserimento dati fissi" sheetId="5" state="hidden" r:id="rId5"/>
    <sheet name="X CODICI PORTATE" sheetId="6" state="hidden" r:id="rId6"/>
    <sheet name="CARATTERISTICHE" sheetId="7" state="hidden" r:id="rId7"/>
    <sheet name="Foglio1" sheetId="8" state="hidden" r:id="rId8"/>
    <sheet name="IA" sheetId="9" state="hidden" r:id="rId9"/>
    <sheet name="radiazione" sheetId="10" state="hidden" r:id="rId10"/>
    <sheet name="porti ITA" sheetId="11" state="hidden" r:id="rId11"/>
    <sheet name="note" sheetId="12" state="hidden" r:id="rId12"/>
    <sheet name="ore di buio" sheetId="13" state="hidden" r:id="rId13"/>
    <sheet name="X STAM  PDF" sheetId="14" r:id="rId14"/>
    <sheet name="STAMPA OK POINT" sheetId="15" state="hidden" r:id="rId15"/>
    <sheet name="gen" sheetId="16" state="hidden" r:id="rId16"/>
    <sheet name="feb" sheetId="17" state="hidden" r:id="rId17"/>
    <sheet name="mar" sheetId="18" state="hidden" r:id="rId18"/>
    <sheet name="apr" sheetId="19" state="hidden" r:id="rId19"/>
    <sheet name="mag" sheetId="20" state="hidden" r:id="rId20"/>
    <sheet name="giu" sheetId="21" state="hidden" r:id="rId21"/>
    <sheet name="lug" sheetId="22" state="hidden" r:id="rId22"/>
    <sheet name="ago" sheetId="23" state="hidden" r:id="rId23"/>
    <sheet name="set" sheetId="24" state="hidden" r:id="rId24"/>
    <sheet name="ott" sheetId="25" state="hidden" r:id="rId25"/>
    <sheet name="nov" sheetId="26" state="hidden" r:id="rId26"/>
    <sheet name="dic" sheetId="27" state="hidden" r:id="rId27"/>
  </sheets>
  <definedNames>
    <definedName name="_xlnm._FilterDatabase" localSheetId="6" hidden="1">CARATTERISTICHE!$B$4:$K$261</definedName>
    <definedName name="_xlnm._FilterDatabase" localSheetId="9" hidden="1">radiazione!$A$11:$FX$11</definedName>
    <definedName name="_xleta.IF" hidden="1" xlm="1">#NAME?</definedName>
    <definedName name="_xleta.LOOKUP" hidden="1" xlm="1">#NAME?</definedName>
    <definedName name="_xleta.NOMINAL" hidden="1" xlm="1">#NAME?</definedName>
    <definedName name="_xleta.NOT" hidden="1" xlm="1">#NAME?</definedName>
    <definedName name="_xleta.OR" hidden="1" xlm="1">#NAME?</definedName>
    <definedName name="_xleta.TYPE" hidden="1" xlm="1">#NAME?</definedName>
    <definedName name="_xlnm.Print_Area" localSheetId="7">Foglio1!$B$1:$O$42</definedName>
    <definedName name="_xlnm.Print_Area" localSheetId="2">STAMPA!$A$1:$J$81</definedName>
    <definedName name="_xlnm.Print_Area" localSheetId="14">'STAMPA OK POINT'!$A$2:$K$91</definedName>
    <definedName name="_xlnm.Print_Area" localSheetId="5">'X CODICI PORTATE'!$C$22:$Q$95</definedName>
    <definedName name="_xlnm.Print_Area" localSheetId="13">'X STAM  PDF'!$A$2:$K$91</definedName>
    <definedName name="CL_101" localSheetId="1">DATI!$J$30:$J$33</definedName>
    <definedName name="CL_101">'INSER. DATI'!#REF!</definedName>
    <definedName name="CL_201" localSheetId="1">DATI!$K$30:$K$33</definedName>
    <definedName name="CL_201">'INSER. DATI'!#REF!</definedName>
    <definedName name="CL_299" localSheetId="1">DATI!$C$30:$C$33</definedName>
    <definedName name="CL_299">'INSER. DATI'!#REF!</definedName>
    <definedName name="CL_299__H" localSheetId="1">DATI!$G$30:$G$33</definedName>
    <definedName name="CL_299__H">'INSER. DATI'!#REF!</definedName>
    <definedName name="CL_301" localSheetId="1">DATI!$E$30:$E$33</definedName>
    <definedName name="CL_301">'INSER. DATI'!#REF!</definedName>
    <definedName name="CL_301_H" localSheetId="1">DATI!$H$30:$H$33</definedName>
    <definedName name="CL_301_H">'INSER. DATI'!#REF!</definedName>
    <definedName name="CL_350" localSheetId="1">DATI!$L$30:$L$33</definedName>
    <definedName name="CL_350">'INSER. DATI'!#REF!</definedName>
    <definedName name="CL_401" localSheetId="1">DATI!$F$30:$F$33</definedName>
    <definedName name="CL_401">'INSER. DATI'!#REF!</definedName>
    <definedName name="CL_401_H" localSheetId="1">DATI!$I$30:$I$33</definedName>
    <definedName name="CL_401_H">'INSER. DATI'!#REF!</definedName>
    <definedName name="CL_450" localSheetId="1">DATI!$M$30:$M$33</definedName>
    <definedName name="CL_450">'INSER. DATI'!#REF!</definedName>
    <definedName name="COLORE">'x inserimento dati fissi'!$Z$3:$Z$12</definedName>
    <definedName name="CON.S.BY" localSheetId="2">STAMPA!#REF!</definedName>
    <definedName name="CON.S.BY" localSheetId="14">'STAMPA OK POINT'!#REF!</definedName>
    <definedName name="CON.S.BY" localSheetId="13">'X STAM  PDF'!#REF!</definedName>
    <definedName name="CONS.ECL" localSheetId="2">STAMPA!#REF!</definedName>
    <definedName name="CONS.ECL" localSheetId="14">'STAMPA OK POINT'!#REF!</definedName>
    <definedName name="CONS.ECL" localSheetId="13">'X STAM  PDF'!#REF!</definedName>
    <definedName name="CONS.ON" localSheetId="2">STAMPA!#REF!</definedName>
    <definedName name="CONS.ON" localSheetId="14">'STAMPA OK POINT'!#REF!</definedName>
    <definedName name="CONS.ON" localSheetId="13">'X STAM  PDF'!#REF!</definedName>
    <definedName name="ECLIS" localSheetId="2">STAMPA!#REF!</definedName>
    <definedName name="ECLIS" localSheetId="14">'STAMPA OK POINT'!#REF!</definedName>
    <definedName name="ECLIS" localSheetId="13">'X STAM  PDF'!#REF!</definedName>
    <definedName name="località">#REF!</definedName>
    <definedName name="Localita1">radiazione!$A$12:$A$106</definedName>
    <definedName name="ON" localSheetId="2">STAMPA!#REF!</definedName>
    <definedName name="ON" localSheetId="14">'STAMPA OK POINT'!#REF!</definedName>
    <definedName name="ON" localSheetId="13">'X STAM  PDF'!#REF!</definedName>
    <definedName name="PERIODO" localSheetId="2">STAMPA!#REF!</definedName>
    <definedName name="PERIODO" localSheetId="14">'STAMPA OK POINT'!#REF!</definedName>
    <definedName name="PERIODO" localSheetId="13">'X STAM  PDF'!#REF!</definedName>
    <definedName name="portate">'x inserimento dati fissi'!$AA$6:$AA$16</definedName>
    <definedName name="V.LAMP" localSheetId="2">STAMPA!$O$24</definedName>
    <definedName name="V.LAMP" localSheetId="14">'STAMPA OK POINT'!$P$24</definedName>
    <definedName name="V.LAMP" localSheetId="13">'X STAM  PDF'!$P$24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5" i="14" l="1"/>
  <c r="AB4" i="14"/>
  <c r="AB5" i="14"/>
  <c r="J21" i="27"/>
  <c r="J19" i="27"/>
  <c r="L19" i="27" s="1"/>
  <c r="M19" i="27" s="1"/>
  <c r="G18" i="27"/>
  <c r="F18" i="27"/>
  <c r="F23" i="27" s="1"/>
  <c r="D14" i="27"/>
  <c r="C14" i="27"/>
  <c r="J21" i="26"/>
  <c r="L19" i="26"/>
  <c r="J19" i="26"/>
  <c r="G18" i="26"/>
  <c r="F18" i="26"/>
  <c r="D14" i="26"/>
  <c r="C14" i="26"/>
  <c r="E14" i="26" s="1"/>
  <c r="L21" i="25"/>
  <c r="M21" i="25" s="1"/>
  <c r="J21" i="25"/>
  <c r="J19" i="25"/>
  <c r="L19" i="25" s="1"/>
  <c r="G18" i="25"/>
  <c r="F18" i="25"/>
  <c r="F25" i="25" s="1"/>
  <c r="D14" i="25"/>
  <c r="C14" i="25"/>
  <c r="J21" i="24"/>
  <c r="J19" i="24"/>
  <c r="G18" i="24"/>
  <c r="F18" i="24"/>
  <c r="F23" i="24" s="1"/>
  <c r="D14" i="24"/>
  <c r="C14" i="24"/>
  <c r="E14" i="24" s="1"/>
  <c r="F23" i="23"/>
  <c r="J21" i="23"/>
  <c r="J19" i="23"/>
  <c r="L19" i="23" s="1"/>
  <c r="M19" i="23" s="1"/>
  <c r="G18" i="23"/>
  <c r="F18" i="23"/>
  <c r="F25" i="23" s="1"/>
  <c r="D14" i="23"/>
  <c r="C14" i="23"/>
  <c r="J21" i="22"/>
  <c r="L21" i="22" s="1"/>
  <c r="J19" i="22"/>
  <c r="G18" i="22"/>
  <c r="F18" i="22"/>
  <c r="F23" i="22" s="1"/>
  <c r="F14" i="22"/>
  <c r="H14" i="22" s="1"/>
  <c r="F19" i="22" s="1"/>
  <c r="D14" i="22"/>
  <c r="C14" i="22"/>
  <c r="E14" i="22" s="1"/>
  <c r="G29" i="21"/>
  <c r="J21" i="21"/>
  <c r="J19" i="21"/>
  <c r="G18" i="21"/>
  <c r="F18" i="21"/>
  <c r="F25" i="21" s="1"/>
  <c r="E14" i="21"/>
  <c r="D14" i="21"/>
  <c r="C14" i="21"/>
  <c r="G7" i="21"/>
  <c r="L21" i="20"/>
  <c r="J21" i="20"/>
  <c r="L19" i="20"/>
  <c r="M19" i="20" s="1"/>
  <c r="J19" i="20"/>
  <c r="G18" i="20"/>
  <c r="F18" i="20"/>
  <c r="F25" i="20" s="1"/>
  <c r="D14" i="20"/>
  <c r="C14" i="20"/>
  <c r="E14" i="20" s="1"/>
  <c r="G7" i="20"/>
  <c r="J21" i="19"/>
  <c r="L21" i="19" s="1"/>
  <c r="L19" i="19"/>
  <c r="J19" i="19"/>
  <c r="G18" i="19"/>
  <c r="F18" i="19"/>
  <c r="D14" i="19"/>
  <c r="C14" i="19"/>
  <c r="J21" i="18"/>
  <c r="J19" i="18"/>
  <c r="L19" i="18" s="1"/>
  <c r="G18" i="18"/>
  <c r="F18" i="18"/>
  <c r="F23" i="18" s="1"/>
  <c r="E14" i="18"/>
  <c r="D14" i="18"/>
  <c r="C14" i="18"/>
  <c r="F25" i="17"/>
  <c r="J21" i="17"/>
  <c r="J19" i="17"/>
  <c r="L19" i="17" s="1"/>
  <c r="M19" i="17" s="1"/>
  <c r="G18" i="17"/>
  <c r="F18" i="17"/>
  <c r="F23" i="17" s="1"/>
  <c r="D14" i="17"/>
  <c r="C14" i="17"/>
  <c r="J21" i="16"/>
  <c r="L21" i="16" s="1"/>
  <c r="J19" i="16"/>
  <c r="G18" i="16"/>
  <c r="F18" i="16"/>
  <c r="F23" i="16" s="1"/>
  <c r="D14" i="16"/>
  <c r="C14" i="16"/>
  <c r="E14" i="16" s="1"/>
  <c r="F6" i="13"/>
  <c r="G8" i="22" s="1"/>
  <c r="F21" i="22" s="1"/>
  <c r="J20" i="22" s="1"/>
  <c r="F5" i="13"/>
  <c r="G7" i="17" s="1"/>
  <c r="A5" i="10"/>
  <c r="A4" i="10"/>
  <c r="A2" i="10" s="1"/>
  <c r="X2" i="8" s="1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A3" i="10"/>
  <c r="AO2" i="10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P2" i="10"/>
  <c r="O2" i="10"/>
  <c r="N2" i="10"/>
  <c r="M2" i="10"/>
  <c r="L2" i="10"/>
  <c r="K2" i="10"/>
  <c r="J2" i="10"/>
  <c r="I2" i="10"/>
  <c r="H2" i="10"/>
  <c r="G2" i="10"/>
  <c r="F2" i="10"/>
  <c r="E2" i="10"/>
  <c r="Q2" i="10" s="1"/>
  <c r="C2" i="10"/>
  <c r="B2" i="10"/>
  <c r="B1" i="10"/>
  <c r="C1" i="10" s="1"/>
  <c r="D1" i="10" s="1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AA1" i="10" s="1"/>
  <c r="AB1" i="10" s="1"/>
  <c r="AC1" i="10" s="1"/>
  <c r="AD1" i="10" s="1"/>
  <c r="AE1" i="10" s="1"/>
  <c r="AF1" i="10" s="1"/>
  <c r="AG1" i="10" s="1"/>
  <c r="AH1" i="10" s="1"/>
  <c r="AI1" i="10" s="1"/>
  <c r="AJ1" i="10" s="1"/>
  <c r="AK1" i="10" s="1"/>
  <c r="AL1" i="10" s="1"/>
  <c r="AM1" i="10" s="1"/>
  <c r="AN1" i="10" s="1"/>
  <c r="AO1" i="10" s="1"/>
  <c r="AP1" i="10" s="1"/>
  <c r="AQ1" i="10" s="1"/>
  <c r="AR1" i="10" s="1"/>
  <c r="AS1" i="10" s="1"/>
  <c r="AT1" i="10" s="1"/>
  <c r="AU1" i="10" s="1"/>
  <c r="AV1" i="10" s="1"/>
  <c r="AW1" i="10" s="1"/>
  <c r="AX1" i="10" s="1"/>
  <c r="AY1" i="10" s="1"/>
  <c r="AZ1" i="10" s="1"/>
  <c r="BA1" i="10" s="1"/>
  <c r="BB1" i="10" s="1"/>
  <c r="BC1" i="10" s="1"/>
  <c r="BD1" i="10" s="1"/>
  <c r="BE1" i="10" s="1"/>
  <c r="BF1" i="10" s="1"/>
  <c r="BG1" i="10" s="1"/>
  <c r="BH1" i="10" s="1"/>
  <c r="BI1" i="10" s="1"/>
  <c r="BJ1" i="10" s="1"/>
  <c r="BK1" i="10" s="1"/>
  <c r="BL1" i="10" s="1"/>
  <c r="BM1" i="10" s="1"/>
  <c r="BN1" i="10" s="1"/>
  <c r="M42" i="8"/>
  <c r="P38" i="8"/>
  <c r="K38" i="8"/>
  <c r="F38" i="8"/>
  <c r="P37" i="8"/>
  <c r="K37" i="8"/>
  <c r="F37" i="8"/>
  <c r="P36" i="8"/>
  <c r="K36" i="8"/>
  <c r="F36" i="8"/>
  <c r="P35" i="8"/>
  <c r="K35" i="8"/>
  <c r="F35" i="8"/>
  <c r="P34" i="8"/>
  <c r="K34" i="8"/>
  <c r="F34" i="8"/>
  <c r="P33" i="8"/>
  <c r="K33" i="8"/>
  <c r="F33" i="8"/>
  <c r="P32" i="8"/>
  <c r="K32" i="8"/>
  <c r="F32" i="8"/>
  <c r="P31" i="8"/>
  <c r="K31" i="8"/>
  <c r="F31" i="8"/>
  <c r="P30" i="8"/>
  <c r="K30" i="8"/>
  <c r="F30" i="8"/>
  <c r="P29" i="8"/>
  <c r="K29" i="8"/>
  <c r="F29" i="8"/>
  <c r="P28" i="8"/>
  <c r="K28" i="8"/>
  <c r="F28" i="8"/>
  <c r="P27" i="8"/>
  <c r="K27" i="8"/>
  <c r="F27" i="8"/>
  <c r="F39" i="8" s="1"/>
  <c r="N20" i="8"/>
  <c r="K19" i="8"/>
  <c r="F19" i="8"/>
  <c r="K18" i="8"/>
  <c r="F18" i="8"/>
  <c r="K17" i="8"/>
  <c r="F17" i="8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E4" i="8"/>
  <c r="D4" i="8"/>
  <c r="C4" i="8"/>
  <c r="B4" i="8"/>
  <c r="AF79" i="5"/>
  <c r="AF78" i="5"/>
  <c r="AF77" i="5"/>
  <c r="AF76" i="5"/>
  <c r="AF75" i="5"/>
  <c r="AF74" i="5"/>
  <c r="AF73" i="5"/>
  <c r="AF72" i="5"/>
  <c r="AF71" i="5"/>
  <c r="AF70" i="5"/>
  <c r="AF69" i="5"/>
  <c r="AF68" i="5"/>
  <c r="AF67" i="5"/>
  <c r="AF66" i="5"/>
  <c r="AF65" i="5"/>
  <c r="AF64" i="5"/>
  <c r="AF63" i="5"/>
  <c r="AW59" i="5"/>
  <c r="AU59" i="5"/>
  <c r="AS59" i="5"/>
  <c r="AW58" i="5"/>
  <c r="AU58" i="5"/>
  <c r="AS58" i="5"/>
  <c r="AW57" i="5"/>
  <c r="AU57" i="5"/>
  <c r="AS57" i="5"/>
  <c r="AY56" i="5"/>
  <c r="AW56" i="5"/>
  <c r="AU56" i="5"/>
  <c r="AS56" i="5"/>
  <c r="AY55" i="5"/>
  <c r="AW55" i="5"/>
  <c r="AU55" i="5"/>
  <c r="AS55" i="5"/>
  <c r="AY54" i="5"/>
  <c r="AW54" i="5"/>
  <c r="AU54" i="5"/>
  <c r="AS54" i="5"/>
  <c r="AY53" i="5"/>
  <c r="AW53" i="5"/>
  <c r="AU53" i="5"/>
  <c r="AS53" i="5"/>
  <c r="AY52" i="5"/>
  <c r="AW52" i="5"/>
  <c r="AU52" i="5"/>
  <c r="AS52" i="5"/>
  <c r="AY51" i="5"/>
  <c r="AW51" i="5"/>
  <c r="AU51" i="5"/>
  <c r="AS51" i="5"/>
  <c r="AY50" i="5"/>
  <c r="AW50" i="5"/>
  <c r="AU50" i="5"/>
  <c r="AS50" i="5"/>
  <c r="AY49" i="5"/>
  <c r="AW49" i="5"/>
  <c r="AU49" i="5"/>
  <c r="AS49" i="5"/>
  <c r="AY48" i="5"/>
  <c r="AW48" i="5"/>
  <c r="AU48" i="5"/>
  <c r="AS48" i="5"/>
  <c r="AY47" i="5"/>
  <c r="AW47" i="5"/>
  <c r="AU47" i="5"/>
  <c r="AS47" i="5"/>
  <c r="N32" i="5"/>
  <c r="N26" i="5"/>
  <c r="N27" i="5" s="1"/>
  <c r="N28" i="5" s="1"/>
  <c r="N29" i="5" s="1"/>
  <c r="N30" i="5" s="1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N100" i="4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P99" i="4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P218" i="4" s="1"/>
  <c r="P219" i="4" s="1"/>
  <c r="P220" i="4" s="1"/>
  <c r="P221" i="4" s="1"/>
  <c r="P222" i="4" s="1"/>
  <c r="P223" i="4" s="1"/>
  <c r="P224" i="4" s="1"/>
  <c r="P225" i="4" s="1"/>
  <c r="P226" i="4" s="1"/>
  <c r="P227" i="4" s="1"/>
  <c r="P228" i="4" s="1"/>
  <c r="P229" i="4" s="1"/>
  <c r="P230" i="4" s="1"/>
  <c r="P231" i="4" s="1"/>
  <c r="P232" i="4" s="1"/>
  <c r="P233" i="4" s="1"/>
  <c r="P234" i="4" s="1"/>
  <c r="P235" i="4" s="1"/>
  <c r="P236" i="4" s="1"/>
  <c r="P237" i="4" s="1"/>
  <c r="P238" i="4" s="1"/>
  <c r="P239" i="4" s="1"/>
  <c r="P240" i="4" s="1"/>
  <c r="P241" i="4" s="1"/>
  <c r="P242" i="4" s="1"/>
  <c r="P243" i="4" s="1"/>
  <c r="P244" i="4" s="1"/>
  <c r="P245" i="4" s="1"/>
  <c r="P246" i="4" s="1"/>
  <c r="P247" i="4" s="1"/>
  <c r="P248" i="4" s="1"/>
  <c r="P249" i="4" s="1"/>
  <c r="P250" i="4" s="1"/>
  <c r="P251" i="4" s="1"/>
  <c r="P252" i="4" s="1"/>
  <c r="P253" i="4" s="1"/>
  <c r="P254" i="4" s="1"/>
  <c r="P255" i="4" s="1"/>
  <c r="P256" i="4" s="1"/>
  <c r="P257" i="4" s="1"/>
  <c r="P258" i="4" s="1"/>
  <c r="P259" i="4" s="1"/>
  <c r="P260" i="4" s="1"/>
  <c r="P261" i="4" s="1"/>
  <c r="P262" i="4" s="1"/>
  <c r="P263" i="4" s="1"/>
  <c r="P264" i="4" s="1"/>
  <c r="P265" i="4" s="1"/>
  <c r="P266" i="4" s="1"/>
  <c r="P267" i="4" s="1"/>
  <c r="P268" i="4" s="1"/>
  <c r="P269" i="4" s="1"/>
  <c r="P270" i="4" s="1"/>
  <c r="P271" i="4" s="1"/>
  <c r="P272" i="4" s="1"/>
  <c r="P273" i="4" s="1"/>
  <c r="P274" i="4" s="1"/>
  <c r="P275" i="4" s="1"/>
  <c r="P276" i="4" s="1"/>
  <c r="P277" i="4" s="1"/>
  <c r="P278" i="4" s="1"/>
  <c r="P279" i="4" s="1"/>
  <c r="P280" i="4" s="1"/>
  <c r="P281" i="4" s="1"/>
  <c r="P282" i="4" s="1"/>
  <c r="P283" i="4" s="1"/>
  <c r="P284" i="4" s="1"/>
  <c r="P285" i="4" s="1"/>
  <c r="P286" i="4" s="1"/>
  <c r="P287" i="4" s="1"/>
  <c r="P288" i="4" s="1"/>
  <c r="P289" i="4" s="1"/>
  <c r="P290" i="4" s="1"/>
  <c r="P291" i="4" s="1"/>
  <c r="P292" i="4" s="1"/>
  <c r="P293" i="4" s="1"/>
  <c r="P294" i="4" s="1"/>
  <c r="P295" i="4" s="1"/>
  <c r="P296" i="4" s="1"/>
  <c r="P297" i="4" s="1"/>
  <c r="P298" i="4" s="1"/>
  <c r="P299" i="4" s="1"/>
  <c r="P300" i="4" s="1"/>
  <c r="P301" i="4" s="1"/>
  <c r="P302" i="4" s="1"/>
  <c r="P303" i="4" s="1"/>
  <c r="P304" i="4" s="1"/>
  <c r="P305" i="4" s="1"/>
  <c r="P306" i="4" s="1"/>
  <c r="P307" i="4" s="1"/>
  <c r="P308" i="4" s="1"/>
  <c r="P309" i="4" s="1"/>
  <c r="P310" i="4" s="1"/>
  <c r="P311" i="4" s="1"/>
  <c r="P312" i="4" s="1"/>
  <c r="P313" i="4" s="1"/>
  <c r="P314" i="4" s="1"/>
  <c r="P315" i="4" s="1"/>
  <c r="P316" i="4" s="1"/>
  <c r="P317" i="4" s="1"/>
  <c r="P318" i="4" s="1"/>
  <c r="P319" i="4" s="1"/>
  <c r="P320" i="4" s="1"/>
  <c r="P321" i="4" s="1"/>
  <c r="P322" i="4" s="1"/>
  <c r="P323" i="4" s="1"/>
  <c r="P324" i="4" s="1"/>
  <c r="P325" i="4" s="1"/>
  <c r="P326" i="4" s="1"/>
  <c r="P327" i="4" s="1"/>
  <c r="P328" i="4" s="1"/>
  <c r="P329" i="4" s="1"/>
  <c r="P330" i="4" s="1"/>
  <c r="P331" i="4" s="1"/>
  <c r="P332" i="4" s="1"/>
  <c r="P333" i="4" s="1"/>
  <c r="P334" i="4" s="1"/>
  <c r="P335" i="4" s="1"/>
  <c r="P336" i="4" s="1"/>
  <c r="P337" i="4" s="1"/>
  <c r="P338" i="4" s="1"/>
  <c r="P339" i="4" s="1"/>
  <c r="P340" i="4" s="1"/>
  <c r="P341" i="4" s="1"/>
  <c r="P342" i="4" s="1"/>
  <c r="P343" i="4" s="1"/>
  <c r="P344" i="4" s="1"/>
  <c r="P345" i="4" s="1"/>
  <c r="P346" i="4" s="1"/>
  <c r="P347" i="4" s="1"/>
  <c r="P348" i="4" s="1"/>
  <c r="P349" i="4" s="1"/>
  <c r="P350" i="4" s="1"/>
  <c r="P351" i="4" s="1"/>
  <c r="P352" i="4" s="1"/>
  <c r="P353" i="4" s="1"/>
  <c r="P354" i="4" s="1"/>
  <c r="P355" i="4" s="1"/>
  <c r="P356" i="4" s="1"/>
  <c r="P357" i="4" s="1"/>
  <c r="P358" i="4" s="1"/>
  <c r="P359" i="4" s="1"/>
  <c r="P360" i="4" s="1"/>
  <c r="P361" i="4" s="1"/>
  <c r="P362" i="4" s="1"/>
  <c r="N99" i="4"/>
  <c r="K27" i="4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218" i="4" s="1"/>
  <c r="K219" i="4" s="1"/>
  <c r="K220" i="4" s="1"/>
  <c r="K221" i="4" s="1"/>
  <c r="K222" i="4" s="1"/>
  <c r="K223" i="4" s="1"/>
  <c r="K224" i="4" s="1"/>
  <c r="K225" i="4" s="1"/>
  <c r="K226" i="4" s="1"/>
  <c r="K227" i="4" s="1"/>
  <c r="K228" i="4" s="1"/>
  <c r="K229" i="4" s="1"/>
  <c r="K230" i="4" s="1"/>
  <c r="K231" i="4" s="1"/>
  <c r="K232" i="4" s="1"/>
  <c r="K233" i="4" s="1"/>
  <c r="K234" i="4" s="1"/>
  <c r="K235" i="4" s="1"/>
  <c r="K236" i="4" s="1"/>
  <c r="K237" i="4" s="1"/>
  <c r="K238" i="4" s="1"/>
  <c r="K239" i="4" s="1"/>
  <c r="K240" i="4" s="1"/>
  <c r="K241" i="4" s="1"/>
  <c r="K242" i="4" s="1"/>
  <c r="K243" i="4" s="1"/>
  <c r="K244" i="4" s="1"/>
  <c r="K245" i="4" s="1"/>
  <c r="K246" i="4" s="1"/>
  <c r="K247" i="4" s="1"/>
  <c r="K248" i="4" s="1"/>
  <c r="K249" i="4" s="1"/>
  <c r="K250" i="4" s="1"/>
  <c r="K251" i="4" s="1"/>
  <c r="K252" i="4" s="1"/>
  <c r="K253" i="4" s="1"/>
  <c r="K254" i="4" s="1"/>
  <c r="K255" i="4" s="1"/>
  <c r="K256" i="4" s="1"/>
  <c r="K257" i="4" s="1"/>
  <c r="K258" i="4" s="1"/>
  <c r="K259" i="4" s="1"/>
  <c r="K260" i="4" s="1"/>
  <c r="K261" i="4" s="1"/>
  <c r="K262" i="4" s="1"/>
  <c r="K263" i="4" s="1"/>
  <c r="K264" i="4" s="1"/>
  <c r="K265" i="4" s="1"/>
  <c r="K266" i="4" s="1"/>
  <c r="K267" i="4" s="1"/>
  <c r="K268" i="4" s="1"/>
  <c r="K269" i="4" s="1"/>
  <c r="K270" i="4" s="1"/>
  <c r="K271" i="4" s="1"/>
  <c r="K272" i="4" s="1"/>
  <c r="K273" i="4" s="1"/>
  <c r="K274" i="4" s="1"/>
  <c r="K275" i="4" s="1"/>
  <c r="K276" i="4" s="1"/>
  <c r="K277" i="4" s="1"/>
  <c r="K278" i="4" s="1"/>
  <c r="K279" i="4" s="1"/>
  <c r="K280" i="4" s="1"/>
  <c r="K281" i="4" s="1"/>
  <c r="K282" i="4" s="1"/>
  <c r="K283" i="4" s="1"/>
  <c r="K284" i="4" s="1"/>
  <c r="K285" i="4" s="1"/>
  <c r="K286" i="4" s="1"/>
  <c r="K287" i="4" s="1"/>
  <c r="K288" i="4" s="1"/>
  <c r="K289" i="4" s="1"/>
  <c r="K290" i="4" s="1"/>
  <c r="K291" i="4" s="1"/>
  <c r="K292" i="4" s="1"/>
  <c r="K293" i="4" s="1"/>
  <c r="K294" i="4" s="1"/>
  <c r="K295" i="4" s="1"/>
  <c r="K296" i="4" s="1"/>
  <c r="K297" i="4" s="1"/>
  <c r="K298" i="4" s="1"/>
  <c r="K299" i="4" s="1"/>
  <c r="K300" i="4" s="1"/>
  <c r="K301" i="4" s="1"/>
  <c r="K302" i="4" s="1"/>
  <c r="K303" i="4" s="1"/>
  <c r="K304" i="4" s="1"/>
  <c r="K305" i="4" s="1"/>
  <c r="K306" i="4" s="1"/>
  <c r="K307" i="4" s="1"/>
  <c r="K308" i="4" s="1"/>
  <c r="K309" i="4" s="1"/>
  <c r="K310" i="4" s="1"/>
  <c r="K311" i="4" s="1"/>
  <c r="K312" i="4" s="1"/>
  <c r="K313" i="4" s="1"/>
  <c r="K314" i="4" s="1"/>
  <c r="K315" i="4" s="1"/>
  <c r="K316" i="4" s="1"/>
  <c r="K317" i="4" s="1"/>
  <c r="K318" i="4" s="1"/>
  <c r="K319" i="4" s="1"/>
  <c r="K320" i="4" s="1"/>
  <c r="K321" i="4" s="1"/>
  <c r="K322" i="4" s="1"/>
  <c r="K323" i="4" s="1"/>
  <c r="K324" i="4" s="1"/>
  <c r="K325" i="4" s="1"/>
  <c r="K326" i="4" s="1"/>
  <c r="K327" i="4" s="1"/>
  <c r="K328" i="4" s="1"/>
  <c r="K329" i="4" s="1"/>
  <c r="K330" i="4" s="1"/>
  <c r="K331" i="4" s="1"/>
  <c r="K332" i="4" s="1"/>
  <c r="K333" i="4" s="1"/>
  <c r="K334" i="4" s="1"/>
  <c r="K335" i="4" s="1"/>
  <c r="K336" i="4" s="1"/>
  <c r="K337" i="4" s="1"/>
  <c r="K338" i="4" s="1"/>
  <c r="K339" i="4" s="1"/>
  <c r="K340" i="4" s="1"/>
  <c r="K341" i="4" s="1"/>
  <c r="K342" i="4" s="1"/>
  <c r="K343" i="4" s="1"/>
  <c r="K344" i="4" s="1"/>
  <c r="K345" i="4" s="1"/>
  <c r="K346" i="4" s="1"/>
  <c r="K347" i="4" s="1"/>
  <c r="K348" i="4" s="1"/>
  <c r="K349" i="4" s="1"/>
  <c r="K350" i="4" s="1"/>
  <c r="K351" i="4" s="1"/>
  <c r="K352" i="4" s="1"/>
  <c r="K353" i="4" s="1"/>
  <c r="K354" i="4" s="1"/>
  <c r="K355" i="4" s="1"/>
  <c r="K356" i="4" s="1"/>
  <c r="K357" i="4" s="1"/>
  <c r="K358" i="4" s="1"/>
  <c r="K359" i="4" s="1"/>
  <c r="K360" i="4" s="1"/>
  <c r="K361" i="4" s="1"/>
  <c r="K362" i="4" s="1"/>
  <c r="I14" i="4"/>
  <c r="K13" i="4"/>
  <c r="K12" i="4"/>
  <c r="K11" i="4"/>
  <c r="K10" i="4"/>
  <c r="K9" i="4"/>
  <c r="K8" i="4"/>
  <c r="K7" i="4"/>
  <c r="D7" i="4"/>
  <c r="D8" i="4" s="1"/>
  <c r="F8" i="4" s="1"/>
  <c r="K6" i="4"/>
  <c r="D6" i="4"/>
  <c r="F6" i="4" s="1"/>
  <c r="F5" i="4"/>
  <c r="C58" i="3"/>
  <c r="Z56" i="3"/>
  <c r="D56" i="3"/>
  <c r="Z55" i="3"/>
  <c r="D55" i="3"/>
  <c r="Z54" i="3"/>
  <c r="D54" i="3"/>
  <c r="Z53" i="3"/>
  <c r="D53" i="3"/>
  <c r="Z52" i="3"/>
  <c r="D52" i="3"/>
  <c r="Z51" i="3"/>
  <c r="D51" i="3"/>
  <c r="Z50" i="3"/>
  <c r="D50" i="3"/>
  <c r="Z49" i="3"/>
  <c r="D49" i="3"/>
  <c r="Z48" i="3"/>
  <c r="D48" i="3"/>
  <c r="Z47" i="3"/>
  <c r="D47" i="3"/>
  <c r="Z46" i="3"/>
  <c r="D46" i="3"/>
  <c r="Z45" i="3"/>
  <c r="D45" i="3"/>
  <c r="H28" i="3"/>
  <c r="AF22" i="3"/>
  <c r="I5" i="3"/>
  <c r="O15" i="2"/>
  <c r="O14" i="2"/>
  <c r="O13" i="2"/>
  <c r="O12" i="2"/>
  <c r="O11" i="2"/>
  <c r="O10" i="2"/>
  <c r="O9" i="2"/>
  <c r="O8" i="2"/>
  <c r="O7" i="2"/>
  <c r="O6" i="2"/>
  <c r="N6" i="2"/>
  <c r="O5" i="2"/>
  <c r="O4" i="2"/>
  <c r="I4" i="2"/>
  <c r="F2" i="2"/>
  <c r="B98" i="1"/>
  <c r="C93" i="1"/>
  <c r="C26" i="1"/>
  <c r="D26" i="1" s="1"/>
  <c r="B26" i="1"/>
  <c r="I18" i="1"/>
  <c r="J17" i="1"/>
  <c r="D17" i="1"/>
  <c r="D16" i="1"/>
  <c r="C16" i="1"/>
  <c r="E12" i="1"/>
  <c r="D12" i="1"/>
  <c r="C12" i="1"/>
  <c r="AD23" i="5" s="1"/>
  <c r="J8" i="1"/>
  <c r="D8" i="1"/>
  <c r="C8" i="1"/>
  <c r="C6" i="1"/>
  <c r="J5" i="1"/>
  <c r="C5" i="1"/>
  <c r="I14" i="2" s="1"/>
  <c r="C4" i="1"/>
  <c r="V15" i="3" s="1"/>
  <c r="A9" i="3" s="1"/>
  <c r="D57" i="14"/>
  <c r="Y55" i="14"/>
  <c r="H55" i="14"/>
  <c r="AB55" i="14" s="1"/>
  <c r="F55" i="14"/>
  <c r="AA55" i="14" s="1"/>
  <c r="E55" i="14"/>
  <c r="Y54" i="14"/>
  <c r="H54" i="14"/>
  <c r="AB54" i="14" s="1"/>
  <c r="F54" i="14"/>
  <c r="AA54" i="14" s="1"/>
  <c r="E54" i="14"/>
  <c r="Y53" i="14"/>
  <c r="H53" i="14"/>
  <c r="AB53" i="14" s="1"/>
  <c r="F53" i="14"/>
  <c r="AA53" i="14" s="1"/>
  <c r="E53" i="14"/>
  <c r="Y52" i="14"/>
  <c r="H52" i="14"/>
  <c r="AB52" i="14" s="1"/>
  <c r="F52" i="14"/>
  <c r="AA52" i="14" s="1"/>
  <c r="E52" i="14"/>
  <c r="Y51" i="14"/>
  <c r="H51" i="14"/>
  <c r="AB51" i="14" s="1"/>
  <c r="F51" i="14"/>
  <c r="AA51" i="14" s="1"/>
  <c r="E51" i="14"/>
  <c r="Y50" i="14"/>
  <c r="H50" i="14"/>
  <c r="AB50" i="14" s="1"/>
  <c r="F50" i="14"/>
  <c r="AA50" i="14" s="1"/>
  <c r="E50" i="14"/>
  <c r="Y49" i="14"/>
  <c r="H49" i="14"/>
  <c r="AB49" i="14" s="1"/>
  <c r="F49" i="14"/>
  <c r="AA49" i="14" s="1"/>
  <c r="E49" i="14"/>
  <c r="Y48" i="14"/>
  <c r="H48" i="14"/>
  <c r="AB48" i="14" s="1"/>
  <c r="F48" i="14"/>
  <c r="AA48" i="14" s="1"/>
  <c r="E48" i="14"/>
  <c r="Y47" i="14"/>
  <c r="H47" i="14"/>
  <c r="AB47" i="14" s="1"/>
  <c r="F47" i="14"/>
  <c r="AA47" i="14" s="1"/>
  <c r="E47" i="14"/>
  <c r="Y46" i="14"/>
  <c r="H46" i="14"/>
  <c r="AB46" i="14" s="1"/>
  <c r="F46" i="14"/>
  <c r="AA46" i="14" s="1"/>
  <c r="E46" i="14"/>
  <c r="Y45" i="14"/>
  <c r="H45" i="14"/>
  <c r="F45" i="14"/>
  <c r="AA45" i="14" s="1"/>
  <c r="E45" i="14"/>
  <c r="Y44" i="14"/>
  <c r="H44" i="14"/>
  <c r="AB44" i="14" s="1"/>
  <c r="F44" i="14"/>
  <c r="P44" i="14" s="1"/>
  <c r="E44" i="14"/>
  <c r="I27" i="14"/>
  <c r="AE22" i="14"/>
  <c r="F19" i="14"/>
  <c r="I20" i="14" s="1"/>
  <c r="L45" i="14" l="1"/>
  <c r="L44" i="14"/>
  <c r="P45" i="14"/>
  <c r="AB45" i="14"/>
  <c r="F20" i="8"/>
  <c r="F23" i="20"/>
  <c r="F25" i="24"/>
  <c r="M19" i="26"/>
  <c r="N19" i="26" s="1"/>
  <c r="G8" i="14"/>
  <c r="I10" i="14" s="1"/>
  <c r="D5" i="1"/>
  <c r="I7" i="2"/>
  <c r="I11" i="2"/>
  <c r="K20" i="8"/>
  <c r="E14" i="19"/>
  <c r="F14" i="19" s="1"/>
  <c r="N19" i="20"/>
  <c r="AC45" i="14"/>
  <c r="K39" i="8"/>
  <c r="I8" i="2"/>
  <c r="F7" i="4"/>
  <c r="I4" i="8"/>
  <c r="P39" i="8"/>
  <c r="AA44" i="14"/>
  <c r="AC44" i="14" s="1"/>
  <c r="L46" i="14"/>
  <c r="L47" i="14"/>
  <c r="L48" i="14"/>
  <c r="L49" i="14"/>
  <c r="L50" i="14"/>
  <c r="L51" i="14"/>
  <c r="L52" i="14"/>
  <c r="L53" i="14"/>
  <c r="L54" i="14"/>
  <c r="L55" i="14"/>
  <c r="C3" i="1"/>
  <c r="F14" i="18"/>
  <c r="H14" i="18" s="1"/>
  <c r="F19" i="18" s="1"/>
  <c r="F25" i="18"/>
  <c r="M19" i="19"/>
  <c r="F23" i="21"/>
  <c r="F23" i="25"/>
  <c r="F25" i="27"/>
  <c r="AC49" i="14"/>
  <c r="N22" i="14"/>
  <c r="J6" i="1"/>
  <c r="D6" i="1"/>
  <c r="C7" i="1"/>
  <c r="C10" i="1" s="1"/>
  <c r="H18" i="14" s="1"/>
  <c r="E19" i="3"/>
  <c r="H26" i="3"/>
  <c r="N7" i="2"/>
  <c r="N14" i="2"/>
  <c r="N11" i="2"/>
  <c r="N8" i="2"/>
  <c r="N4" i="2"/>
  <c r="A24" i="3"/>
  <c r="N15" i="2"/>
  <c r="N12" i="2"/>
  <c r="N9" i="2"/>
  <c r="I26" i="14"/>
  <c r="N5" i="2"/>
  <c r="J16" i="1"/>
  <c r="O16" i="2"/>
  <c r="AD7" i="5"/>
  <c r="AD4" i="5"/>
  <c r="AD8" i="5"/>
  <c r="AD5" i="5"/>
  <c r="AD9" i="5"/>
  <c r="F53" i="2"/>
  <c r="F15" i="2" s="1"/>
  <c r="F47" i="2"/>
  <c r="F9" i="2" s="1"/>
  <c r="G9" i="2" s="1"/>
  <c r="H9" i="2" s="1"/>
  <c r="F52" i="2"/>
  <c r="F46" i="2"/>
  <c r="F8" i="2" s="1"/>
  <c r="G8" i="2" s="1"/>
  <c r="H8" i="2" s="1"/>
  <c r="C15" i="1"/>
  <c r="AD6" i="5"/>
  <c r="H34" i="3"/>
  <c r="F51" i="2"/>
  <c r="F13" i="2" s="1"/>
  <c r="G13" i="2" s="1"/>
  <c r="H13" i="2" s="1"/>
  <c r="F45" i="2"/>
  <c r="C14" i="1"/>
  <c r="B41" i="3"/>
  <c r="F50" i="2"/>
  <c r="F12" i="2" s="1"/>
  <c r="F44" i="2"/>
  <c r="J4" i="1"/>
  <c r="J18" i="1" s="1"/>
  <c r="F5" i="14"/>
  <c r="F49" i="2"/>
  <c r="F43" i="2"/>
  <c r="F5" i="2" s="1"/>
  <c r="G5" i="2" s="1"/>
  <c r="H5" i="2" s="1"/>
  <c r="D4" i="1"/>
  <c r="I33" i="14"/>
  <c r="AC50" i="14"/>
  <c r="B3" i="2"/>
  <c r="C3" i="2" s="1"/>
  <c r="C8" i="2" s="1"/>
  <c r="I22" i="3" s="1"/>
  <c r="F42" i="2"/>
  <c r="F4" i="2" s="1"/>
  <c r="AC51" i="14"/>
  <c r="AC53" i="14"/>
  <c r="C28" i="1"/>
  <c r="F48" i="2"/>
  <c r="F10" i="2" s="1"/>
  <c r="G10" i="2" s="1"/>
  <c r="H10" i="2" s="1"/>
  <c r="AC47" i="14"/>
  <c r="AC55" i="14"/>
  <c r="B28" i="1"/>
  <c r="D25" i="1"/>
  <c r="AC46" i="14"/>
  <c r="AC48" i="14"/>
  <c r="AC52" i="14"/>
  <c r="AC54" i="14"/>
  <c r="I23" i="14"/>
  <c r="C40" i="14"/>
  <c r="N10" i="2"/>
  <c r="N13" i="2"/>
  <c r="E5" i="3"/>
  <c r="I15" i="4"/>
  <c r="I16" i="4" s="1"/>
  <c r="K14" i="4"/>
  <c r="J12" i="1"/>
  <c r="I6" i="2"/>
  <c r="I10" i="2"/>
  <c r="I13" i="2"/>
  <c r="I22" i="14"/>
  <c r="I5" i="2"/>
  <c r="F11" i="2"/>
  <c r="G11" i="2" s="1"/>
  <c r="H11" i="2" s="1"/>
  <c r="F14" i="2"/>
  <c r="G14" i="2" s="1"/>
  <c r="H14" i="2" s="1"/>
  <c r="F8" i="3"/>
  <c r="F7" i="2"/>
  <c r="G7" i="2" s="1"/>
  <c r="H7" i="2" s="1"/>
  <c r="I9" i="2"/>
  <c r="I12" i="2"/>
  <c r="I15" i="2"/>
  <c r="H24" i="3"/>
  <c r="D9" i="4"/>
  <c r="F6" i="2"/>
  <c r="G6" i="2" s="1"/>
  <c r="H6" i="2" s="1"/>
  <c r="L20" i="22"/>
  <c r="M20" i="22" s="1"/>
  <c r="N20" i="22" s="1"/>
  <c r="G29" i="20"/>
  <c r="E16" i="20"/>
  <c r="H16" i="20" s="1"/>
  <c r="C15" i="20"/>
  <c r="C16" i="20"/>
  <c r="F15" i="20"/>
  <c r="I15" i="20" s="1"/>
  <c r="D16" i="20"/>
  <c r="G28" i="20"/>
  <c r="M21" i="20"/>
  <c r="N21" i="20" s="1"/>
  <c r="F14" i="16"/>
  <c r="C16" i="17"/>
  <c r="N19" i="19"/>
  <c r="F14" i="20"/>
  <c r="L19" i="22"/>
  <c r="M19" i="22" s="1"/>
  <c r="M21" i="16"/>
  <c r="N21" i="16" s="1"/>
  <c r="D16" i="17"/>
  <c r="L21" i="18"/>
  <c r="M21" i="18" s="1"/>
  <c r="D15" i="20"/>
  <c r="G8" i="27"/>
  <c r="F21" i="27" s="1"/>
  <c r="J20" i="27" s="1"/>
  <c r="G8" i="25"/>
  <c r="F21" i="25" s="1"/>
  <c r="J20" i="25" s="1"/>
  <c r="G8" i="26"/>
  <c r="F21" i="26" s="1"/>
  <c r="J20" i="26" s="1"/>
  <c r="G8" i="23"/>
  <c r="F21" i="23" s="1"/>
  <c r="G8" i="19"/>
  <c r="F21" i="19" s="1"/>
  <c r="J20" i="19" s="1"/>
  <c r="G8" i="20"/>
  <c r="F21" i="20" s="1"/>
  <c r="G8" i="24"/>
  <c r="F21" i="24" s="1"/>
  <c r="J20" i="24" s="1"/>
  <c r="G8" i="17"/>
  <c r="F21" i="17" s="1"/>
  <c r="J20" i="17" s="1"/>
  <c r="G8" i="21"/>
  <c r="F21" i="21" s="1"/>
  <c r="J20" i="21" s="1"/>
  <c r="F15" i="17"/>
  <c r="F16" i="17"/>
  <c r="I16" i="17" s="1"/>
  <c r="D15" i="17"/>
  <c r="G15" i="17" s="1"/>
  <c r="G29" i="17"/>
  <c r="E16" i="17"/>
  <c r="H16" i="17" s="1"/>
  <c r="C15" i="17"/>
  <c r="E15" i="17"/>
  <c r="H15" i="17" s="1"/>
  <c r="G28" i="17"/>
  <c r="E15" i="20"/>
  <c r="G8" i="16"/>
  <c r="F21" i="16" s="1"/>
  <c r="J20" i="16" s="1"/>
  <c r="L19" i="16"/>
  <c r="E14" i="17"/>
  <c r="F14" i="17" s="1"/>
  <c r="N19" i="17"/>
  <c r="G8" i="18"/>
  <c r="F21" i="18" s="1"/>
  <c r="J20" i="18" s="1"/>
  <c r="M19" i="18"/>
  <c r="N19" i="18" s="1"/>
  <c r="F16" i="20"/>
  <c r="I16" i="20" s="1"/>
  <c r="F16" i="21"/>
  <c r="D15" i="21"/>
  <c r="G28" i="21"/>
  <c r="D16" i="21"/>
  <c r="C16" i="21"/>
  <c r="F15" i="21"/>
  <c r="E15" i="21"/>
  <c r="E16" i="21"/>
  <c r="C15" i="21"/>
  <c r="L21" i="21"/>
  <c r="M21" i="21" s="1"/>
  <c r="N21" i="21"/>
  <c r="F25" i="16"/>
  <c r="L19" i="21"/>
  <c r="M19" i="21" s="1"/>
  <c r="N19" i="21" s="1"/>
  <c r="F56" i="25"/>
  <c r="G7" i="26"/>
  <c r="G7" i="27"/>
  <c r="G7" i="24"/>
  <c r="G7" i="25"/>
  <c r="G7" i="22"/>
  <c r="G7" i="19"/>
  <c r="L21" i="17"/>
  <c r="M21" i="17" s="1"/>
  <c r="G7" i="18"/>
  <c r="F56" i="20"/>
  <c r="F14" i="21"/>
  <c r="N19" i="23"/>
  <c r="L19" i="24"/>
  <c r="M19" i="24" s="1"/>
  <c r="N19" i="24"/>
  <c r="F25" i="19"/>
  <c r="F23" i="19"/>
  <c r="G7" i="23"/>
  <c r="F23" i="26"/>
  <c r="F25" i="26"/>
  <c r="G7" i="16"/>
  <c r="M21" i="19"/>
  <c r="N21" i="19" s="1"/>
  <c r="F38" i="21"/>
  <c r="F56" i="21"/>
  <c r="I14" i="22"/>
  <c r="M21" i="22"/>
  <c r="N21" i="22" s="1"/>
  <c r="E14" i="23"/>
  <c r="F14" i="23" s="1"/>
  <c r="F25" i="22"/>
  <c r="J25" i="22" s="1"/>
  <c r="F38" i="27"/>
  <c r="F14" i="24"/>
  <c r="E14" i="27"/>
  <c r="F14" i="27" s="1"/>
  <c r="L21" i="24"/>
  <c r="N21" i="25"/>
  <c r="F14" i="26"/>
  <c r="L21" i="23"/>
  <c r="M21" i="23" s="1"/>
  <c r="E14" i="25"/>
  <c r="F14" i="25" s="1"/>
  <c r="N19" i="25"/>
  <c r="M19" i="25"/>
  <c r="F56" i="27"/>
  <c r="M21" i="26"/>
  <c r="L21" i="26"/>
  <c r="N19" i="27"/>
  <c r="L21" i="27"/>
  <c r="I11" i="14" l="1"/>
  <c r="H14" i="19"/>
  <c r="F19" i="19" s="1"/>
  <c r="I14" i="19"/>
  <c r="G15" i="21"/>
  <c r="F56" i="24"/>
  <c r="H15" i="21"/>
  <c r="N19" i="16"/>
  <c r="N21" i="17"/>
  <c r="F56" i="17"/>
  <c r="M19" i="16"/>
  <c r="I14" i="18"/>
  <c r="F38" i="17"/>
  <c r="F37" i="17" s="1"/>
  <c r="L4" i="8"/>
  <c r="M4" i="8" s="1"/>
  <c r="F38" i="25"/>
  <c r="G16" i="17"/>
  <c r="G12" i="2"/>
  <c r="H12" i="2" s="1"/>
  <c r="I14" i="23"/>
  <c r="H14" i="23"/>
  <c r="F19" i="23" s="1"/>
  <c r="E51" i="3"/>
  <c r="AB51" i="3" s="1"/>
  <c r="I14" i="27"/>
  <c r="H14" i="27"/>
  <c r="F19" i="27" s="1"/>
  <c r="M25" i="22"/>
  <c r="L25" i="22"/>
  <c r="I14" i="17"/>
  <c r="H14" i="17"/>
  <c r="F19" i="17" s="1"/>
  <c r="F38" i="19"/>
  <c r="F56" i="19"/>
  <c r="E15" i="22"/>
  <c r="G29" i="22"/>
  <c r="E16" i="22"/>
  <c r="C15" i="22"/>
  <c r="G28" i="22"/>
  <c r="D16" i="22"/>
  <c r="F15" i="22"/>
  <c r="F16" i="22"/>
  <c r="C16" i="22"/>
  <c r="D15" i="22"/>
  <c r="M14" i="19"/>
  <c r="G31" i="19" s="1"/>
  <c r="K14" i="19"/>
  <c r="M15" i="19" s="1"/>
  <c r="J22" i="19" s="1"/>
  <c r="J20" i="23"/>
  <c r="F38" i="23"/>
  <c r="I14" i="20"/>
  <c r="H14" i="20"/>
  <c r="F19" i="20" s="1"/>
  <c r="F38" i="18"/>
  <c r="D10" i="4"/>
  <c r="F9" i="4"/>
  <c r="H11" i="3"/>
  <c r="H10" i="3"/>
  <c r="B95" i="1" s="1"/>
  <c r="E46" i="3"/>
  <c r="AB46" i="3" s="1"/>
  <c r="H38" i="3"/>
  <c r="Z44" i="14"/>
  <c r="Z45" i="14" s="1"/>
  <c r="Z46" i="14" s="1"/>
  <c r="Z47" i="14" s="1"/>
  <c r="Z48" i="14" s="1"/>
  <c r="Z49" i="14" s="1"/>
  <c r="Z50" i="14" s="1"/>
  <c r="Z51" i="14" s="1"/>
  <c r="Z52" i="14" s="1"/>
  <c r="Z53" i="14" s="1"/>
  <c r="Z54" i="14" s="1"/>
  <c r="Z55" i="14" s="1"/>
  <c r="I37" i="14"/>
  <c r="AA45" i="3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B19" i="1"/>
  <c r="M5" i="2"/>
  <c r="G28" i="19"/>
  <c r="D16" i="19"/>
  <c r="F15" i="19"/>
  <c r="E15" i="19"/>
  <c r="G29" i="19"/>
  <c r="F16" i="19"/>
  <c r="D15" i="19"/>
  <c r="E16" i="19"/>
  <c r="C16" i="19"/>
  <c r="G30" i="19"/>
  <c r="C15" i="19"/>
  <c r="E48" i="3"/>
  <c r="AB48" i="3" s="1"/>
  <c r="D91" i="14"/>
  <c r="AA9" i="14" s="1"/>
  <c r="A2" i="14" s="1"/>
  <c r="J22" i="1"/>
  <c r="M56" i="27"/>
  <c r="H56" i="27"/>
  <c r="M56" i="25"/>
  <c r="H56" i="25"/>
  <c r="I56" i="25" s="1"/>
  <c r="J56" i="25" s="1"/>
  <c r="M21" i="27"/>
  <c r="N21" i="27" s="1"/>
  <c r="H14" i="26"/>
  <c r="F19" i="26" s="1"/>
  <c r="I14" i="26"/>
  <c r="H14" i="24"/>
  <c r="F19" i="24" s="1"/>
  <c r="I14" i="24"/>
  <c r="E15" i="16"/>
  <c r="G29" i="16"/>
  <c r="E16" i="16"/>
  <c r="C15" i="16"/>
  <c r="G28" i="16"/>
  <c r="D16" i="16"/>
  <c r="F16" i="16"/>
  <c r="D15" i="16"/>
  <c r="C16" i="16"/>
  <c r="F15" i="16"/>
  <c r="I15" i="16" s="1"/>
  <c r="F38" i="24"/>
  <c r="I14" i="21"/>
  <c r="H14" i="21"/>
  <c r="F19" i="21" s="1"/>
  <c r="F15" i="25"/>
  <c r="F16" i="25"/>
  <c r="D15" i="25"/>
  <c r="G15" i="25" s="1"/>
  <c r="G29" i="25"/>
  <c r="E16" i="25"/>
  <c r="C15" i="25"/>
  <c r="G28" i="25"/>
  <c r="D16" i="25"/>
  <c r="G27" i="25"/>
  <c r="C16" i="25"/>
  <c r="F57" i="25" s="1"/>
  <c r="E15" i="25"/>
  <c r="H15" i="25" s="1"/>
  <c r="G16" i="21"/>
  <c r="F56" i="18"/>
  <c r="L20" i="21"/>
  <c r="M20" i="21" s="1"/>
  <c r="N20" i="21" s="1"/>
  <c r="J25" i="21"/>
  <c r="L20" i="26"/>
  <c r="M20" i="26" s="1"/>
  <c r="J25" i="26"/>
  <c r="K14" i="18"/>
  <c r="M15" i="18" s="1"/>
  <c r="J22" i="18" s="1"/>
  <c r="M14" i="18"/>
  <c r="G31" i="18" s="1"/>
  <c r="E55" i="3"/>
  <c r="AB55" i="3" s="1"/>
  <c r="I25" i="14"/>
  <c r="F16" i="2"/>
  <c r="G4" i="2"/>
  <c r="AF3" i="5"/>
  <c r="AD3" i="5"/>
  <c r="H39" i="3"/>
  <c r="I38" i="14"/>
  <c r="I14" i="25"/>
  <c r="H14" i="25"/>
  <c r="F19" i="25" s="1"/>
  <c r="F57" i="17"/>
  <c r="I56" i="17"/>
  <c r="J56" i="17" s="1"/>
  <c r="F55" i="17"/>
  <c r="M56" i="17"/>
  <c r="H56" i="17"/>
  <c r="E53" i="3"/>
  <c r="AB53" i="3" s="1"/>
  <c r="H37" i="3"/>
  <c r="H32" i="3"/>
  <c r="I36" i="14"/>
  <c r="I31" i="14"/>
  <c r="H38" i="27"/>
  <c r="M38" i="27"/>
  <c r="I38" i="27"/>
  <c r="J38" i="27" s="1"/>
  <c r="J16" i="27"/>
  <c r="J15" i="27"/>
  <c r="G27" i="27" s="1"/>
  <c r="M14" i="22"/>
  <c r="G30" i="22" s="1"/>
  <c r="K14" i="22"/>
  <c r="M15" i="22" s="1"/>
  <c r="J22" i="22" s="1"/>
  <c r="F56" i="26"/>
  <c r="F38" i="26"/>
  <c r="M56" i="24"/>
  <c r="H56" i="24"/>
  <c r="F57" i="20"/>
  <c r="M56" i="20"/>
  <c r="H56" i="20"/>
  <c r="F55" i="20"/>
  <c r="C16" i="24"/>
  <c r="F55" i="24" s="1"/>
  <c r="E15" i="24"/>
  <c r="H15" i="24" s="1"/>
  <c r="F16" i="24"/>
  <c r="D15" i="24"/>
  <c r="G29" i="24"/>
  <c r="G28" i="24"/>
  <c r="F15" i="24"/>
  <c r="I15" i="24" s="1"/>
  <c r="D16" i="24"/>
  <c r="C15" i="24"/>
  <c r="E16" i="24"/>
  <c r="H16" i="21"/>
  <c r="J25" i="17"/>
  <c r="L20" i="17"/>
  <c r="M20" i="17" s="1"/>
  <c r="N20" i="17" s="1"/>
  <c r="J25" i="25"/>
  <c r="L20" i="25"/>
  <c r="M20" i="25" s="1"/>
  <c r="N20" i="25" s="1"/>
  <c r="J15" i="2"/>
  <c r="K15" i="2" s="1"/>
  <c r="M15" i="2" s="1"/>
  <c r="E52" i="3"/>
  <c r="AB52" i="3" s="1"/>
  <c r="D6" i="14"/>
  <c r="B7" i="14"/>
  <c r="H33" i="3"/>
  <c r="I32" i="14"/>
  <c r="N16" i="2"/>
  <c r="N17" i="2" s="1"/>
  <c r="C9" i="1"/>
  <c r="C11" i="1" s="1"/>
  <c r="C7" i="2"/>
  <c r="F39" i="25"/>
  <c r="J15" i="25"/>
  <c r="M38" i="25"/>
  <c r="F37" i="25"/>
  <c r="J16" i="25"/>
  <c r="H38" i="25"/>
  <c r="L20" i="19"/>
  <c r="M20" i="19" s="1"/>
  <c r="N20" i="19" s="1"/>
  <c r="J25" i="19"/>
  <c r="N19" i="22"/>
  <c r="E47" i="3"/>
  <c r="AB47" i="3" s="1"/>
  <c r="F56" i="22"/>
  <c r="F38" i="22"/>
  <c r="H56" i="21"/>
  <c r="F55" i="21"/>
  <c r="F57" i="21"/>
  <c r="M56" i="21"/>
  <c r="C16" i="18"/>
  <c r="E15" i="18"/>
  <c r="H15" i="18" s="1"/>
  <c r="F16" i="18"/>
  <c r="D15" i="18"/>
  <c r="G15" i="18" s="1"/>
  <c r="E16" i="18"/>
  <c r="H16" i="18" s="1"/>
  <c r="C15" i="18"/>
  <c r="D16" i="18"/>
  <c r="G29" i="18"/>
  <c r="G28" i="18"/>
  <c r="F15" i="18"/>
  <c r="I15" i="18" s="1"/>
  <c r="F38" i="16"/>
  <c r="F56" i="16"/>
  <c r="L20" i="18"/>
  <c r="J25" i="18"/>
  <c r="L20" i="16"/>
  <c r="J25" i="16"/>
  <c r="E54" i="3"/>
  <c r="AB54" i="3" s="1"/>
  <c r="J12" i="2"/>
  <c r="K12" i="2" s="1"/>
  <c r="M12" i="2" s="1"/>
  <c r="E49" i="3"/>
  <c r="AB49" i="3" s="1"/>
  <c r="I16" i="2"/>
  <c r="I17" i="2"/>
  <c r="T27" i="2" s="1"/>
  <c r="G91" i="14"/>
  <c r="K22" i="1"/>
  <c r="D18" i="1"/>
  <c r="N22" i="1"/>
  <c r="E50" i="3"/>
  <c r="AB50" i="3" s="1"/>
  <c r="N21" i="18"/>
  <c r="G29" i="27"/>
  <c r="F15" i="27"/>
  <c r="E15" i="27"/>
  <c r="G28" i="27"/>
  <c r="F16" i="27"/>
  <c r="E16" i="27"/>
  <c r="D16" i="27"/>
  <c r="D15" i="27"/>
  <c r="C15" i="27"/>
  <c r="F39" i="27" s="1"/>
  <c r="C16" i="27"/>
  <c r="F57" i="27" s="1"/>
  <c r="L20" i="24"/>
  <c r="N20" i="24" s="1"/>
  <c r="M20" i="24"/>
  <c r="J25" i="24"/>
  <c r="J25" i="27"/>
  <c r="L20" i="27"/>
  <c r="M20" i="27" s="1"/>
  <c r="H14" i="16"/>
  <c r="F19" i="16" s="1"/>
  <c r="I14" i="16"/>
  <c r="M38" i="17"/>
  <c r="J15" i="17"/>
  <c r="G27" i="17" s="1"/>
  <c r="H38" i="17"/>
  <c r="F39" i="17"/>
  <c r="N21" i="26"/>
  <c r="M21" i="24"/>
  <c r="N21" i="24" s="1"/>
  <c r="F56" i="23"/>
  <c r="J15" i="21"/>
  <c r="G27" i="21" s="1"/>
  <c r="J16" i="21"/>
  <c r="F39" i="21"/>
  <c r="F37" i="21"/>
  <c r="M38" i="21"/>
  <c r="H38" i="21"/>
  <c r="I38" i="21" s="1"/>
  <c r="F15" i="23"/>
  <c r="F16" i="23"/>
  <c r="D15" i="23"/>
  <c r="G29" i="23"/>
  <c r="E16" i="23"/>
  <c r="H16" i="23" s="1"/>
  <c r="C15" i="23"/>
  <c r="D16" i="23"/>
  <c r="C16" i="23"/>
  <c r="E15" i="23"/>
  <c r="H15" i="23" s="1"/>
  <c r="G28" i="23"/>
  <c r="E15" i="26"/>
  <c r="C16" i="26"/>
  <c r="F15" i="26"/>
  <c r="C15" i="26"/>
  <c r="F16" i="26"/>
  <c r="G29" i="26"/>
  <c r="E16" i="26"/>
  <c r="D16" i="26"/>
  <c r="D15" i="26"/>
  <c r="G28" i="26"/>
  <c r="I15" i="21"/>
  <c r="I16" i="21"/>
  <c r="H15" i="20"/>
  <c r="I15" i="17"/>
  <c r="J20" i="20"/>
  <c r="F38" i="20"/>
  <c r="G15" i="20"/>
  <c r="N21" i="23"/>
  <c r="G16" i="20"/>
  <c r="J9" i="2"/>
  <c r="K9" i="2" s="1"/>
  <c r="M9" i="2" s="1"/>
  <c r="J5" i="2"/>
  <c r="K5" i="2" s="1"/>
  <c r="J13" i="2"/>
  <c r="K13" i="2" s="1"/>
  <c r="M13" i="2" s="1"/>
  <c r="I17" i="4"/>
  <c r="K15" i="4"/>
  <c r="G15" i="2"/>
  <c r="H15" i="2" s="1"/>
  <c r="H16" i="22" l="1"/>
  <c r="J16" i="17"/>
  <c r="I38" i="17"/>
  <c r="J38" i="17" s="1"/>
  <c r="M20" i="18"/>
  <c r="N20" i="18" s="1"/>
  <c r="G16" i="25"/>
  <c r="I16" i="25"/>
  <c r="F60" i="25" s="1"/>
  <c r="H16" i="16"/>
  <c r="H15" i="19"/>
  <c r="I16" i="22"/>
  <c r="N25" i="22"/>
  <c r="F55" i="27"/>
  <c r="G30" i="18"/>
  <c r="H15" i="22"/>
  <c r="N20" i="26"/>
  <c r="I16" i="16"/>
  <c r="H15" i="16"/>
  <c r="I38" i="25"/>
  <c r="J38" i="25" s="1"/>
  <c r="G15" i="16"/>
  <c r="I56" i="27"/>
  <c r="J56" i="27" s="1"/>
  <c r="I15" i="22"/>
  <c r="H16" i="25"/>
  <c r="G16" i="16"/>
  <c r="J56" i="20"/>
  <c r="M57" i="27"/>
  <c r="F62" i="27"/>
  <c r="H57" i="27"/>
  <c r="F59" i="25"/>
  <c r="M57" i="25"/>
  <c r="I57" i="25"/>
  <c r="J57" i="25" s="1"/>
  <c r="F65" i="25"/>
  <c r="F58" i="25"/>
  <c r="H57" i="25"/>
  <c r="I39" i="27"/>
  <c r="F41" i="27"/>
  <c r="M39" i="27"/>
  <c r="H39" i="27"/>
  <c r="J39" i="27" s="1"/>
  <c r="H55" i="24"/>
  <c r="I55" i="24" s="1"/>
  <c r="M55" i="24"/>
  <c r="J38" i="16"/>
  <c r="H38" i="16"/>
  <c r="F37" i="16"/>
  <c r="J16" i="16"/>
  <c r="M38" i="16"/>
  <c r="I38" i="16"/>
  <c r="J15" i="16"/>
  <c r="G27" i="16" s="1"/>
  <c r="F39" i="16"/>
  <c r="F10" i="4"/>
  <c r="D11" i="4"/>
  <c r="F11" i="4" s="1"/>
  <c r="E56" i="3"/>
  <c r="AB56" i="3" s="1"/>
  <c r="J38" i="21"/>
  <c r="G15" i="27"/>
  <c r="F40" i="27" s="1"/>
  <c r="L25" i="19"/>
  <c r="I56" i="24"/>
  <c r="J56" i="24" s="1"/>
  <c r="F37" i="27"/>
  <c r="M56" i="18"/>
  <c r="F57" i="18"/>
  <c r="H56" i="18"/>
  <c r="F55" i="18"/>
  <c r="L22" i="1"/>
  <c r="G15" i="23"/>
  <c r="F57" i="23"/>
  <c r="M56" i="23"/>
  <c r="H56" i="23"/>
  <c r="I56" i="23" s="1"/>
  <c r="J56" i="23" s="1"/>
  <c r="F55" i="23"/>
  <c r="F34" i="17"/>
  <c r="H37" i="17"/>
  <c r="I37" i="17" s="1"/>
  <c r="J37" i="17" s="1"/>
  <c r="F36" i="17"/>
  <c r="M37" i="17"/>
  <c r="F35" i="17"/>
  <c r="G16" i="27"/>
  <c r="F58" i="27" s="1"/>
  <c r="H15" i="27"/>
  <c r="I16" i="18"/>
  <c r="I56" i="21"/>
  <c r="J56" i="21" s="1"/>
  <c r="H38" i="22"/>
  <c r="J38" i="22" s="1"/>
  <c r="F37" i="22"/>
  <c r="J16" i="22"/>
  <c r="J15" i="22"/>
  <c r="G27" i="22" s="1"/>
  <c r="F39" i="22"/>
  <c r="M38" i="22"/>
  <c r="I38" i="22"/>
  <c r="G18" i="3"/>
  <c r="J4" i="2"/>
  <c r="H20" i="3"/>
  <c r="E18" i="3"/>
  <c r="G20" i="3"/>
  <c r="H17" i="3"/>
  <c r="F17" i="1"/>
  <c r="I18" i="14"/>
  <c r="E20" i="3"/>
  <c r="G17" i="3"/>
  <c r="E17" i="3"/>
  <c r="I21" i="14"/>
  <c r="F18" i="14"/>
  <c r="B18" i="1"/>
  <c r="I17" i="14"/>
  <c r="H17" i="14"/>
  <c r="F17" i="14"/>
  <c r="J14" i="2"/>
  <c r="K14" i="2" s="1"/>
  <c r="M14" i="2" s="1"/>
  <c r="H21" i="14"/>
  <c r="H18" i="3"/>
  <c r="J11" i="2"/>
  <c r="K11" i="2" s="1"/>
  <c r="M11" i="2" s="1"/>
  <c r="J8" i="2"/>
  <c r="K8" i="2" s="1"/>
  <c r="M8" i="2" s="1"/>
  <c r="J7" i="2"/>
  <c r="K7" i="2" s="1"/>
  <c r="M7" i="2" s="1"/>
  <c r="H16" i="24"/>
  <c r="F53" i="24" s="1"/>
  <c r="G15" i="24"/>
  <c r="I56" i="20"/>
  <c r="F64" i="17"/>
  <c r="F59" i="17"/>
  <c r="M57" i="17"/>
  <c r="F60" i="17"/>
  <c r="F58" i="17"/>
  <c r="H57" i="17"/>
  <c r="F65" i="17"/>
  <c r="F62" i="17"/>
  <c r="K14" i="24"/>
  <c r="M15" i="24" s="1"/>
  <c r="J22" i="24" s="1"/>
  <c r="M14" i="24"/>
  <c r="F55" i="25"/>
  <c r="H16" i="19"/>
  <c r="J6" i="2"/>
  <c r="K6" i="2" s="1"/>
  <c r="M6" i="2" s="1"/>
  <c r="G15" i="22"/>
  <c r="G16" i="22"/>
  <c r="G31" i="22"/>
  <c r="G16" i="26"/>
  <c r="L25" i="27"/>
  <c r="M25" i="27" s="1"/>
  <c r="N25" i="27" s="1"/>
  <c r="L22" i="19"/>
  <c r="M22" i="19" s="1"/>
  <c r="N22" i="19" s="1"/>
  <c r="K15" i="19"/>
  <c r="J23" i="19" s="1"/>
  <c r="M14" i="27"/>
  <c r="K14" i="27"/>
  <c r="M15" i="27" s="1"/>
  <c r="J22" i="27" s="1"/>
  <c r="M14" i="16"/>
  <c r="K14" i="16"/>
  <c r="M15" i="16" s="1"/>
  <c r="J22" i="16" s="1"/>
  <c r="F60" i="20"/>
  <c r="H57" i="20"/>
  <c r="J57" i="20" s="1"/>
  <c r="F64" i="20"/>
  <c r="F65" i="20"/>
  <c r="F59" i="20"/>
  <c r="F62" i="20"/>
  <c r="F58" i="20"/>
  <c r="M57" i="20"/>
  <c r="I57" i="20"/>
  <c r="L25" i="26"/>
  <c r="H55" i="27"/>
  <c r="I55" i="27" s="1"/>
  <c r="J55" i="27" s="1"/>
  <c r="M55" i="27"/>
  <c r="F39" i="18"/>
  <c r="M38" i="18"/>
  <c r="J15" i="18"/>
  <c r="G27" i="18" s="1"/>
  <c r="H38" i="18"/>
  <c r="I38" i="18" s="1"/>
  <c r="J38" i="18" s="1"/>
  <c r="J16" i="18"/>
  <c r="F37" i="18"/>
  <c r="M14" i="17"/>
  <c r="K14" i="17"/>
  <c r="M15" i="17" s="1"/>
  <c r="J22" i="17" s="1"/>
  <c r="K16" i="4"/>
  <c r="I18" i="4"/>
  <c r="I16" i="26"/>
  <c r="H15" i="26"/>
  <c r="G16" i="23"/>
  <c r="I16" i="23"/>
  <c r="H37" i="21"/>
  <c r="I37" i="21" s="1"/>
  <c r="J37" i="21" s="1"/>
  <c r="F36" i="21"/>
  <c r="M37" i="21"/>
  <c r="F35" i="21"/>
  <c r="F34" i="21"/>
  <c r="N20" i="27"/>
  <c r="H16" i="27"/>
  <c r="F53" i="27" s="1"/>
  <c r="M20" i="16"/>
  <c r="N20" i="16" s="1"/>
  <c r="M56" i="22"/>
  <c r="I56" i="22"/>
  <c r="J56" i="22" s="1"/>
  <c r="H56" i="22"/>
  <c r="F55" i="22"/>
  <c r="F57" i="22"/>
  <c r="I16" i="24"/>
  <c r="F52" i="24" s="1"/>
  <c r="H55" i="20"/>
  <c r="F54" i="20"/>
  <c r="M55" i="20"/>
  <c r="F52" i="20"/>
  <c r="F53" i="20"/>
  <c r="H38" i="26"/>
  <c r="J16" i="26"/>
  <c r="J15" i="26"/>
  <c r="G27" i="26" s="1"/>
  <c r="F39" i="26"/>
  <c r="F37" i="26"/>
  <c r="M38" i="26"/>
  <c r="G16" i="2"/>
  <c r="H4" i="2"/>
  <c r="G17" i="2"/>
  <c r="L25" i="21"/>
  <c r="I15" i="25"/>
  <c r="F42" i="25" s="1"/>
  <c r="G15" i="19"/>
  <c r="I15" i="19"/>
  <c r="M37" i="14"/>
  <c r="M49" i="14"/>
  <c r="N49" i="14" s="1"/>
  <c r="M50" i="14" s="1"/>
  <c r="N50" i="14" s="1"/>
  <c r="M51" i="14" s="1"/>
  <c r="N51" i="14" s="1"/>
  <c r="M52" i="14" s="1"/>
  <c r="N52" i="14" s="1"/>
  <c r="M53" i="14" s="1"/>
  <c r="N53" i="14" s="1"/>
  <c r="M54" i="14" s="1"/>
  <c r="N54" i="14" s="1"/>
  <c r="M55" i="14" s="1"/>
  <c r="N55" i="14" s="1"/>
  <c r="M44" i="14" s="1"/>
  <c r="N44" i="14" s="1"/>
  <c r="M45" i="14" s="1"/>
  <c r="N45" i="14" s="1"/>
  <c r="M46" i="14" s="1"/>
  <c r="N46" i="14" s="1"/>
  <c r="M47" i="14" s="1"/>
  <c r="N47" i="14" s="1"/>
  <c r="M48" i="14" s="1"/>
  <c r="N48" i="14" s="1"/>
  <c r="J48" i="14" s="1"/>
  <c r="K14" i="20"/>
  <c r="M15" i="20" s="1"/>
  <c r="J22" i="20" s="1"/>
  <c r="M14" i="20"/>
  <c r="H56" i="19"/>
  <c r="F55" i="19"/>
  <c r="F57" i="19"/>
  <c r="M56" i="19"/>
  <c r="H38" i="24"/>
  <c r="F39" i="24"/>
  <c r="J15" i="24"/>
  <c r="G27" i="24" s="1"/>
  <c r="M38" i="24"/>
  <c r="J16" i="24"/>
  <c r="F37" i="24"/>
  <c r="H22" i="3"/>
  <c r="C6" i="2"/>
  <c r="L25" i="25"/>
  <c r="M25" i="25" s="1"/>
  <c r="N25" i="25" s="1"/>
  <c r="F42" i="21"/>
  <c r="H39" i="21"/>
  <c r="F46" i="21"/>
  <c r="F40" i="21"/>
  <c r="M39" i="21"/>
  <c r="F47" i="21"/>
  <c r="F41" i="21"/>
  <c r="F44" i="21"/>
  <c r="I15" i="27"/>
  <c r="F42" i="27" s="1"/>
  <c r="G16" i="18"/>
  <c r="F59" i="21"/>
  <c r="M57" i="21"/>
  <c r="F62" i="21"/>
  <c r="H57" i="21"/>
  <c r="I57" i="21" s="1"/>
  <c r="F65" i="21"/>
  <c r="F64" i="21"/>
  <c r="F60" i="21"/>
  <c r="F58" i="21"/>
  <c r="G16" i="24"/>
  <c r="F54" i="24" s="1"/>
  <c r="F57" i="24"/>
  <c r="M56" i="26"/>
  <c r="F57" i="26"/>
  <c r="F55" i="26"/>
  <c r="H56" i="26"/>
  <c r="I56" i="26" s="1"/>
  <c r="J56" i="26" s="1"/>
  <c r="M14" i="25"/>
  <c r="K14" i="25"/>
  <c r="M15" i="25" s="1"/>
  <c r="J22" i="25" s="1"/>
  <c r="K15" i="18"/>
  <c r="J23" i="18" s="1"/>
  <c r="L22" i="18"/>
  <c r="M22" i="18" s="1"/>
  <c r="M14" i="26"/>
  <c r="K14" i="26"/>
  <c r="M15" i="26" s="1"/>
  <c r="J22" i="26" s="1"/>
  <c r="I16" i="19"/>
  <c r="G16" i="19"/>
  <c r="M38" i="23"/>
  <c r="J15" i="23"/>
  <c r="G27" i="23" s="1"/>
  <c r="H38" i="23"/>
  <c r="I38" i="23" s="1"/>
  <c r="F37" i="23"/>
  <c r="F39" i="23"/>
  <c r="J16" i="23"/>
  <c r="J16" i="19"/>
  <c r="M38" i="19"/>
  <c r="H38" i="19"/>
  <c r="I38" i="19" s="1"/>
  <c r="J15" i="19"/>
  <c r="G27" i="19" s="1"/>
  <c r="F37" i="19"/>
  <c r="F39" i="19"/>
  <c r="F47" i="17"/>
  <c r="F40" i="17"/>
  <c r="F42" i="17"/>
  <c r="F44" i="17"/>
  <c r="I39" i="17"/>
  <c r="F41" i="17"/>
  <c r="F46" i="17"/>
  <c r="M39" i="17"/>
  <c r="H39" i="17"/>
  <c r="H16" i="26"/>
  <c r="L25" i="24"/>
  <c r="M25" i="24" s="1"/>
  <c r="N25" i="24" s="1"/>
  <c r="L25" i="18"/>
  <c r="M25" i="18" s="1"/>
  <c r="N25" i="18" s="1"/>
  <c r="H37" i="25"/>
  <c r="F36" i="25"/>
  <c r="I37" i="25"/>
  <c r="F35" i="25"/>
  <c r="M37" i="25"/>
  <c r="H38" i="20"/>
  <c r="F37" i="20"/>
  <c r="F39" i="20"/>
  <c r="M38" i="20"/>
  <c r="J15" i="20"/>
  <c r="G27" i="20" s="1"/>
  <c r="J16" i="20"/>
  <c r="I38" i="20"/>
  <c r="J25" i="20"/>
  <c r="L20" i="20"/>
  <c r="M20" i="20" s="1"/>
  <c r="N20" i="20" s="1"/>
  <c r="G15" i="26"/>
  <c r="I15" i="26"/>
  <c r="I15" i="23"/>
  <c r="I16" i="27"/>
  <c r="F60" i="27" s="1"/>
  <c r="C27" i="1"/>
  <c r="C25" i="1"/>
  <c r="B21" i="1"/>
  <c r="B27" i="1"/>
  <c r="B25" i="1"/>
  <c r="D29" i="1"/>
  <c r="B22" i="1"/>
  <c r="L25" i="16"/>
  <c r="M25" i="16" s="1"/>
  <c r="M56" i="16"/>
  <c r="H56" i="16"/>
  <c r="F55" i="16"/>
  <c r="F57" i="16"/>
  <c r="F53" i="21"/>
  <c r="F52" i="21"/>
  <c r="F54" i="21"/>
  <c r="M55" i="21"/>
  <c r="H55" i="21"/>
  <c r="F41" i="25"/>
  <c r="F47" i="25"/>
  <c r="F44" i="25"/>
  <c r="F40" i="25"/>
  <c r="M39" i="25"/>
  <c r="H39" i="25"/>
  <c r="I39" i="25" s="1"/>
  <c r="F46" i="25"/>
  <c r="L25" i="17"/>
  <c r="K15" i="22"/>
  <c r="J23" i="22" s="1"/>
  <c r="M22" i="22"/>
  <c r="N22" i="22" s="1"/>
  <c r="L22" i="22"/>
  <c r="M55" i="17"/>
  <c r="F53" i="17"/>
  <c r="H55" i="17"/>
  <c r="F54" i="17"/>
  <c r="F52" i="17"/>
  <c r="M14" i="21"/>
  <c r="K14" i="21"/>
  <c r="M15" i="21" s="1"/>
  <c r="J22" i="21" s="1"/>
  <c r="L38" i="3"/>
  <c r="M20" i="23"/>
  <c r="N20" i="23" s="1"/>
  <c r="J25" i="23"/>
  <c r="L20" i="23"/>
  <c r="J10" i="2"/>
  <c r="K10" i="2" s="1"/>
  <c r="M10" i="2" s="1"/>
  <c r="M14" i="23"/>
  <c r="K14" i="23"/>
  <c r="M15" i="23" s="1"/>
  <c r="J22" i="23" s="1"/>
  <c r="J49" i="14" l="1"/>
  <c r="J50" i="14"/>
  <c r="M25" i="19"/>
  <c r="N25" i="19" s="1"/>
  <c r="F34" i="25"/>
  <c r="M34" i="25" s="1"/>
  <c r="J52" i="14"/>
  <c r="F65" i="27"/>
  <c r="M65" i="27" s="1"/>
  <c r="J39" i="21"/>
  <c r="J45" i="14"/>
  <c r="J55" i="24"/>
  <c r="J38" i="20"/>
  <c r="J37" i="25"/>
  <c r="J39" i="17"/>
  <c r="J51" i="14"/>
  <c r="F46" i="27"/>
  <c r="N25" i="16"/>
  <c r="J44" i="14"/>
  <c r="I39" i="21"/>
  <c r="F52" i="27"/>
  <c r="M52" i="27" s="1"/>
  <c r="J47" i="14"/>
  <c r="H60" i="27"/>
  <c r="M60" i="27"/>
  <c r="M58" i="27"/>
  <c r="H58" i="27"/>
  <c r="H53" i="27"/>
  <c r="M53" i="27"/>
  <c r="M54" i="24"/>
  <c r="H54" i="24"/>
  <c r="I54" i="24" s="1"/>
  <c r="J54" i="24" s="1"/>
  <c r="H42" i="27"/>
  <c r="M42" i="27"/>
  <c r="M42" i="25"/>
  <c r="H42" i="25"/>
  <c r="I42" i="25" s="1"/>
  <c r="M46" i="27"/>
  <c r="H46" i="27"/>
  <c r="I46" i="27" s="1"/>
  <c r="J57" i="27"/>
  <c r="N25" i="17"/>
  <c r="M41" i="25"/>
  <c r="I41" i="25"/>
  <c r="H41" i="25"/>
  <c r="J41" i="25" s="1"/>
  <c r="M55" i="19"/>
  <c r="F52" i="19"/>
  <c r="H55" i="19"/>
  <c r="I55" i="19" s="1"/>
  <c r="F54" i="19"/>
  <c r="F53" i="19"/>
  <c r="M53" i="20"/>
  <c r="H53" i="20"/>
  <c r="I53" i="20" s="1"/>
  <c r="J53" i="20" s="1"/>
  <c r="H35" i="21"/>
  <c r="M35" i="21"/>
  <c r="M58" i="20"/>
  <c r="H58" i="20"/>
  <c r="M59" i="17"/>
  <c r="H59" i="17"/>
  <c r="I59" i="17" s="1"/>
  <c r="F52" i="18"/>
  <c r="F53" i="18"/>
  <c r="F54" i="18"/>
  <c r="M55" i="18"/>
  <c r="H55" i="18"/>
  <c r="I55" i="18" s="1"/>
  <c r="M52" i="24"/>
  <c r="H52" i="24"/>
  <c r="H60" i="25"/>
  <c r="I60" i="25"/>
  <c r="M60" i="25"/>
  <c r="L23" i="22"/>
  <c r="J24" i="22"/>
  <c r="J39" i="25"/>
  <c r="M46" i="17"/>
  <c r="H46" i="17"/>
  <c r="I55" i="20"/>
  <c r="J55" i="20" s="1"/>
  <c r="G31" i="17"/>
  <c r="G30" i="17"/>
  <c r="M25" i="26"/>
  <c r="N25" i="26" s="1"/>
  <c r="H62" i="20"/>
  <c r="I62" i="20" s="1"/>
  <c r="J62" i="20" s="1"/>
  <c r="F63" i="20"/>
  <c r="M62" i="20"/>
  <c r="M60" i="20"/>
  <c r="H60" i="20"/>
  <c r="I55" i="25"/>
  <c r="J55" i="25" s="1"/>
  <c r="F53" i="25"/>
  <c r="F54" i="25"/>
  <c r="H55" i="25"/>
  <c r="F52" i="25"/>
  <c r="M55" i="25"/>
  <c r="I57" i="17"/>
  <c r="J57" i="17" s="1"/>
  <c r="M64" i="17"/>
  <c r="H64" i="17"/>
  <c r="F46" i="22"/>
  <c r="F41" i="22"/>
  <c r="M39" i="22"/>
  <c r="F44" i="22"/>
  <c r="H39" i="22"/>
  <c r="F47" i="22"/>
  <c r="F40" i="22"/>
  <c r="F42" i="22"/>
  <c r="H35" i="17"/>
  <c r="M35" i="17"/>
  <c r="I35" i="17"/>
  <c r="J35" i="17" s="1"/>
  <c r="F64" i="23"/>
  <c r="F59" i="23"/>
  <c r="M57" i="23"/>
  <c r="F60" i="23"/>
  <c r="H57" i="23"/>
  <c r="I57" i="23" s="1"/>
  <c r="F65" i="23"/>
  <c r="F62" i="23"/>
  <c r="F58" i="23"/>
  <c r="H53" i="24"/>
  <c r="I53" i="24" s="1"/>
  <c r="M53" i="24"/>
  <c r="M41" i="27"/>
  <c r="H41" i="27"/>
  <c r="I41" i="27" s="1"/>
  <c r="J41" i="27" s="1"/>
  <c r="F64" i="25"/>
  <c r="I57" i="27"/>
  <c r="F64" i="27"/>
  <c r="G31" i="21"/>
  <c r="G30" i="21"/>
  <c r="I55" i="17"/>
  <c r="J55" i="17" s="1"/>
  <c r="M25" i="17"/>
  <c r="M40" i="25"/>
  <c r="H40" i="25"/>
  <c r="I40" i="25" s="1"/>
  <c r="J40" i="25" s="1"/>
  <c r="M53" i="21"/>
  <c r="H53" i="21"/>
  <c r="I56" i="16"/>
  <c r="J56" i="16" s="1"/>
  <c r="H41" i="17"/>
  <c r="M41" i="17"/>
  <c r="M47" i="17"/>
  <c r="H47" i="17"/>
  <c r="I47" i="17" s="1"/>
  <c r="J47" i="17" s="1"/>
  <c r="J38" i="19"/>
  <c r="F34" i="23"/>
  <c r="H37" i="23"/>
  <c r="I37" i="23" s="1"/>
  <c r="F36" i="23"/>
  <c r="M37" i="23"/>
  <c r="F35" i="23"/>
  <c r="L23" i="18"/>
  <c r="M23" i="18" s="1"/>
  <c r="N23" i="18" s="1"/>
  <c r="J24" i="18"/>
  <c r="F65" i="26"/>
  <c r="F58" i="26"/>
  <c r="F59" i="26"/>
  <c r="M57" i="26"/>
  <c r="F64" i="26"/>
  <c r="F62" i="26"/>
  <c r="H57" i="26"/>
  <c r="I57" i="26" s="1"/>
  <c r="J57" i="26" s="1"/>
  <c r="F60" i="26"/>
  <c r="J57" i="21"/>
  <c r="M40" i="21"/>
  <c r="I40" i="21"/>
  <c r="J40" i="21" s="1"/>
  <c r="H40" i="21"/>
  <c r="I38" i="24"/>
  <c r="J38" i="24" s="1"/>
  <c r="I56" i="19"/>
  <c r="J56" i="19" s="1"/>
  <c r="G30" i="20"/>
  <c r="G31" i="20"/>
  <c r="E45" i="3"/>
  <c r="H17" i="2"/>
  <c r="J26" i="2" s="1"/>
  <c r="H16" i="2"/>
  <c r="F65" i="22"/>
  <c r="F58" i="22"/>
  <c r="F60" i="22"/>
  <c r="F62" i="22"/>
  <c r="H57" i="22"/>
  <c r="I57" i="22" s="1"/>
  <c r="J57" i="22" s="1"/>
  <c r="F59" i="22"/>
  <c r="F64" i="22"/>
  <c r="M57" i="22"/>
  <c r="M37" i="18"/>
  <c r="F35" i="18"/>
  <c r="H37" i="18"/>
  <c r="I37" i="18" s="1"/>
  <c r="J37" i="18" s="1"/>
  <c r="F36" i="18"/>
  <c r="F34" i="18"/>
  <c r="H59" i="20"/>
  <c r="M59" i="20"/>
  <c r="K15" i="16"/>
  <c r="J23" i="16" s="1"/>
  <c r="L22" i="16"/>
  <c r="L23" i="19"/>
  <c r="M23" i="19" s="1"/>
  <c r="J24" i="19"/>
  <c r="G30" i="24"/>
  <c r="G31" i="24"/>
  <c r="H58" i="17"/>
  <c r="I58" i="17" s="1"/>
  <c r="J58" i="17" s="1"/>
  <c r="M58" i="17"/>
  <c r="M55" i="23"/>
  <c r="F53" i="23"/>
  <c r="H55" i="23"/>
  <c r="I55" i="23" s="1"/>
  <c r="F54" i="23"/>
  <c r="F52" i="23"/>
  <c r="I56" i="18"/>
  <c r="J56" i="18" s="1"/>
  <c r="J53" i="14"/>
  <c r="J54" i="14"/>
  <c r="M40" i="27"/>
  <c r="H40" i="27"/>
  <c r="I40" i="27" s="1"/>
  <c r="J40" i="27" s="1"/>
  <c r="H62" i="27"/>
  <c r="M62" i="27"/>
  <c r="I62" i="27"/>
  <c r="J62" i="27" s="1"/>
  <c r="F63" i="27"/>
  <c r="H54" i="21"/>
  <c r="M54" i="21"/>
  <c r="I54" i="21"/>
  <c r="L22" i="17"/>
  <c r="M22" i="17" s="1"/>
  <c r="N22" i="17" s="1"/>
  <c r="K15" i="17"/>
  <c r="J23" i="17" s="1"/>
  <c r="M34" i="17"/>
  <c r="H34" i="17"/>
  <c r="H65" i="25"/>
  <c r="M65" i="25"/>
  <c r="I65" i="25"/>
  <c r="L22" i="21"/>
  <c r="M22" i="21" s="1"/>
  <c r="K15" i="21"/>
  <c r="J23" i="21" s="1"/>
  <c r="H52" i="21"/>
  <c r="I52" i="21" s="1"/>
  <c r="M52" i="21"/>
  <c r="H36" i="25"/>
  <c r="M36" i="25"/>
  <c r="I36" i="25"/>
  <c r="M40" i="17"/>
  <c r="H40" i="17"/>
  <c r="I40" i="17" s="1"/>
  <c r="J40" i="17" s="1"/>
  <c r="F52" i="26"/>
  <c r="I55" i="26"/>
  <c r="F53" i="26"/>
  <c r="F54" i="26"/>
  <c r="M55" i="26"/>
  <c r="H55" i="26"/>
  <c r="I55" i="21"/>
  <c r="J55" i="21" s="1"/>
  <c r="H35" i="25"/>
  <c r="M35" i="25"/>
  <c r="K15" i="26"/>
  <c r="J23" i="26" s="1"/>
  <c r="L22" i="26"/>
  <c r="M22" i="26" s="1"/>
  <c r="L22" i="25"/>
  <c r="M22" i="25" s="1"/>
  <c r="N22" i="25" s="1"/>
  <c r="K15" i="25"/>
  <c r="J23" i="25" s="1"/>
  <c r="I58" i="21"/>
  <c r="J58" i="21" s="1"/>
  <c r="M58" i="21"/>
  <c r="H58" i="21"/>
  <c r="F63" i="21"/>
  <c r="M62" i="21"/>
  <c r="H62" i="21"/>
  <c r="I62" i="21" s="1"/>
  <c r="J62" i="21" s="1"/>
  <c r="H44" i="21"/>
  <c r="I44" i="21" s="1"/>
  <c r="J44" i="21" s="1"/>
  <c r="F45" i="21"/>
  <c r="M44" i="21"/>
  <c r="H46" i="21"/>
  <c r="M46" i="21"/>
  <c r="I46" i="21"/>
  <c r="M22" i="20"/>
  <c r="K15" i="20"/>
  <c r="J23" i="20" s="1"/>
  <c r="L22" i="20"/>
  <c r="N22" i="20" s="1"/>
  <c r="M52" i="20"/>
  <c r="H52" i="20"/>
  <c r="I52" i="20" s="1"/>
  <c r="J52" i="20" s="1"/>
  <c r="F46" i="18"/>
  <c r="F40" i="18"/>
  <c r="F41" i="18"/>
  <c r="M39" i="18"/>
  <c r="F42" i="18"/>
  <c r="F44" i="18"/>
  <c r="H39" i="18"/>
  <c r="I39" i="18" s="1"/>
  <c r="J39" i="18" s="1"/>
  <c r="F47" i="18"/>
  <c r="F54" i="27"/>
  <c r="M65" i="20"/>
  <c r="H65" i="20"/>
  <c r="I65" i="20" s="1"/>
  <c r="G30" i="16"/>
  <c r="G31" i="16"/>
  <c r="K15" i="24"/>
  <c r="J23" i="24" s="1"/>
  <c r="L22" i="24"/>
  <c r="M22" i="24" s="1"/>
  <c r="N22" i="24" s="1"/>
  <c r="J16" i="2"/>
  <c r="K4" i="2"/>
  <c r="H57" i="18"/>
  <c r="F65" i="18"/>
  <c r="F58" i="18"/>
  <c r="F59" i="18"/>
  <c r="M57" i="18"/>
  <c r="F62" i="18"/>
  <c r="F64" i="18"/>
  <c r="F60" i="18"/>
  <c r="J55" i="14"/>
  <c r="F47" i="27"/>
  <c r="M59" i="25"/>
  <c r="H59" i="25"/>
  <c r="I59" i="25" s="1"/>
  <c r="J59" i="25" s="1"/>
  <c r="F52" i="16"/>
  <c r="H55" i="16"/>
  <c r="F54" i="16"/>
  <c r="M55" i="16"/>
  <c r="F53" i="16"/>
  <c r="H34" i="25"/>
  <c r="I34" i="25" s="1"/>
  <c r="J34" i="25" s="1"/>
  <c r="H65" i="21"/>
  <c r="I65" i="21" s="1"/>
  <c r="M65" i="21"/>
  <c r="M42" i="21"/>
  <c r="H42" i="21"/>
  <c r="M37" i="24"/>
  <c r="F35" i="24"/>
  <c r="F36" i="24"/>
  <c r="H37" i="24"/>
  <c r="I37" i="24" s="1"/>
  <c r="F34" i="24"/>
  <c r="F41" i="26"/>
  <c r="M39" i="26"/>
  <c r="F42" i="26"/>
  <c r="F40" i="26"/>
  <c r="F46" i="26"/>
  <c r="F44" i="26"/>
  <c r="H39" i="26"/>
  <c r="I39" i="26" s="1"/>
  <c r="F47" i="26"/>
  <c r="F34" i="27"/>
  <c r="I37" i="27"/>
  <c r="J37" i="27" s="1"/>
  <c r="F35" i="27"/>
  <c r="H37" i="27"/>
  <c r="F36" i="27"/>
  <c r="M37" i="27"/>
  <c r="H53" i="17"/>
  <c r="M53" i="17"/>
  <c r="F47" i="23"/>
  <c r="F40" i="23"/>
  <c r="F42" i="23"/>
  <c r="F44" i="23"/>
  <c r="F46" i="23"/>
  <c r="M39" i="23"/>
  <c r="H39" i="23"/>
  <c r="F41" i="23"/>
  <c r="N22" i="18"/>
  <c r="L25" i="23"/>
  <c r="M25" i="23" s="1"/>
  <c r="H52" i="17"/>
  <c r="M52" i="17"/>
  <c r="H44" i="25"/>
  <c r="M44" i="25"/>
  <c r="I44" i="25"/>
  <c r="F45" i="25"/>
  <c r="L22" i="23"/>
  <c r="M22" i="23" s="1"/>
  <c r="K15" i="23"/>
  <c r="J23" i="23" s="1"/>
  <c r="M47" i="25"/>
  <c r="H47" i="25"/>
  <c r="I47" i="25"/>
  <c r="J47" i="25" s="1"/>
  <c r="H39" i="19"/>
  <c r="F47" i="19"/>
  <c r="F40" i="19"/>
  <c r="F41" i="19"/>
  <c r="M39" i="19"/>
  <c r="F44" i="19"/>
  <c r="F46" i="19"/>
  <c r="F42" i="19"/>
  <c r="C13" i="1"/>
  <c r="I24" i="14"/>
  <c r="M25" i="21"/>
  <c r="N25" i="21" s="1"/>
  <c r="I38" i="26"/>
  <c r="J38" i="26" s="1"/>
  <c r="I19" i="4"/>
  <c r="K17" i="4"/>
  <c r="H64" i="20"/>
  <c r="M64" i="20"/>
  <c r="K15" i="27"/>
  <c r="J23" i="27" s="1"/>
  <c r="L22" i="27"/>
  <c r="M22" i="27" s="1"/>
  <c r="M62" i="17"/>
  <c r="I62" i="17"/>
  <c r="H62" i="17"/>
  <c r="F63" i="17"/>
  <c r="H60" i="17"/>
  <c r="I60" i="17" s="1"/>
  <c r="M60" i="17"/>
  <c r="F35" i="22"/>
  <c r="M37" i="22"/>
  <c r="H37" i="22"/>
  <c r="I37" i="22" s="1"/>
  <c r="F36" i="22"/>
  <c r="F34" i="22"/>
  <c r="H36" i="17"/>
  <c r="I36" i="17" s="1"/>
  <c r="J36" i="17" s="1"/>
  <c r="M36" i="17"/>
  <c r="J46" i="14"/>
  <c r="F35" i="16"/>
  <c r="F34" i="16"/>
  <c r="F36" i="16"/>
  <c r="M37" i="16"/>
  <c r="H37" i="16"/>
  <c r="M58" i="25"/>
  <c r="H58" i="25"/>
  <c r="I58" i="25" s="1"/>
  <c r="J58" i="25" s="1"/>
  <c r="F59" i="27"/>
  <c r="M37" i="20"/>
  <c r="F34" i="20"/>
  <c r="I37" i="20"/>
  <c r="J37" i="20" s="1"/>
  <c r="F35" i="20"/>
  <c r="H37" i="20"/>
  <c r="F36" i="20"/>
  <c r="I42" i="17"/>
  <c r="M42" i="17"/>
  <c r="J42" i="17"/>
  <c r="H42" i="17"/>
  <c r="H44" i="17"/>
  <c r="I44" i="17"/>
  <c r="J44" i="17" s="1"/>
  <c r="F45" i="17"/>
  <c r="M44" i="17"/>
  <c r="G31" i="26"/>
  <c r="G30" i="26"/>
  <c r="G31" i="25"/>
  <c r="G30" i="25"/>
  <c r="H60" i="21"/>
  <c r="M60" i="21"/>
  <c r="M41" i="21"/>
  <c r="H41" i="21"/>
  <c r="F52" i="22"/>
  <c r="H55" i="22"/>
  <c r="F54" i="22"/>
  <c r="M55" i="22"/>
  <c r="I55" i="22"/>
  <c r="J55" i="22" s="1"/>
  <c r="F53" i="22"/>
  <c r="M36" i="21"/>
  <c r="H36" i="21"/>
  <c r="I36" i="21" s="1"/>
  <c r="G30" i="23"/>
  <c r="G31" i="23"/>
  <c r="H54" i="17"/>
  <c r="I54" i="17" s="1"/>
  <c r="J54" i="17" s="1"/>
  <c r="M54" i="17"/>
  <c r="H46" i="25"/>
  <c r="I46" i="25" s="1"/>
  <c r="J46" i="25" s="1"/>
  <c r="M46" i="25"/>
  <c r="F65" i="16"/>
  <c r="F58" i="16"/>
  <c r="F60" i="16"/>
  <c r="F62" i="16"/>
  <c r="F64" i="16"/>
  <c r="M57" i="16"/>
  <c r="H57" i="16"/>
  <c r="F59" i="16"/>
  <c r="L25" i="20"/>
  <c r="F44" i="20"/>
  <c r="I39" i="20"/>
  <c r="J39" i="20" s="1"/>
  <c r="F46" i="20"/>
  <c r="F47" i="20"/>
  <c r="F40" i="20"/>
  <c r="M39" i="20"/>
  <c r="F42" i="20"/>
  <c r="H39" i="20"/>
  <c r="F41" i="20"/>
  <c r="F34" i="19"/>
  <c r="F35" i="19"/>
  <c r="M37" i="19"/>
  <c r="H37" i="19"/>
  <c r="F36" i="19"/>
  <c r="J38" i="23"/>
  <c r="F65" i="24"/>
  <c r="F58" i="24"/>
  <c r="F60" i="24"/>
  <c r="F62" i="24"/>
  <c r="H57" i="24"/>
  <c r="F64" i="24"/>
  <c r="M57" i="24"/>
  <c r="F59" i="24"/>
  <c r="M64" i="21"/>
  <c r="H64" i="21"/>
  <c r="I64" i="21" s="1"/>
  <c r="J64" i="21" s="1"/>
  <c r="M59" i="21"/>
  <c r="H59" i="21"/>
  <c r="M47" i="21"/>
  <c r="H47" i="21"/>
  <c r="I47" i="21" s="1"/>
  <c r="J47" i="21" s="1"/>
  <c r="F41" i="24"/>
  <c r="M39" i="24"/>
  <c r="F46" i="24"/>
  <c r="F42" i="24"/>
  <c r="H39" i="24"/>
  <c r="F47" i="24"/>
  <c r="F44" i="24"/>
  <c r="F40" i="24"/>
  <c r="I39" i="24"/>
  <c r="J39" i="24" s="1"/>
  <c r="F62" i="19"/>
  <c r="F64" i="19"/>
  <c r="F65" i="19"/>
  <c r="F58" i="19"/>
  <c r="F60" i="19"/>
  <c r="H57" i="19"/>
  <c r="F59" i="19"/>
  <c r="M57" i="19"/>
  <c r="F35" i="26"/>
  <c r="H37" i="26"/>
  <c r="I37" i="26" s="1"/>
  <c r="J37" i="26" s="1"/>
  <c r="F36" i="26"/>
  <c r="M37" i="26"/>
  <c r="F34" i="26"/>
  <c r="M54" i="20"/>
  <c r="H54" i="20"/>
  <c r="I54" i="20" s="1"/>
  <c r="J54" i="20" s="1"/>
  <c r="M34" i="21"/>
  <c r="H34" i="21"/>
  <c r="G30" i="27"/>
  <c r="G31" i="27"/>
  <c r="H65" i="17"/>
  <c r="I65" i="17" s="1"/>
  <c r="J65" i="17" s="1"/>
  <c r="M65" i="17"/>
  <c r="M22" i="1"/>
  <c r="M20" i="1" s="1"/>
  <c r="I24" i="1"/>
  <c r="F41" i="16"/>
  <c r="M39" i="16"/>
  <c r="F44" i="16"/>
  <c r="H39" i="16"/>
  <c r="I39" i="16" s="1"/>
  <c r="F47" i="16"/>
  <c r="F46" i="16"/>
  <c r="F40" i="16"/>
  <c r="F42" i="16"/>
  <c r="F44" i="27"/>
  <c r="F62" i="25"/>
  <c r="J59" i="20" l="1"/>
  <c r="M23" i="22"/>
  <c r="N23" i="22" s="1"/>
  <c r="J37" i="19"/>
  <c r="J36" i="25"/>
  <c r="I46" i="17"/>
  <c r="J46" i="17" s="1"/>
  <c r="J60" i="25"/>
  <c r="H52" i="27"/>
  <c r="N25" i="23"/>
  <c r="J65" i="25"/>
  <c r="J60" i="17"/>
  <c r="I65" i="27"/>
  <c r="J65" i="27" s="1"/>
  <c r="I64" i="20"/>
  <c r="J64" i="20" s="1"/>
  <c r="J55" i="26"/>
  <c r="J55" i="23"/>
  <c r="I59" i="20"/>
  <c r="H65" i="27"/>
  <c r="J37" i="24"/>
  <c r="J46" i="21"/>
  <c r="I37" i="19"/>
  <c r="J62" i="17"/>
  <c r="J44" i="25"/>
  <c r="J54" i="21"/>
  <c r="I60" i="27"/>
  <c r="J60" i="27" s="1"/>
  <c r="J53" i="17"/>
  <c r="J57" i="18"/>
  <c r="I60" i="19"/>
  <c r="M60" i="19"/>
  <c r="H60" i="19"/>
  <c r="H64" i="24"/>
  <c r="I64" i="24" s="1"/>
  <c r="J64" i="24" s="1"/>
  <c r="M64" i="24"/>
  <c r="H60" i="16"/>
  <c r="I60" i="16" s="1"/>
  <c r="M60" i="16"/>
  <c r="M47" i="19"/>
  <c r="H47" i="19"/>
  <c r="I47" i="19" s="1"/>
  <c r="H42" i="23"/>
  <c r="I42" i="23" s="1"/>
  <c r="J42" i="23" s="1"/>
  <c r="M42" i="23"/>
  <c r="H44" i="26"/>
  <c r="I44" i="26" s="1"/>
  <c r="J44" i="26" s="1"/>
  <c r="M44" i="26"/>
  <c r="F45" i="26"/>
  <c r="M41" i="26"/>
  <c r="H41" i="26"/>
  <c r="H64" i="18"/>
  <c r="I64" i="18" s="1"/>
  <c r="J64" i="18" s="1"/>
  <c r="M64" i="18"/>
  <c r="M36" i="23"/>
  <c r="H36" i="23"/>
  <c r="M41" i="22"/>
  <c r="H41" i="22"/>
  <c r="I34" i="21"/>
  <c r="J34" i="21" s="1"/>
  <c r="M40" i="24"/>
  <c r="H40" i="24"/>
  <c r="H34" i="20"/>
  <c r="M34" i="20"/>
  <c r="I34" i="20"/>
  <c r="J34" i="20" s="1"/>
  <c r="J37" i="22"/>
  <c r="M46" i="26"/>
  <c r="I46" i="26"/>
  <c r="J46" i="26" s="1"/>
  <c r="H46" i="26"/>
  <c r="L24" i="19"/>
  <c r="M24" i="19" s="1"/>
  <c r="N24" i="19" s="1"/>
  <c r="J57" i="23"/>
  <c r="I57" i="24"/>
  <c r="J57" i="24" s="1"/>
  <c r="F45" i="16"/>
  <c r="H44" i="16"/>
  <c r="I44" i="16" s="1"/>
  <c r="M44" i="16"/>
  <c r="M46" i="24"/>
  <c r="H46" i="24"/>
  <c r="I46" i="24" s="1"/>
  <c r="M58" i="24"/>
  <c r="H58" i="24"/>
  <c r="I58" i="24" s="1"/>
  <c r="J58" i="24" s="1"/>
  <c r="H35" i="19"/>
  <c r="M35" i="19"/>
  <c r="J55" i="18"/>
  <c r="I40" i="16"/>
  <c r="M40" i="16"/>
  <c r="H40" i="16"/>
  <c r="H36" i="16"/>
  <c r="I36" i="16" s="1"/>
  <c r="J36" i="16" s="1"/>
  <c r="M36" i="16"/>
  <c r="H46" i="19"/>
  <c r="I46" i="19" s="1"/>
  <c r="M46" i="19"/>
  <c r="M40" i="23"/>
  <c r="H40" i="23"/>
  <c r="J40" i="23" s="1"/>
  <c r="I40" i="23"/>
  <c r="M34" i="27"/>
  <c r="H34" i="27"/>
  <c r="I34" i="27" s="1"/>
  <c r="M47" i="27"/>
  <c r="H47" i="27"/>
  <c r="H42" i="18"/>
  <c r="I42" i="18" s="1"/>
  <c r="J42" i="18" s="1"/>
  <c r="M42" i="18"/>
  <c r="I34" i="17"/>
  <c r="J34" i="17" s="1"/>
  <c r="H52" i="23"/>
  <c r="I52" i="23" s="1"/>
  <c r="M52" i="23"/>
  <c r="M46" i="22"/>
  <c r="H46" i="22"/>
  <c r="I34" i="19"/>
  <c r="M34" i="19"/>
  <c r="H34" i="19"/>
  <c r="I64" i="16"/>
  <c r="J64" i="16" s="1"/>
  <c r="M64" i="16"/>
  <c r="H64" i="16"/>
  <c r="I41" i="21"/>
  <c r="J41" i="21" s="1"/>
  <c r="J24" i="25"/>
  <c r="L23" i="25"/>
  <c r="N22" i="26"/>
  <c r="H52" i="26"/>
  <c r="M52" i="26"/>
  <c r="J54" i="23"/>
  <c r="H54" i="23"/>
  <c r="M54" i="23"/>
  <c r="I54" i="23"/>
  <c r="H34" i="18"/>
  <c r="M34" i="18"/>
  <c r="I34" i="18"/>
  <c r="H59" i="26"/>
  <c r="I59" i="26"/>
  <c r="J59" i="26" s="1"/>
  <c r="M59" i="26"/>
  <c r="M34" i="23"/>
  <c r="H34" i="23"/>
  <c r="M64" i="27"/>
  <c r="H64" i="27"/>
  <c r="I64" i="27" s="1"/>
  <c r="J64" i="27" s="1"/>
  <c r="H52" i="25"/>
  <c r="M52" i="25"/>
  <c r="L24" i="22"/>
  <c r="M54" i="18"/>
  <c r="H54" i="18"/>
  <c r="I54" i="18" s="1"/>
  <c r="J54" i="18" s="1"/>
  <c r="J59" i="17"/>
  <c r="J55" i="19"/>
  <c r="I53" i="27"/>
  <c r="J53" i="27" s="1"/>
  <c r="M62" i="25"/>
  <c r="H62" i="25"/>
  <c r="I62" i="25" s="1"/>
  <c r="F63" i="25"/>
  <c r="M47" i="16"/>
  <c r="H47" i="16"/>
  <c r="I47" i="16" s="1"/>
  <c r="M59" i="19"/>
  <c r="H59" i="19"/>
  <c r="I59" i="19" s="1"/>
  <c r="J59" i="19" s="1"/>
  <c r="M64" i="19"/>
  <c r="H64" i="19"/>
  <c r="I64" i="19" s="1"/>
  <c r="M47" i="24"/>
  <c r="H47" i="24"/>
  <c r="I47" i="24" s="1"/>
  <c r="H41" i="24"/>
  <c r="I41" i="24" s="1"/>
  <c r="J41" i="24" s="1"/>
  <c r="M41" i="24"/>
  <c r="I59" i="21"/>
  <c r="J59" i="21" s="1"/>
  <c r="H62" i="24"/>
  <c r="I62" i="24" s="1"/>
  <c r="J62" i="24" s="1"/>
  <c r="F63" i="24"/>
  <c r="M62" i="24"/>
  <c r="M36" i="19"/>
  <c r="I36" i="19"/>
  <c r="J36" i="19" s="1"/>
  <c r="H36" i="19"/>
  <c r="H40" i="20"/>
  <c r="M40" i="20"/>
  <c r="M25" i="20"/>
  <c r="N25" i="20" s="1"/>
  <c r="I57" i="16"/>
  <c r="J57" i="16" s="1"/>
  <c r="J36" i="21"/>
  <c r="I36" i="20"/>
  <c r="J36" i="20" s="1"/>
  <c r="M36" i="20"/>
  <c r="H36" i="20"/>
  <c r="M35" i="16"/>
  <c r="H35" i="16"/>
  <c r="I35" i="16" s="1"/>
  <c r="J35" i="16" s="1"/>
  <c r="M35" i="22"/>
  <c r="H35" i="22"/>
  <c r="N22" i="27"/>
  <c r="L5" i="2"/>
  <c r="P5" i="2" s="1"/>
  <c r="H25" i="3"/>
  <c r="L13" i="2"/>
  <c r="P13" i="2" s="1"/>
  <c r="L10" i="2"/>
  <c r="P10" i="2" s="1"/>
  <c r="L6" i="2"/>
  <c r="P6" i="2" s="1"/>
  <c r="L7" i="2"/>
  <c r="P7" i="2" s="1"/>
  <c r="H26" i="2"/>
  <c r="L14" i="2"/>
  <c r="P14" i="2" s="1"/>
  <c r="L11" i="2"/>
  <c r="P11" i="2" s="1"/>
  <c r="L8" i="2"/>
  <c r="P8" i="2" s="1"/>
  <c r="L4" i="2"/>
  <c r="H24" i="2"/>
  <c r="I18" i="2" s="1"/>
  <c r="L12" i="2"/>
  <c r="P12" i="2" s="1"/>
  <c r="L9" i="2"/>
  <c r="P9" i="2" s="1"/>
  <c r="F3" i="1"/>
  <c r="L15" i="2"/>
  <c r="P15" i="2" s="1"/>
  <c r="C18" i="1"/>
  <c r="I24" i="2"/>
  <c r="T26" i="2"/>
  <c r="T28" i="2" s="1"/>
  <c r="Q26" i="2" s="1"/>
  <c r="N22" i="23"/>
  <c r="I52" i="17"/>
  <c r="J52" i="17" s="1"/>
  <c r="I39" i="23"/>
  <c r="J39" i="23" s="1"/>
  <c r="H36" i="27"/>
  <c r="M36" i="27"/>
  <c r="M47" i="26"/>
  <c r="I47" i="26"/>
  <c r="J47" i="26" s="1"/>
  <c r="H47" i="26"/>
  <c r="J39" i="26"/>
  <c r="H36" i="24"/>
  <c r="I36" i="24" s="1"/>
  <c r="J36" i="24" s="1"/>
  <c r="M36" i="24"/>
  <c r="I42" i="21"/>
  <c r="J42" i="21" s="1"/>
  <c r="J65" i="21"/>
  <c r="I55" i="16"/>
  <c r="J55" i="16" s="1"/>
  <c r="I57" i="18"/>
  <c r="H59" i="18"/>
  <c r="I59" i="18" s="1"/>
  <c r="M59" i="18"/>
  <c r="J65" i="20"/>
  <c r="H41" i="18"/>
  <c r="M41" i="18"/>
  <c r="M45" i="21"/>
  <c r="H45" i="21"/>
  <c r="F17" i="13"/>
  <c r="M13" i="8" s="1"/>
  <c r="BH2" i="10" s="1"/>
  <c r="J24" i="26"/>
  <c r="L23" i="26"/>
  <c r="M23" i="26" s="1"/>
  <c r="N23" i="26" s="1"/>
  <c r="J52" i="21"/>
  <c r="N23" i="19"/>
  <c r="H36" i="18"/>
  <c r="M36" i="18"/>
  <c r="M64" i="22"/>
  <c r="H64" i="22"/>
  <c r="I64" i="22" s="1"/>
  <c r="M60" i="22"/>
  <c r="H60" i="22"/>
  <c r="I60" i="22" s="1"/>
  <c r="AB45" i="3"/>
  <c r="M58" i="26"/>
  <c r="H58" i="26"/>
  <c r="I58" i="26" s="1"/>
  <c r="H35" i="23"/>
  <c r="I35" i="23" s="1"/>
  <c r="J35" i="23" s="1"/>
  <c r="M35" i="23"/>
  <c r="J37" i="23"/>
  <c r="I41" i="17"/>
  <c r="J41" i="17" s="1"/>
  <c r="I53" i="21"/>
  <c r="J53" i="21" s="1"/>
  <c r="J53" i="24"/>
  <c r="H58" i="23"/>
  <c r="I58" i="23" s="1"/>
  <c r="J58" i="23" s="1"/>
  <c r="M58" i="23"/>
  <c r="I39" i="22"/>
  <c r="J39" i="22" s="1"/>
  <c r="I64" i="17"/>
  <c r="J64" i="17" s="1"/>
  <c r="I60" i="20"/>
  <c r="J60" i="20" s="1"/>
  <c r="M63" i="20"/>
  <c r="H63" i="20"/>
  <c r="I63" i="20" s="1"/>
  <c r="J63" i="20" s="1"/>
  <c r="I52" i="24"/>
  <c r="J52" i="24" s="1"/>
  <c r="H53" i="18"/>
  <c r="M53" i="18"/>
  <c r="I52" i="27"/>
  <c r="J52" i="27" s="1"/>
  <c r="I35" i="21"/>
  <c r="J35" i="21" s="1"/>
  <c r="M53" i="19"/>
  <c r="H53" i="19"/>
  <c r="I53" i="19" s="1"/>
  <c r="J53" i="19" s="1"/>
  <c r="J46" i="27"/>
  <c r="J42" i="25"/>
  <c r="I42" i="27"/>
  <c r="J42" i="27" s="1"/>
  <c r="H58" i="19"/>
  <c r="I58" i="19" s="1"/>
  <c r="M58" i="19"/>
  <c r="H42" i="20"/>
  <c r="I42" i="20" s="1"/>
  <c r="J42" i="20" s="1"/>
  <c r="M42" i="20"/>
  <c r="M58" i="16"/>
  <c r="H58" i="16"/>
  <c r="M45" i="17"/>
  <c r="H45" i="17"/>
  <c r="I45" i="17" s="1"/>
  <c r="J45" i="17" s="1"/>
  <c r="F13" i="13"/>
  <c r="M9" i="8" s="1"/>
  <c r="BD2" i="10" s="1"/>
  <c r="I53" i="17"/>
  <c r="H34" i="24"/>
  <c r="J34" i="24" s="1"/>
  <c r="M34" i="24"/>
  <c r="I34" i="24"/>
  <c r="M52" i="16"/>
  <c r="H52" i="16"/>
  <c r="K16" i="2"/>
  <c r="M4" i="2"/>
  <c r="M16" i="2" s="1"/>
  <c r="H54" i="27"/>
  <c r="I54" i="27" s="1"/>
  <c r="J54" i="27" s="1"/>
  <c r="M54" i="27"/>
  <c r="M22" i="16"/>
  <c r="N22" i="16" s="1"/>
  <c r="L24" i="18"/>
  <c r="I47" i="22"/>
  <c r="M47" i="22"/>
  <c r="H47" i="22"/>
  <c r="I58" i="20"/>
  <c r="J58" i="20" s="1"/>
  <c r="H52" i="19"/>
  <c r="M52" i="19"/>
  <c r="M46" i="16"/>
  <c r="H46" i="16"/>
  <c r="I46" i="16" s="1"/>
  <c r="J46" i="16" s="1"/>
  <c r="M41" i="16"/>
  <c r="H41" i="16"/>
  <c r="I41" i="16"/>
  <c r="J41" i="16" s="1"/>
  <c r="H65" i="19"/>
  <c r="I65" i="19" s="1"/>
  <c r="M65" i="19"/>
  <c r="I54" i="22"/>
  <c r="J54" i="22" s="1"/>
  <c r="M54" i="22"/>
  <c r="H54" i="22"/>
  <c r="M34" i="16"/>
  <c r="H34" i="16"/>
  <c r="F45" i="19"/>
  <c r="I44" i="19"/>
  <c r="M44" i="19"/>
  <c r="H44" i="19"/>
  <c r="M46" i="23"/>
  <c r="H46" i="23"/>
  <c r="I46" i="23" s="1"/>
  <c r="J46" i="23" s="1"/>
  <c r="M47" i="23"/>
  <c r="I47" i="23"/>
  <c r="J47" i="23" s="1"/>
  <c r="H47" i="23"/>
  <c r="M40" i="26"/>
  <c r="H40" i="26"/>
  <c r="I40" i="26" s="1"/>
  <c r="J40" i="26" s="1"/>
  <c r="H53" i="16"/>
  <c r="I53" i="16" s="1"/>
  <c r="M53" i="16"/>
  <c r="M47" i="18"/>
  <c r="H47" i="18"/>
  <c r="I47" i="18" s="1"/>
  <c r="J47" i="18" s="1"/>
  <c r="H63" i="21"/>
  <c r="I63" i="21" s="1"/>
  <c r="M63" i="21"/>
  <c r="H36" i="26"/>
  <c r="M36" i="26"/>
  <c r="I57" i="19"/>
  <c r="J57" i="19" s="1"/>
  <c r="H59" i="24"/>
  <c r="M59" i="24"/>
  <c r="M41" i="20"/>
  <c r="H41" i="20"/>
  <c r="H47" i="20"/>
  <c r="I47" i="20" s="1"/>
  <c r="M47" i="20"/>
  <c r="H62" i="16"/>
  <c r="F63" i="16"/>
  <c r="M62" i="16"/>
  <c r="M52" i="22"/>
  <c r="I52" i="22"/>
  <c r="J52" i="22" s="1"/>
  <c r="H52" i="22"/>
  <c r="I60" i="21"/>
  <c r="J60" i="21" s="1"/>
  <c r="I37" i="16"/>
  <c r="J37" i="16" s="1"/>
  <c r="I34" i="22"/>
  <c r="M34" i="22"/>
  <c r="H34" i="22"/>
  <c r="J34" i="22" s="1"/>
  <c r="I63" i="17"/>
  <c r="M63" i="17"/>
  <c r="H63" i="17"/>
  <c r="J24" i="27"/>
  <c r="L23" i="27"/>
  <c r="M23" i="27" s="1"/>
  <c r="N23" i="27" s="1"/>
  <c r="I39" i="19"/>
  <c r="J39" i="19" s="1"/>
  <c r="H41" i="19"/>
  <c r="M41" i="19"/>
  <c r="H44" i="23"/>
  <c r="I44" i="23" s="1"/>
  <c r="F45" i="23"/>
  <c r="M44" i="23"/>
  <c r="H42" i="26"/>
  <c r="I42" i="26" s="1"/>
  <c r="J42" i="26" s="1"/>
  <c r="M42" i="26"/>
  <c r="I58" i="18"/>
  <c r="M58" i="18"/>
  <c r="H58" i="18"/>
  <c r="H40" i="18"/>
  <c r="I40" i="18" s="1"/>
  <c r="J40" i="18" s="1"/>
  <c r="M40" i="18"/>
  <c r="I35" i="25"/>
  <c r="J35" i="25" s="1"/>
  <c r="J24" i="21"/>
  <c r="M23" i="21"/>
  <c r="N23" i="21" s="1"/>
  <c r="L23" i="21"/>
  <c r="J24" i="17"/>
  <c r="L23" i="17"/>
  <c r="M23" i="17" s="1"/>
  <c r="I53" i="23"/>
  <c r="M53" i="23"/>
  <c r="H53" i="23"/>
  <c r="H59" i="22"/>
  <c r="M59" i="22"/>
  <c r="M58" i="22"/>
  <c r="H58" i="22"/>
  <c r="I58" i="22" s="1"/>
  <c r="H62" i="26"/>
  <c r="I62" i="26" s="1"/>
  <c r="J62" i="26" s="1"/>
  <c r="F63" i="26"/>
  <c r="M62" i="26"/>
  <c r="M65" i="26"/>
  <c r="I65" i="26"/>
  <c r="J65" i="26" s="1"/>
  <c r="H65" i="26"/>
  <c r="M64" i="25"/>
  <c r="H64" i="25"/>
  <c r="I64" i="25" s="1"/>
  <c r="J64" i="25" s="1"/>
  <c r="M62" i="23"/>
  <c r="H62" i="23"/>
  <c r="I62" i="23" s="1"/>
  <c r="J62" i="23" s="1"/>
  <c r="F63" i="23"/>
  <c r="H59" i="23"/>
  <c r="I59" i="23" s="1"/>
  <c r="M59" i="23"/>
  <c r="F45" i="22"/>
  <c r="M44" i="22"/>
  <c r="H44" i="22"/>
  <c r="I44" i="22" s="1"/>
  <c r="H54" i="25"/>
  <c r="J54" i="25"/>
  <c r="M54" i="25"/>
  <c r="I54" i="25"/>
  <c r="H42" i="16"/>
  <c r="I42" i="16" s="1"/>
  <c r="M42" i="16"/>
  <c r="M35" i="26"/>
  <c r="H35" i="26"/>
  <c r="I35" i="26" s="1"/>
  <c r="J35" i="26" s="1"/>
  <c r="M42" i="19"/>
  <c r="H42" i="19"/>
  <c r="J24" i="23"/>
  <c r="L23" i="23"/>
  <c r="M23" i="23"/>
  <c r="L23" i="24"/>
  <c r="M23" i="24" s="1"/>
  <c r="N23" i="24" s="1"/>
  <c r="J24" i="24"/>
  <c r="H53" i="26"/>
  <c r="J53" i="26" s="1"/>
  <c r="M53" i="26"/>
  <c r="I53" i="26"/>
  <c r="I63" i="27"/>
  <c r="M63" i="27"/>
  <c r="H63" i="27"/>
  <c r="H40" i="22"/>
  <c r="I40" i="22" s="1"/>
  <c r="M40" i="22"/>
  <c r="H53" i="25"/>
  <c r="M53" i="25"/>
  <c r="M34" i="26"/>
  <c r="H34" i="26"/>
  <c r="M65" i="24"/>
  <c r="I65" i="24"/>
  <c r="J65" i="24" s="1"/>
  <c r="H65" i="24"/>
  <c r="M44" i="20"/>
  <c r="F45" i="20"/>
  <c r="H44" i="20"/>
  <c r="I44" i="20" s="1"/>
  <c r="F63" i="18"/>
  <c r="I62" i="18"/>
  <c r="M62" i="18"/>
  <c r="H62" i="18"/>
  <c r="N22" i="21"/>
  <c r="H62" i="22"/>
  <c r="F63" i="22"/>
  <c r="I62" i="22"/>
  <c r="M62" i="22"/>
  <c r="H60" i="26"/>
  <c r="I60" i="26" s="1"/>
  <c r="J60" i="26" s="1"/>
  <c r="M60" i="26"/>
  <c r="I44" i="24"/>
  <c r="F45" i="24"/>
  <c r="H44" i="24"/>
  <c r="J44" i="24" s="1"/>
  <c r="M44" i="24"/>
  <c r="M65" i="16"/>
  <c r="H65" i="16"/>
  <c r="I65" i="16" s="1"/>
  <c r="J24" i="16"/>
  <c r="L23" i="16"/>
  <c r="H60" i="23"/>
  <c r="M60" i="23"/>
  <c r="H44" i="27"/>
  <c r="I44" i="27" s="1"/>
  <c r="J44" i="27" s="1"/>
  <c r="F45" i="27"/>
  <c r="M44" i="27"/>
  <c r="J39" i="16"/>
  <c r="M62" i="19"/>
  <c r="F63" i="19"/>
  <c r="H62" i="19"/>
  <c r="I62" i="19" s="1"/>
  <c r="J62" i="19" s="1"/>
  <c r="H42" i="24"/>
  <c r="I42" i="24" s="1"/>
  <c r="J42" i="24" s="1"/>
  <c r="M42" i="24"/>
  <c r="I60" i="24"/>
  <c r="M60" i="24"/>
  <c r="H60" i="24"/>
  <c r="M46" i="20"/>
  <c r="H46" i="20"/>
  <c r="H59" i="16"/>
  <c r="J59" i="16" s="1"/>
  <c r="M59" i="16"/>
  <c r="I59" i="16"/>
  <c r="H53" i="22"/>
  <c r="I53" i="22" s="1"/>
  <c r="M53" i="22"/>
  <c r="M35" i="20"/>
  <c r="H35" i="20"/>
  <c r="I35" i="20" s="1"/>
  <c r="H59" i="27"/>
  <c r="M59" i="27"/>
  <c r="H36" i="22"/>
  <c r="I36" i="22" s="1"/>
  <c r="M36" i="22"/>
  <c r="I20" i="4"/>
  <c r="K18" i="4"/>
  <c r="H40" i="19"/>
  <c r="I40" i="19" s="1"/>
  <c r="M40" i="19"/>
  <c r="I45" i="25"/>
  <c r="M45" i="25"/>
  <c r="H45" i="25"/>
  <c r="J45" i="25" s="1"/>
  <c r="F21" i="13"/>
  <c r="M17" i="8" s="1"/>
  <c r="BL2" i="10" s="1"/>
  <c r="H41" i="23"/>
  <c r="M41" i="23"/>
  <c r="I41" i="23"/>
  <c r="M35" i="27"/>
  <c r="H35" i="27"/>
  <c r="I35" i="27"/>
  <c r="J35" i="27" s="1"/>
  <c r="M35" i="24"/>
  <c r="H35" i="24"/>
  <c r="M54" i="16"/>
  <c r="H54" i="16"/>
  <c r="M60" i="18"/>
  <c r="H60" i="18"/>
  <c r="I60" i="18" s="1"/>
  <c r="J60" i="18" s="1"/>
  <c r="H65" i="18"/>
  <c r="I65" i="18" s="1"/>
  <c r="M65" i="18"/>
  <c r="M44" i="18"/>
  <c r="H44" i="18"/>
  <c r="I44" i="18" s="1"/>
  <c r="F45" i="18"/>
  <c r="M46" i="18"/>
  <c r="H46" i="18"/>
  <c r="I46" i="18" s="1"/>
  <c r="L23" i="20"/>
  <c r="J24" i="20"/>
  <c r="M23" i="20"/>
  <c r="N23" i="20" s="1"/>
  <c r="H54" i="26"/>
  <c r="M54" i="26"/>
  <c r="M35" i="18"/>
  <c r="H35" i="18"/>
  <c r="I35" i="18" s="1"/>
  <c r="J35" i="18" s="1"/>
  <c r="M65" i="22"/>
  <c r="H65" i="22"/>
  <c r="M64" i="26"/>
  <c r="H64" i="26"/>
  <c r="I64" i="26" s="1"/>
  <c r="J64" i="26" s="1"/>
  <c r="H65" i="23"/>
  <c r="M65" i="23"/>
  <c r="I65" i="23"/>
  <c r="J65" i="23" s="1"/>
  <c r="M64" i="23"/>
  <c r="H64" i="23"/>
  <c r="H42" i="22"/>
  <c r="I42" i="22" s="1"/>
  <c r="J42" i="22" s="1"/>
  <c r="M42" i="22"/>
  <c r="H52" i="18"/>
  <c r="M52" i="18"/>
  <c r="M54" i="19"/>
  <c r="H54" i="19"/>
  <c r="I54" i="19" s="1"/>
  <c r="J54" i="19" s="1"/>
  <c r="I58" i="27"/>
  <c r="J58" i="27" s="1"/>
  <c r="J46" i="20" l="1"/>
  <c r="J45" i="21"/>
  <c r="I36" i="23"/>
  <c r="J36" i="23" s="1"/>
  <c r="I46" i="20"/>
  <c r="J62" i="18"/>
  <c r="I53" i="25"/>
  <c r="J53" i="25" s="1"/>
  <c r="J63" i="27"/>
  <c r="J44" i="22"/>
  <c r="J59" i="23"/>
  <c r="I41" i="20"/>
  <c r="J41" i="20" s="1"/>
  <c r="J60" i="19"/>
  <c r="J60" i="24"/>
  <c r="J53" i="23"/>
  <c r="J58" i="18"/>
  <c r="J47" i="22"/>
  <c r="I45" i="21"/>
  <c r="J47" i="24"/>
  <c r="J34" i="19"/>
  <c r="I35" i="19"/>
  <c r="J35" i="19" s="1"/>
  <c r="J40" i="19"/>
  <c r="J65" i="19"/>
  <c r="J52" i="23"/>
  <c r="J40" i="24"/>
  <c r="J47" i="20"/>
  <c r="J44" i="19"/>
  <c r="I52" i="19"/>
  <c r="J52" i="19" s="1"/>
  <c r="I53" i="18"/>
  <c r="J53" i="18" s="1"/>
  <c r="I36" i="27"/>
  <c r="J36" i="27" s="1"/>
  <c r="J46" i="19"/>
  <c r="J40" i="16"/>
  <c r="J46" i="24"/>
  <c r="I54" i="26"/>
  <c r="J54" i="26" s="1"/>
  <c r="I35" i="24"/>
  <c r="J35" i="24" s="1"/>
  <c r="J41" i="23"/>
  <c r="J62" i="22"/>
  <c r="N23" i="23"/>
  <c r="I59" i="22"/>
  <c r="J59" i="22" s="1"/>
  <c r="J63" i="17"/>
  <c r="I40" i="20"/>
  <c r="J40" i="20" s="1"/>
  <c r="J34" i="18"/>
  <c r="I40" i="24"/>
  <c r="N24" i="22"/>
  <c r="J34" i="26"/>
  <c r="J52" i="25"/>
  <c r="J47" i="27"/>
  <c r="J44" i="18"/>
  <c r="H45" i="20"/>
  <c r="M45" i="20"/>
  <c r="F16" i="13"/>
  <c r="M12" i="8" s="1"/>
  <c r="BG2" i="10" s="1"/>
  <c r="J46" i="18"/>
  <c r="I54" i="16"/>
  <c r="J54" i="16" s="1"/>
  <c r="M63" i="22"/>
  <c r="H63" i="22"/>
  <c r="I63" i="22" s="1"/>
  <c r="J63" i="22" s="1"/>
  <c r="I42" i="19"/>
  <c r="J42" i="19" s="1"/>
  <c r="L24" i="21"/>
  <c r="M24" i="21" s="1"/>
  <c r="N24" i="21" s="1"/>
  <c r="J44" i="23"/>
  <c r="J53" i="16"/>
  <c r="J60" i="22"/>
  <c r="Q8" i="2"/>
  <c r="R8" i="2"/>
  <c r="J47" i="16"/>
  <c r="I52" i="25"/>
  <c r="M24" i="25"/>
  <c r="L24" i="25"/>
  <c r="N24" i="25" s="1"/>
  <c r="I46" i="22"/>
  <c r="J46" i="22" s="1"/>
  <c r="J34" i="27"/>
  <c r="I64" i="23"/>
  <c r="J64" i="23" s="1"/>
  <c r="M24" i="20"/>
  <c r="N24" i="20" s="1"/>
  <c r="L24" i="20"/>
  <c r="J65" i="18"/>
  <c r="J36" i="22"/>
  <c r="I59" i="27"/>
  <c r="J59" i="27" s="1"/>
  <c r="J53" i="22"/>
  <c r="I60" i="23"/>
  <c r="J60" i="23" s="1"/>
  <c r="M23" i="16"/>
  <c r="N23" i="16" s="1"/>
  <c r="I34" i="26"/>
  <c r="J42" i="16"/>
  <c r="M63" i="26"/>
  <c r="H63" i="26"/>
  <c r="I63" i="26" s="1"/>
  <c r="J63" i="26" s="1"/>
  <c r="J58" i="22"/>
  <c r="N23" i="17"/>
  <c r="I41" i="19"/>
  <c r="J41" i="19" s="1"/>
  <c r="I59" i="24"/>
  <c r="J59" i="24" s="1"/>
  <c r="I36" i="26"/>
  <c r="J36" i="26" s="1"/>
  <c r="J63" i="21"/>
  <c r="I52" i="16"/>
  <c r="J52" i="16" s="1"/>
  <c r="J58" i="19"/>
  <c r="J58" i="26"/>
  <c r="I36" i="18"/>
  <c r="J36" i="18" s="1"/>
  <c r="I41" i="18"/>
  <c r="J41" i="18" s="1"/>
  <c r="Q11" i="2"/>
  <c r="R11" i="2"/>
  <c r="Q10" i="2"/>
  <c r="R10" i="2"/>
  <c r="I35" i="22"/>
  <c r="J35" i="22" s="1"/>
  <c r="M63" i="24"/>
  <c r="I63" i="24"/>
  <c r="H63" i="24"/>
  <c r="J62" i="25"/>
  <c r="M24" i="22"/>
  <c r="I34" i="23"/>
  <c r="J34" i="23" s="1"/>
  <c r="I52" i="26"/>
  <c r="J52" i="26" s="1"/>
  <c r="I41" i="22"/>
  <c r="J41" i="22" s="1"/>
  <c r="I41" i="26"/>
  <c r="J41" i="26" s="1"/>
  <c r="J60" i="16"/>
  <c r="J65" i="16"/>
  <c r="J40" i="22"/>
  <c r="I34" i="16"/>
  <c r="J34" i="16" s="1"/>
  <c r="L24" i="16"/>
  <c r="M24" i="16" s="1"/>
  <c r="J44" i="20"/>
  <c r="H45" i="22"/>
  <c r="F18" i="13"/>
  <c r="M14" i="8" s="1"/>
  <c r="BI2" i="10" s="1"/>
  <c r="M45" i="22"/>
  <c r="I63" i="23"/>
  <c r="J63" i="23" s="1"/>
  <c r="M63" i="23"/>
  <c r="H63" i="23"/>
  <c r="I62" i="16"/>
  <c r="J62" i="16" s="1"/>
  <c r="J64" i="22"/>
  <c r="J59" i="18"/>
  <c r="Q15" i="2"/>
  <c r="R15" i="2"/>
  <c r="Q6" i="2"/>
  <c r="R6" i="2"/>
  <c r="I47" i="27"/>
  <c r="I52" i="18"/>
  <c r="J52" i="18" s="1"/>
  <c r="I65" i="22"/>
  <c r="J65" i="22" s="1"/>
  <c r="M45" i="18"/>
  <c r="H45" i="18"/>
  <c r="F14" i="13"/>
  <c r="M10" i="8" s="1"/>
  <c r="BE2" i="10" s="1"/>
  <c r="J35" i="20"/>
  <c r="M63" i="18"/>
  <c r="H63" i="18"/>
  <c r="I63" i="18" s="1"/>
  <c r="J63" i="18" s="1"/>
  <c r="L24" i="17"/>
  <c r="L24" i="27"/>
  <c r="M24" i="27" s="1"/>
  <c r="M63" i="16"/>
  <c r="I63" i="16"/>
  <c r="H63" i="16"/>
  <c r="M45" i="19"/>
  <c r="H45" i="19"/>
  <c r="I45" i="19" s="1"/>
  <c r="F15" i="13"/>
  <c r="M11" i="8" s="1"/>
  <c r="BF2" i="10" s="1"/>
  <c r="M24" i="18"/>
  <c r="N24" i="18" s="1"/>
  <c r="I58" i="16"/>
  <c r="J58" i="16" s="1"/>
  <c r="Q9" i="2"/>
  <c r="R9" i="2"/>
  <c r="Q14" i="2"/>
  <c r="R14" i="2"/>
  <c r="Q13" i="2"/>
  <c r="R13" i="2"/>
  <c r="J64" i="19"/>
  <c r="M63" i="25"/>
  <c r="H63" i="25"/>
  <c r="I63" i="25" s="1"/>
  <c r="J63" i="25" s="1"/>
  <c r="J44" i="16"/>
  <c r="J47" i="19"/>
  <c r="H45" i="27"/>
  <c r="I45" i="27" s="1"/>
  <c r="J45" i="27" s="1"/>
  <c r="M45" i="27"/>
  <c r="F23" i="13"/>
  <c r="M19" i="8" s="1"/>
  <c r="BN2" i="10" s="1"/>
  <c r="Q12" i="2"/>
  <c r="R12" i="2"/>
  <c r="M26" i="2"/>
  <c r="O27" i="2" s="1"/>
  <c r="F18" i="1" s="1"/>
  <c r="F12" i="13"/>
  <c r="M8" i="8" s="1"/>
  <c r="BC2" i="10" s="1"/>
  <c r="H45" i="16"/>
  <c r="M45" i="16"/>
  <c r="I45" i="16"/>
  <c r="H63" i="19"/>
  <c r="I63" i="19" s="1"/>
  <c r="J63" i="19" s="1"/>
  <c r="M63" i="19"/>
  <c r="M45" i="24"/>
  <c r="H45" i="24"/>
  <c r="I45" i="24" s="1"/>
  <c r="J45" i="24" s="1"/>
  <c r="F20" i="13"/>
  <c r="M16" i="8" s="1"/>
  <c r="BK2" i="10" s="1"/>
  <c r="L24" i="24"/>
  <c r="M24" i="24" s="1"/>
  <c r="M45" i="23"/>
  <c r="H45" i="23"/>
  <c r="I45" i="23" s="1"/>
  <c r="J45" i="23" s="1"/>
  <c r="F19" i="13"/>
  <c r="M15" i="8" s="1"/>
  <c r="BJ2" i="10" s="1"/>
  <c r="L24" i="26"/>
  <c r="H18" i="2"/>
  <c r="G18" i="2"/>
  <c r="Q5" i="2"/>
  <c r="R5" i="2"/>
  <c r="M23" i="25"/>
  <c r="N23" i="25" s="1"/>
  <c r="M45" i="26"/>
  <c r="H45" i="26"/>
  <c r="F22" i="13"/>
  <c r="M18" i="8" s="1"/>
  <c r="BM2" i="10" s="1"/>
  <c r="L24" i="23"/>
  <c r="M24" i="23" s="1"/>
  <c r="K19" i="4"/>
  <c r="I21" i="4"/>
  <c r="P4" i="2"/>
  <c r="L16" i="2"/>
  <c r="Q7" i="2"/>
  <c r="R7" i="2"/>
  <c r="J45" i="22" l="1"/>
  <c r="J45" i="18"/>
  <c r="J45" i="16"/>
  <c r="J63" i="16"/>
  <c r="I45" i="22"/>
  <c r="I45" i="18"/>
  <c r="J63" i="24"/>
  <c r="N24" i="17"/>
  <c r="J45" i="26"/>
  <c r="I22" i="4"/>
  <c r="K20" i="4"/>
  <c r="G46" i="3"/>
  <c r="S5" i="2"/>
  <c r="G55" i="3"/>
  <c r="S14" i="2"/>
  <c r="G56" i="3"/>
  <c r="S15" i="2"/>
  <c r="N24" i="24"/>
  <c r="G50" i="3"/>
  <c r="S9" i="2"/>
  <c r="J45" i="19"/>
  <c r="N24" i="27"/>
  <c r="N24" i="16"/>
  <c r="I45" i="20"/>
  <c r="J45" i="20" s="1"/>
  <c r="G53" i="3"/>
  <c r="S12" i="2"/>
  <c r="I45" i="26"/>
  <c r="G48" i="3"/>
  <c r="S7" i="2"/>
  <c r="M24" i="26"/>
  <c r="N24" i="26" s="1"/>
  <c r="G51" i="3"/>
  <c r="S10" i="2"/>
  <c r="M24" i="17"/>
  <c r="N24" i="23"/>
  <c r="G54" i="3"/>
  <c r="S13" i="2"/>
  <c r="G47" i="3"/>
  <c r="S6" i="2"/>
  <c r="P16" i="2"/>
  <c r="Q4" i="2"/>
  <c r="R4" i="2"/>
  <c r="G52" i="3"/>
  <c r="S11" i="2"/>
  <c r="G49" i="3"/>
  <c r="S8" i="2"/>
  <c r="AC55" i="3" l="1"/>
  <c r="AD55" i="3" s="1"/>
  <c r="K55" i="3"/>
  <c r="R17" i="2"/>
  <c r="R16" i="2"/>
  <c r="AC46" i="3"/>
  <c r="AD46" i="3" s="1"/>
  <c r="K46" i="3"/>
  <c r="G45" i="3"/>
  <c r="Q17" i="2"/>
  <c r="Q16" i="2"/>
  <c r="S4" i="2"/>
  <c r="AC48" i="3"/>
  <c r="AD48" i="3" s="1"/>
  <c r="K48" i="3"/>
  <c r="AC56" i="3"/>
  <c r="AD56" i="3" s="1"/>
  <c r="K56" i="3"/>
  <c r="K21" i="4"/>
  <c r="I23" i="4"/>
  <c r="AC49" i="3"/>
  <c r="AD49" i="3" s="1"/>
  <c r="K49" i="3"/>
  <c r="AC47" i="3"/>
  <c r="AD47" i="3" s="1"/>
  <c r="K47" i="3"/>
  <c r="AC52" i="3"/>
  <c r="AD52" i="3" s="1"/>
  <c r="K52" i="3"/>
  <c r="AC51" i="3"/>
  <c r="AD51" i="3" s="1"/>
  <c r="K51" i="3"/>
  <c r="AC53" i="3"/>
  <c r="AD53" i="3" s="1"/>
  <c r="K53" i="3"/>
  <c r="AC50" i="3"/>
  <c r="AD50" i="3" s="1"/>
  <c r="K50" i="3"/>
  <c r="L50" i="3" s="1"/>
  <c r="M50" i="3" s="1"/>
  <c r="AC54" i="3"/>
  <c r="AD54" i="3" s="1"/>
  <c r="K54" i="3"/>
  <c r="AC45" i="3" l="1"/>
  <c r="AD45" i="3" s="1"/>
  <c r="K45" i="3"/>
  <c r="O45" i="3"/>
  <c r="O46" i="3" s="1"/>
  <c r="L51" i="3"/>
  <c r="M51" i="3" s="1"/>
  <c r="T9" i="2"/>
  <c r="I50" i="3"/>
  <c r="U9" i="2" s="1"/>
  <c r="I24" i="4"/>
  <c r="K22" i="4"/>
  <c r="S18" i="2"/>
  <c r="S16" i="2"/>
  <c r="S17" i="2"/>
  <c r="G63" i="3"/>
  <c r="H62" i="14"/>
  <c r="C22" i="1" s="1"/>
  <c r="C19" i="1" s="1"/>
  <c r="I25" i="4" l="1"/>
  <c r="K23" i="4"/>
  <c r="I64" i="3"/>
  <c r="H64" i="3"/>
  <c r="G64" i="3"/>
  <c r="M64" i="3" s="1"/>
  <c r="H63" i="14"/>
  <c r="C21" i="1" s="1"/>
  <c r="B20" i="1" s="1"/>
  <c r="L52" i="3"/>
  <c r="M52" i="3" s="1"/>
  <c r="T10" i="2"/>
  <c r="I51" i="3"/>
  <c r="U10" i="2" s="1"/>
  <c r="K24" i="4" l="1"/>
  <c r="I26" i="4"/>
  <c r="K64" i="3"/>
  <c r="D20" i="4"/>
  <c r="L53" i="3"/>
  <c r="M53" i="3" s="1"/>
  <c r="T11" i="2"/>
  <c r="I52" i="3"/>
  <c r="U11" i="2" s="1"/>
  <c r="C66" i="3" l="1"/>
  <c r="B23" i="1"/>
  <c r="H36" i="2" s="1"/>
  <c r="K25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218" i="4" s="1"/>
  <c r="I219" i="4" s="1"/>
  <c r="I220" i="4" s="1"/>
  <c r="I221" i="4" s="1"/>
  <c r="I222" i="4" s="1"/>
  <c r="I223" i="4" s="1"/>
  <c r="I224" i="4" s="1"/>
  <c r="I225" i="4" s="1"/>
  <c r="I226" i="4" s="1"/>
  <c r="I227" i="4" s="1"/>
  <c r="I228" i="4" s="1"/>
  <c r="I229" i="4" s="1"/>
  <c r="I230" i="4" s="1"/>
  <c r="I231" i="4" s="1"/>
  <c r="I232" i="4" s="1"/>
  <c r="I233" i="4" s="1"/>
  <c r="I234" i="4" s="1"/>
  <c r="I235" i="4" s="1"/>
  <c r="I236" i="4" s="1"/>
  <c r="I237" i="4" s="1"/>
  <c r="I238" i="4" s="1"/>
  <c r="I239" i="4" s="1"/>
  <c r="I240" i="4" s="1"/>
  <c r="I241" i="4" s="1"/>
  <c r="I242" i="4" s="1"/>
  <c r="I243" i="4" s="1"/>
  <c r="I244" i="4" s="1"/>
  <c r="I245" i="4" s="1"/>
  <c r="I246" i="4" s="1"/>
  <c r="I247" i="4" s="1"/>
  <c r="I248" i="4" s="1"/>
  <c r="I249" i="4" s="1"/>
  <c r="I250" i="4" s="1"/>
  <c r="I251" i="4" s="1"/>
  <c r="I252" i="4" s="1"/>
  <c r="I253" i="4" s="1"/>
  <c r="I254" i="4" s="1"/>
  <c r="I255" i="4" s="1"/>
  <c r="I256" i="4" s="1"/>
  <c r="I257" i="4" s="1"/>
  <c r="I258" i="4" s="1"/>
  <c r="I259" i="4" s="1"/>
  <c r="I260" i="4" s="1"/>
  <c r="I261" i="4" s="1"/>
  <c r="I262" i="4" s="1"/>
  <c r="I263" i="4" s="1"/>
  <c r="I264" i="4" s="1"/>
  <c r="I265" i="4" s="1"/>
  <c r="I266" i="4" s="1"/>
  <c r="I267" i="4" s="1"/>
  <c r="I268" i="4" s="1"/>
  <c r="I269" i="4" s="1"/>
  <c r="I270" i="4" s="1"/>
  <c r="I271" i="4" s="1"/>
  <c r="I272" i="4" s="1"/>
  <c r="I273" i="4" s="1"/>
  <c r="I274" i="4" s="1"/>
  <c r="I275" i="4" s="1"/>
  <c r="I276" i="4" s="1"/>
  <c r="I277" i="4" s="1"/>
  <c r="I278" i="4" s="1"/>
  <c r="I279" i="4" s="1"/>
  <c r="I280" i="4" s="1"/>
  <c r="I281" i="4" s="1"/>
  <c r="I282" i="4" s="1"/>
  <c r="I283" i="4" s="1"/>
  <c r="I284" i="4" s="1"/>
  <c r="I285" i="4" s="1"/>
  <c r="I286" i="4" s="1"/>
  <c r="I287" i="4" s="1"/>
  <c r="I288" i="4" s="1"/>
  <c r="I289" i="4" s="1"/>
  <c r="I290" i="4" s="1"/>
  <c r="I291" i="4" s="1"/>
  <c r="I292" i="4" s="1"/>
  <c r="I293" i="4" s="1"/>
  <c r="I294" i="4" s="1"/>
  <c r="I295" i="4" s="1"/>
  <c r="I296" i="4" s="1"/>
  <c r="I297" i="4" s="1"/>
  <c r="I298" i="4" s="1"/>
  <c r="I299" i="4" s="1"/>
  <c r="I300" i="4" s="1"/>
  <c r="I301" i="4" s="1"/>
  <c r="I302" i="4" s="1"/>
  <c r="I303" i="4" s="1"/>
  <c r="I304" i="4" s="1"/>
  <c r="I305" i="4" s="1"/>
  <c r="I306" i="4" s="1"/>
  <c r="I307" i="4" s="1"/>
  <c r="I308" i="4" s="1"/>
  <c r="I309" i="4" s="1"/>
  <c r="I310" i="4" s="1"/>
  <c r="I311" i="4" s="1"/>
  <c r="I312" i="4" s="1"/>
  <c r="I313" i="4" s="1"/>
  <c r="I314" i="4" s="1"/>
  <c r="I315" i="4" s="1"/>
  <c r="I316" i="4" s="1"/>
  <c r="I317" i="4" s="1"/>
  <c r="I318" i="4" s="1"/>
  <c r="I319" i="4" s="1"/>
  <c r="I320" i="4" s="1"/>
  <c r="I321" i="4" s="1"/>
  <c r="I322" i="4" s="1"/>
  <c r="I323" i="4" s="1"/>
  <c r="I324" i="4" s="1"/>
  <c r="I325" i="4" s="1"/>
  <c r="I326" i="4" s="1"/>
  <c r="I327" i="4" s="1"/>
  <c r="I328" i="4" s="1"/>
  <c r="I329" i="4" s="1"/>
  <c r="I330" i="4" s="1"/>
  <c r="I331" i="4" s="1"/>
  <c r="I332" i="4" s="1"/>
  <c r="I333" i="4" s="1"/>
  <c r="I334" i="4" s="1"/>
  <c r="I335" i="4" s="1"/>
  <c r="I336" i="4" s="1"/>
  <c r="I337" i="4" s="1"/>
  <c r="I338" i="4" s="1"/>
  <c r="I339" i="4" s="1"/>
  <c r="I340" i="4" s="1"/>
  <c r="I341" i="4" s="1"/>
  <c r="I342" i="4" s="1"/>
  <c r="I343" i="4" s="1"/>
  <c r="I344" i="4" s="1"/>
  <c r="I345" i="4" s="1"/>
  <c r="I346" i="4" s="1"/>
  <c r="I347" i="4" s="1"/>
  <c r="I348" i="4" s="1"/>
  <c r="I349" i="4" s="1"/>
  <c r="I350" i="4" s="1"/>
  <c r="I351" i="4" s="1"/>
  <c r="I352" i="4" s="1"/>
  <c r="I353" i="4" s="1"/>
  <c r="I354" i="4" s="1"/>
  <c r="I355" i="4" s="1"/>
  <c r="I356" i="4" s="1"/>
  <c r="I357" i="4" s="1"/>
  <c r="I358" i="4" s="1"/>
  <c r="I359" i="4" s="1"/>
  <c r="I360" i="4" s="1"/>
  <c r="I361" i="4" s="1"/>
  <c r="I362" i="4" s="1"/>
  <c r="L54" i="3"/>
  <c r="M54" i="3" s="1"/>
  <c r="T12" i="2"/>
  <c r="I53" i="3"/>
  <c r="U12" i="2" s="1"/>
  <c r="L55" i="3" l="1"/>
  <c r="M55" i="3" s="1"/>
  <c r="T13" i="2"/>
  <c r="I54" i="3"/>
  <c r="U13" i="2" s="1"/>
  <c r="T14" i="2" l="1"/>
  <c r="L56" i="3"/>
  <c r="M56" i="3" s="1"/>
  <c r="I55" i="3"/>
  <c r="U14" i="2" s="1"/>
  <c r="L45" i="3" l="1"/>
  <c r="M45" i="3" s="1"/>
  <c r="T15" i="2"/>
  <c r="K18" i="2" s="1"/>
  <c r="K27" i="2" s="1"/>
  <c r="I56" i="3"/>
  <c r="U15" i="2" s="1"/>
  <c r="L46" i="3" l="1"/>
  <c r="M46" i="3" s="1"/>
  <c r="T4" i="2"/>
  <c r="I45" i="3"/>
  <c r="U4" i="2" s="1"/>
  <c r="L47" i="3" l="1"/>
  <c r="M47" i="3" s="1"/>
  <c r="T5" i="2"/>
  <c r="I46" i="3"/>
  <c r="U5" i="2" s="1"/>
  <c r="L48" i="3" l="1"/>
  <c r="M48" i="3" s="1"/>
  <c r="T6" i="2"/>
  <c r="I47" i="3"/>
  <c r="U6" i="2" s="1"/>
  <c r="T7" i="2" l="1"/>
  <c r="L49" i="3"/>
  <c r="M49" i="3" s="1"/>
  <c r="I48" i="3"/>
  <c r="U7" i="2" s="1"/>
  <c r="T8" i="2" l="1"/>
  <c r="I49" i="3"/>
  <c r="U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Maurizio</author>
  </authors>
  <commentList>
    <comment ref="AA12" authorId="0" shapeId="0" xr:uid="{00000000-0006-0000-0000-000001000000}">
      <text>
        <r>
          <rPr>
            <sz val="10"/>
            <rFont val="Arial"/>
          </rPr>
          <t>Maurizio:
digitare la portata da CAMBIARE, lasciare vuoto per avere la portata selezionata dal modulo</t>
        </r>
      </text>
    </comment>
    <comment ref="F17" authorId="0" shapeId="0" xr:uid="{00000000-0006-0000-0000-000002000000}">
      <text>
        <r>
          <rPr>
            <sz val="10"/>
            <rFont val="Arial"/>
          </rPr>
          <t xml:space="preserve">duty cycle luce LED
</t>
        </r>
      </text>
    </comment>
    <comment ref="F18" authorId="0" shapeId="0" xr:uid="{00000000-0006-0000-0000-000003000000}">
      <text>
        <r>
          <rPr>
            <sz val="10"/>
            <rFont val="Arial"/>
          </rPr>
          <t xml:space="preserve">duty cycle max che può avere la luce LED…..Se è presente il GPS diminuisce perché un po di corrente la consuma il GPS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Maurizio</author>
  </authors>
  <commentList>
    <comment ref="E41" authorId="0" shapeId="0" xr:uid="{00000000-0006-0000-0100-000001000000}">
      <text>
        <r>
          <rPr>
            <sz val="10"/>
            <rFont val="Arial"/>
          </rPr>
          <t>Maurizio:
CERCA.VERT('INSER. DATI'!C4;radiazione!$A$12:$AO$199;G42;FALSO)/31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Maurizio</author>
  </authors>
  <commentList>
    <comment ref="AD6" authorId="0" shapeId="0" xr:uid="{00000000-0006-0000-0400-000001000000}">
      <text>
        <r>
          <rPr>
            <sz val="10"/>
            <rFont val="Arial"/>
          </rPr>
          <t xml:space="preserve">consumo 20 Ma
Acceso (in media) 20 sec poi 3 minuti spento.
Il consumo gg sarebbe 60 Ma
dopo calcoli e simulazioni deciso di
 lasciare 72 Ma per maggior sicurezza
130 PER 6 Volt
</t>
        </r>
      </text>
    </comment>
    <comment ref="J23" authorId="1" shapeId="0" xr:uid="{00000000-0006-0000-0400-000002000000}">
      <text>
        <r>
          <rPr>
            <sz val="10"/>
            <rFont val="Arial"/>
          </rPr>
          <t>Maurizio:
Il consumo gg sarebbe 60 Ma
dopo calcoli e simulazioni deciso di
 lasciare 72 Ma per maggior sicurezza
130 PER 6 Volt</t>
        </r>
      </text>
    </comment>
    <comment ref="N25" authorId="1" shapeId="0" xr:uid="{00000000-0006-0000-0400-000003000000}">
      <text>
        <r>
          <rPr>
            <sz val="10"/>
            <rFont val="Arial"/>
          </rPr>
          <t>Maurizio:
DIGITARE IL CONSUMO DI SEE SKAY
NEGLI  ALTRI MESI SIAGGIORNERA' AUTOMATICAMENTE</t>
        </r>
      </text>
    </comment>
    <comment ref="B29" authorId="0" shapeId="0" xr:uid="{00000000-0006-0000-0400-000004000000}">
      <text>
        <r>
          <rPr>
            <sz val="10"/>
            <rFont val="Arial"/>
          </rPr>
          <t>Dell:
'consumi circa =ai fanali M860,
 186LC</t>
        </r>
      </text>
    </comment>
    <comment ref="F32" authorId="1" shapeId="0" xr:uid="{00000000-0006-0000-0400-000005000000}">
      <text>
        <r>
          <rPr>
            <sz val="10"/>
            <rFont val="Arial"/>
          </rPr>
          <t>Maurizio:
ERA 0,23 MA HO ALZATO PERCHE?!?!   sembra possibile aumentare il dato fino a 0,35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Maurizio</author>
    <author>Dell</author>
  </authors>
  <commentList>
    <comment ref="K2" authorId="0" shapeId="0" xr:uid="{00000000-0006-0000-0700-000001000000}">
      <text>
        <r>
          <rPr>
            <sz val="10"/>
            <rFont val="Arial"/>
          </rPr>
          <t>Maurizio:
INSERIRE NEL FORMATO
DECIMALE  ES  12,52473
RICORDA  + NORD  - SUD</t>
        </r>
      </text>
    </comment>
    <comment ref="K3" authorId="0" shapeId="0" xr:uid="{00000000-0006-0000-0700-000002000000}">
      <text>
        <r>
          <rPr>
            <sz val="10"/>
            <rFont val="Arial"/>
          </rPr>
          <t>Maurizio:
INSERIRE NEL FORMATO
DECIMALE  ES  12,52473
RICORDA  
+ EST  - OVEST</t>
        </r>
      </text>
    </comment>
    <comment ref="M8" authorId="1" shapeId="0" xr:uid="{00000000-0006-0000-0700-000003000000}">
      <text>
        <r>
          <rPr>
            <sz val="10"/>
            <rFont val="Arial"/>
          </rPr>
          <t>Dell:
SE = 11,8 OK…. SI AGGIORNA APPENA INSERITO LA LATITUDINE DELLA NUVA LOCALITà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Maurizio</author>
  </authors>
  <commentList>
    <comment ref="F5" authorId="0" shapeId="0" xr:uid="{00000000-0006-0000-0C00-000001000000}">
      <text>
        <r>
          <rPr>
            <sz val="10"/>
            <rFont val="Arial"/>
          </rPr>
          <t>Maurizio:
in gradi decimali
es. 43,5416
+ NORD   -SUD</t>
        </r>
      </text>
    </comment>
    <comment ref="F6" authorId="0" shapeId="0" xr:uid="{00000000-0006-0000-0C00-000002000000}">
      <text>
        <r>
          <rPr>
            <sz val="10"/>
            <rFont val="Arial"/>
          </rPr>
          <t>Maurizio:
non cambia
in gradi decimali
es. 12,5416
+ EST   -OVEST</t>
        </r>
      </text>
    </comment>
    <comment ref="G6" authorId="0" shapeId="0" xr:uid="{00000000-0006-0000-0C00-000003000000}">
      <text>
        <r>
          <rPr>
            <sz val="10"/>
            <rFont val="Arial"/>
          </rPr>
          <t>Maurizio:
DIGITARE LE COORDINATE 
ES.: 
Lat 41,12
Long 12,42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0F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0F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0F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0F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0F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0F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0F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0F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0F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0F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0F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0F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0F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0F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0F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0F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0F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0F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0F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0F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0F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0F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0F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0F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0F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0F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0F00-00001B000000}">
      <text>
        <r>
          <rPr>
            <sz val="10"/>
            <rFont val="Arial"/>
          </rPr>
          <t>TSMG</t>
        </r>
      </text>
    </comment>
    <comment ref="J16" authorId="1" shapeId="0" xr:uid="{00000000-0006-0000-0F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0F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0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0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0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0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0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0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0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0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0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0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0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0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0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0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0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0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0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0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0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0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0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0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0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0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0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0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000-00001B000000}">
      <text>
        <r>
          <rPr>
            <sz val="10"/>
            <rFont val="Arial"/>
          </rPr>
          <t>TSMG</t>
        </r>
      </text>
    </comment>
    <comment ref="J16" authorId="1" shapeId="0" xr:uid="{00000000-0006-0000-10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0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1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1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1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1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1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1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1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1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1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1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1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1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1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1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1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1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1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1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1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1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1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1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1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1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1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1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100-00001B000000}">
      <text>
        <r>
          <rPr>
            <sz val="10"/>
            <rFont val="Arial"/>
          </rPr>
          <t>TSMG</t>
        </r>
      </text>
    </comment>
    <comment ref="J16" authorId="1" shapeId="0" xr:uid="{00000000-0006-0000-11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1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2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2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2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2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2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2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2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2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2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2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2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2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2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2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2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2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2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2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2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2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2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2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2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2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2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2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200-00001B000000}">
      <text>
        <r>
          <rPr>
            <sz val="10"/>
            <rFont val="Arial"/>
          </rPr>
          <t>TSMG</t>
        </r>
      </text>
    </comment>
    <comment ref="J16" authorId="1" shapeId="0" xr:uid="{00000000-0006-0000-12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2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3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3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3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3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3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3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3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3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3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3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3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3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3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3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3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3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3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3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3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3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3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3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3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3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3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3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300-00001B000000}">
      <text>
        <r>
          <rPr>
            <sz val="10"/>
            <rFont val="Arial"/>
          </rPr>
          <t>TSMG</t>
        </r>
      </text>
    </comment>
    <comment ref="J16" authorId="1" shapeId="0" xr:uid="{00000000-0006-0000-13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3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4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4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4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4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4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4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4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4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4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4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4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4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4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4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4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4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4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4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4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4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4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4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4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4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4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4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400-00001B000000}">
      <text>
        <r>
          <rPr>
            <sz val="10"/>
            <rFont val="Arial"/>
          </rPr>
          <t>TSMG</t>
        </r>
      </text>
    </comment>
    <comment ref="J16" authorId="1" shapeId="0" xr:uid="{00000000-0006-0000-14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4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5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5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5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5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5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5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5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5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5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5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5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5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5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5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5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5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5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5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5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5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5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5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5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5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5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5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500-00001B000000}">
      <text>
        <r>
          <rPr>
            <sz val="10"/>
            <rFont val="Arial"/>
          </rPr>
          <t>TSMG</t>
        </r>
      </text>
    </comment>
    <comment ref="J16" authorId="1" shapeId="0" xr:uid="{00000000-0006-0000-15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5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6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6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6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6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6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6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6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6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6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6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6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6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6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6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6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6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6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6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6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6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6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6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6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6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6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6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600-00001B000000}">
      <text>
        <r>
          <rPr>
            <sz val="10"/>
            <rFont val="Arial"/>
          </rPr>
          <t>TSMG</t>
        </r>
      </text>
    </comment>
    <comment ref="J16" authorId="1" shapeId="0" xr:uid="{00000000-0006-0000-16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6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7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7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7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7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7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7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7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7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7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7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7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7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7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7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7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7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7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7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7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7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7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7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7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7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7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7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700-00001B000000}">
      <text>
        <r>
          <rPr>
            <sz val="10"/>
            <rFont val="Arial"/>
          </rPr>
          <t>TSMG</t>
        </r>
      </text>
    </comment>
    <comment ref="J16" authorId="1" shapeId="0" xr:uid="{00000000-0006-0000-17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7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8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8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8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8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8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8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8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8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8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8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8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8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8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8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8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8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8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8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8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8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8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8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8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8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8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8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800-00001B000000}">
      <text>
        <r>
          <rPr>
            <sz val="10"/>
            <rFont val="Arial"/>
          </rPr>
          <t>TSMG</t>
        </r>
      </text>
    </comment>
    <comment ref="J16" authorId="1" shapeId="0" xr:uid="{00000000-0006-0000-18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8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9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9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9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9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9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9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9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9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9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9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9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9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9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9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9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9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9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9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9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9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9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9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9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9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9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9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900-00001B000000}">
      <text>
        <r>
          <rPr>
            <sz val="10"/>
            <rFont val="Arial"/>
          </rPr>
          <t>TSMG</t>
        </r>
      </text>
    </comment>
    <comment ref="J16" authorId="1" shapeId="0" xr:uid="{00000000-0006-0000-19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9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Mazzucato</author>
    <author>Michele</author>
    <author>Proprietario</author>
    <author>Utente</author>
  </authors>
  <commentList>
    <comment ref="D7" authorId="0" shapeId="0" xr:uid="{00000000-0006-0000-1A00-000001000000}">
      <text>
        <r>
          <rPr>
            <sz val="10"/>
            <rFont val="Arial"/>
          </rPr>
          <t>da 1 a 31</t>
        </r>
      </text>
    </comment>
    <comment ref="G7" authorId="1" shapeId="0" xr:uid="{00000000-0006-0000-1A00-000002000000}">
      <text>
        <r>
          <rPr>
            <sz val="10"/>
            <rFont val="Arial"/>
          </rPr>
          <t>in gradi decimalizzati
+ nord   - sud</t>
        </r>
      </text>
    </comment>
    <comment ref="D8" authorId="0" shapeId="0" xr:uid="{00000000-0006-0000-1A00-000003000000}">
      <text>
        <r>
          <rPr>
            <sz val="10"/>
            <rFont val="Arial"/>
          </rPr>
          <t>da 1 a 12</t>
        </r>
      </text>
    </comment>
    <comment ref="G8" authorId="1" shapeId="0" xr:uid="{00000000-0006-0000-1A00-000004000000}">
      <text>
        <r>
          <rPr>
            <sz val="10"/>
            <rFont val="Arial"/>
          </rPr>
          <t>in gradi decimalizzati
+ est   - ovest</t>
        </r>
      </text>
    </comment>
    <comment ref="D9" authorId="0" shapeId="0" xr:uid="{00000000-0006-0000-1A00-000005000000}">
      <text>
        <r>
          <rPr>
            <sz val="10"/>
            <rFont val="Arial"/>
          </rPr>
          <t>per anni a.C. mettere un meno davanti all'anno</t>
        </r>
      </text>
    </comment>
    <comment ref="D11" authorId="1" shapeId="0" xr:uid="{00000000-0006-0000-1A00-000006000000}">
      <text>
        <r>
          <rPr>
            <sz val="10"/>
            <rFont val="Arial"/>
          </rPr>
          <t>si o no</t>
        </r>
      </text>
    </comment>
    <comment ref="G11" authorId="1" shapeId="0" xr:uid="{00000000-0006-0000-1A00-000007000000}">
      <text>
        <r>
          <rPr>
            <sz val="10"/>
            <rFont val="Arial"/>
          </rPr>
          <t>longitudine del meridiano centrale del fuso orario
+ est   - ovest</t>
        </r>
      </text>
    </comment>
    <comment ref="D12" authorId="1" shapeId="0" xr:uid="{00000000-0006-0000-1A00-000008000000}">
      <text>
        <r>
          <rPr>
            <sz val="10"/>
            <rFont val="Arial"/>
          </rPr>
          <t>in ore decimalizzate</t>
        </r>
      </text>
    </comment>
    <comment ref="G12" authorId="0" shapeId="0" xr:uid="{00000000-0006-0000-1A00-000009000000}">
      <text>
        <r>
          <rPr>
            <sz val="10"/>
            <rFont val="Arial"/>
          </rPr>
          <t>numero del fuso
- est   + ovest</t>
        </r>
      </text>
    </comment>
    <comment ref="C14" authorId="0" shapeId="0" xr:uid="{00000000-0006-0000-1A00-00000A000000}">
      <text>
        <r>
          <rPr>
            <sz val="10"/>
            <rFont val="Arial"/>
          </rPr>
          <t>anno y nel calcolo di JD</t>
        </r>
      </text>
    </comment>
    <comment ref="D14" authorId="0" shapeId="0" xr:uid="{00000000-0006-0000-1A00-00000B000000}">
      <text>
        <r>
          <rPr>
            <sz val="10"/>
            <rFont val="Arial"/>
          </rPr>
          <t>mese m nel calcolo di JD</t>
        </r>
      </text>
    </comment>
    <comment ref="E14" authorId="0" shapeId="0" xr:uid="{00000000-0006-0000-1A00-00000C000000}">
      <text>
        <r>
          <rPr>
            <sz val="10"/>
            <rFont val="Arial"/>
          </rPr>
          <t>valore di B nel calcolo di JD</t>
        </r>
      </text>
    </comment>
    <comment ref="F14" authorId="0" shapeId="0" xr:uid="{00000000-0006-0000-1A00-00000D000000}">
      <text>
        <r>
          <rPr>
            <sz val="10"/>
            <rFont val="Arial"/>
          </rPr>
          <t>JD alle 0h di TU</t>
        </r>
      </text>
    </comment>
    <comment ref="H14" authorId="0" shapeId="0" xr:uid="{00000000-0006-0000-1A00-00000E000000}">
      <text>
        <r>
          <rPr>
            <sz val="10"/>
            <rFont val="Arial"/>
          </rPr>
          <t>resto per il calcolo del giorno della settimana</t>
        </r>
      </text>
    </comment>
    <comment ref="I14" authorId="1" shapeId="0" xr:uid="{00000000-0006-0000-1A00-00000F000000}">
      <text>
        <r>
          <rPr>
            <sz val="10"/>
            <rFont val="Arial"/>
          </rPr>
          <t>T0 tempo in secoli giuliani</t>
        </r>
      </text>
    </comment>
    <comment ref="K14" authorId="1" shapeId="0" xr:uid="{00000000-0006-0000-1A00-000010000000}">
      <text>
        <r>
          <rPr>
            <sz val="10"/>
            <rFont val="Arial"/>
          </rPr>
          <t>per il calcolo del TSMG</t>
        </r>
      </text>
    </comment>
    <comment ref="M14" authorId="1" shapeId="0" xr:uid="{00000000-0006-0000-1A00-000011000000}">
      <text>
        <r>
          <rPr>
            <sz val="10"/>
            <rFont val="Arial"/>
          </rPr>
          <t>obliquità dell'eclittica</t>
        </r>
      </text>
    </comment>
    <comment ref="C15" authorId="1" shapeId="0" xr:uid="{00000000-0006-0000-1A00-000012000000}">
      <text>
        <r>
          <rPr>
            <sz val="10"/>
            <rFont val="Arial"/>
          </rPr>
          <t>angolo orario W2</t>
        </r>
      </text>
    </comment>
    <comment ref="D15" authorId="1" shapeId="0" xr:uid="{00000000-0006-0000-1A00-000013000000}">
      <text>
        <r>
          <rPr>
            <sz val="10"/>
            <rFont val="Arial"/>
          </rPr>
          <t>W3 di crep1</t>
        </r>
      </text>
    </comment>
    <comment ref="E15" authorId="1" shapeId="0" xr:uid="{00000000-0006-0000-1A00-000014000000}">
      <text>
        <r>
          <rPr>
            <sz val="10"/>
            <rFont val="Arial"/>
          </rPr>
          <t>W3 di crep2</t>
        </r>
      </text>
    </comment>
    <comment ref="F15" authorId="1" shapeId="0" xr:uid="{00000000-0006-0000-1A00-000015000000}">
      <text>
        <r>
          <rPr>
            <sz val="10"/>
            <rFont val="Arial"/>
          </rPr>
          <t>W3 di crep3</t>
        </r>
      </text>
    </comment>
    <comment ref="G15" authorId="1" shapeId="0" xr:uid="{00000000-0006-0000-1A00-000016000000}">
      <text>
        <r>
          <rPr>
            <sz val="10"/>
            <rFont val="Arial"/>
          </rPr>
          <t>durata crep1</t>
        </r>
      </text>
    </comment>
    <comment ref="H15" authorId="1" shapeId="0" xr:uid="{00000000-0006-0000-1A00-000017000000}">
      <text>
        <r>
          <rPr>
            <sz val="10"/>
            <rFont val="Arial"/>
          </rPr>
          <t>durata crep2</t>
        </r>
      </text>
    </comment>
    <comment ref="I15" authorId="1" shapeId="0" xr:uid="{00000000-0006-0000-1A00-000018000000}">
      <text>
        <r>
          <rPr>
            <sz val="10"/>
            <rFont val="Arial"/>
          </rPr>
          <t>durata crep3</t>
        </r>
      </text>
    </comment>
    <comment ref="J15" authorId="1" shapeId="0" xr:uid="{00000000-0006-0000-1A00-000019000000}">
      <text>
        <r>
          <rPr>
            <sz val="10"/>
            <rFont val="Arial"/>
          </rPr>
          <t>W1 angolo orario</t>
        </r>
      </text>
    </comment>
    <comment ref="K15" authorId="1" shapeId="0" xr:uid="{00000000-0006-0000-1A00-00001A000000}">
      <text>
        <r>
          <rPr>
            <sz val="10"/>
            <rFont val="Arial"/>
          </rPr>
          <t>per il calcolo del TSMG</t>
        </r>
      </text>
    </comment>
    <comment ref="M15" authorId="2" shapeId="0" xr:uid="{00000000-0006-0000-1A00-00001B000000}">
      <text>
        <r>
          <rPr>
            <sz val="10"/>
            <rFont val="Arial"/>
          </rPr>
          <t>TSMG</t>
        </r>
      </text>
    </comment>
    <comment ref="J16" authorId="1" shapeId="0" xr:uid="{00000000-0006-0000-1A00-00001C000000}">
      <text>
        <r>
          <rPr>
            <sz val="10"/>
            <rFont val="Arial"/>
          </rPr>
          <t>W1 angolo orario</t>
        </r>
      </text>
    </comment>
    <comment ref="F21" authorId="3" shapeId="0" xr:uid="{00000000-0006-0000-1A00-00001D000000}">
      <text>
        <r>
          <rPr>
            <sz val="10"/>
            <rFont val="Arial"/>
          </rPr>
          <t>+ est   - ovest
del meridiano centrale
del fuso orario</t>
        </r>
      </text>
    </comment>
  </commentList>
</comments>
</file>

<file path=xl/sharedStrings.xml><?xml version="1.0" encoding="utf-8"?>
<sst xmlns="http://schemas.openxmlformats.org/spreadsheetml/2006/main" count="5436" uniqueCount="1190">
  <si>
    <t xml:space="preserve">    FANALE  AUTOALIMENTATO </t>
  </si>
  <si>
    <t>salva foglio</t>
  </si>
  <si>
    <t xml:space="preserve">Fanale </t>
  </si>
  <si>
    <t>Simulazione solare  per  la località di</t>
  </si>
  <si>
    <t>Latitudine</t>
  </si>
  <si>
    <t>Nord</t>
  </si>
  <si>
    <t>Longitudine</t>
  </si>
  <si>
    <t>Est</t>
  </si>
  <si>
    <t>Trasmissività</t>
  </si>
  <si>
    <t>t</t>
  </si>
  <si>
    <t>CARATTERISTICHE DEL SEGNAMENTO</t>
  </si>
  <si>
    <t>CL_201</t>
  </si>
  <si>
    <t xml:space="preserve">
Lanterna marina con portata nominale  fino 4 NM. 
Composta da 1 LED ad alta intensità. 
Divergenza  (FWHM) &gt;8°.
Corpo  in alluminio smaltato.</t>
  </si>
  <si>
    <t>CL_201
Lanterna marina con portata nominale  fino 4 NM. 
Composta da 1 LED ad alta intensità. 
Divergenza  (FWHM) &gt;8°.
Corpo  in alluminio smaltato.</t>
  </si>
  <si>
    <t>CL_299</t>
  </si>
  <si>
    <t xml:space="preserve">
Lanterna marina con portata nominale  fino 7 NM. 
Composta da 9 LED ad alta intensità. 
Divergenza  (FWHM) &gt;4°.
Corpo  in alluminio smaltato.</t>
  </si>
  <si>
    <t>CL_299
Lanterna marina con portata nominale  fino 7 NM. 
Composta da 9 LED ad alta intensità. 
Divergenza  (FWHM) &gt;4°.
Corpo  in alluminio smaltato.</t>
  </si>
  <si>
    <t>CL_299 _H</t>
  </si>
  <si>
    <t xml:space="preserve">
Lanterna marina con portata nominale  fino 7 NM. 
Composta da 9 LED ad alta intensità. 
Divergenza  (FWHM) &gt;8°.
Corpo  in alluminio smaltato.</t>
  </si>
  <si>
    <t>CL_299 _H
Lanterna marina con portata nominale  fino 7 NM. 
Composta da 9 LED ad alta intensità. 
Divergenza  (FWHM) &gt;8°.
Corpo  in alluminio smaltato.</t>
  </si>
  <si>
    <t>Codice  caratteristica  "display"</t>
  </si>
  <si>
    <t>C</t>
  </si>
  <si>
    <t>CL_301</t>
  </si>
  <si>
    <t>CL_301
Lanterna marina con portata nominale  fino 7 NM. 
Composta da 9 LED ad alta intensità. 
Divergenza  (FWHM) &gt;4°.
Corpo  in alluminio smaltato.</t>
  </si>
  <si>
    <t xml:space="preserve">  duty cycle  </t>
  </si>
  <si>
    <t>CL_401</t>
  </si>
  <si>
    <t xml:space="preserve">
Lanterna marina con portata nominale  fino 9 NM. 
Composta da 9 LED ad alta intensità. 
Divergenza  (FWHM) &gt;4°.
Corpo  in alluminio smaltato.</t>
  </si>
  <si>
    <t>CL_401
Lanterna marina con portata nominale  fino 9 NM. 
Composta da 9 LED ad alta intensità. 
Divergenza  (FWHM) &gt;4°.
Corpo  in alluminio smaltato.</t>
  </si>
  <si>
    <t>Portata luminosa</t>
  </si>
  <si>
    <t>MN</t>
  </si>
  <si>
    <t>Colore della  luce</t>
  </si>
  <si>
    <t>CL_301_H</t>
  </si>
  <si>
    <t>CL_301_H
Lanterna marina con portata nominale  fino 7 NM. 
Composta da 9 LED ad alta intensità. 
Divergenza  (FWHM) &gt;8°.
Corpo  in alluminio smaltato.</t>
  </si>
  <si>
    <t>Codice  intensità luminosa</t>
  </si>
  <si>
    <t>CL_401_H</t>
  </si>
  <si>
    <t xml:space="preserve">
Lanterna marina con portata nominale  fino 9 NM. 
Composta da 9 LED ad alta intensità. 
Divergenza  (FWHM) &gt;8°.
Corpo  in alluminio smaltato.</t>
  </si>
  <si>
    <t>CL_401_H
Lanterna marina con portata nominale  fino 9 NM. 
Composta da 9 LED ad alta intensità. 
Divergenza  (FWHM) &gt;8°.
Corpo  in alluminio smaltato.</t>
  </si>
  <si>
    <t>Codice  intensità luminosa  "display"</t>
  </si>
  <si>
    <t>L</t>
  </si>
  <si>
    <t>Intensità luminosa</t>
  </si>
  <si>
    <t>CD</t>
  </si>
  <si>
    <t>CL_304</t>
  </si>
  <si>
    <t xml:space="preserve">
Lanterna marina con portata nominale  fino 6 NM. 
Composta da 4 LED ad alta intensità. 
Divergenza  (FWHM) &gt;8°.
Corpo  in alluminio smaltato.</t>
  </si>
  <si>
    <t>CL_304
Lanterna marina con portata nominale  fino 6 NM. 
Composta da 4 LED ad alta intensità. 
Divergenza  (FWHM) &gt;8°.
Corpo  in alluminio smaltato.</t>
  </si>
  <si>
    <t>Syncro_GPS</t>
  </si>
  <si>
    <t>"  "</t>
  </si>
  <si>
    <t>CL_404</t>
  </si>
  <si>
    <t>CL_404
Lanterna marina con portata nominale  fino 6 NM. 
Composta da 4 LED ad alta intensità. 
Divergenza  (FWHM) &gt;8°.
Corpo  in alluminio smaltato.</t>
  </si>
  <si>
    <t xml:space="preserve">Telemonitoraggio </t>
  </si>
  <si>
    <t xml:space="preserve">CARATTERISTICHE  DEI  PANNELLI  </t>
  </si>
  <si>
    <t>TENSIONE  NOMINALE</t>
  </si>
  <si>
    <t>V</t>
  </si>
  <si>
    <t>CORRENTE Max (Imp)</t>
  </si>
  <si>
    <t>A</t>
  </si>
  <si>
    <t>PANNELLI  USATI</t>
  </si>
  <si>
    <t>n°</t>
  </si>
  <si>
    <t>CARATTERISTICHE DELLE  BATTERIE</t>
  </si>
  <si>
    <t>TENSIONE DI OGNI BATTERIA</t>
  </si>
  <si>
    <t>CAPACITA' DI OGNI  BATTERIA</t>
  </si>
  <si>
    <t xml:space="preserve"> BATTERIE  USATE</t>
  </si>
  <si>
    <t>Tutti i valori sono espressi in  Ampere, ad eccezione della colonna A dove sono espressi in KWh/m2</t>
  </si>
  <si>
    <t>B</t>
  </si>
  <si>
    <t xml:space="preserve">            D</t>
  </si>
  <si>
    <t>A usati</t>
  </si>
  <si>
    <t>A rimasti</t>
  </si>
  <si>
    <t>Energia disponibile (batteria)</t>
  </si>
  <si>
    <t>Energia  erogata</t>
  </si>
  <si>
    <t>Energia  consumata</t>
  </si>
  <si>
    <t>Energia  extra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</si>
  <si>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</si>
  <si>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</si>
  <si>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</si>
  <si>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</si>
  <si>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</si>
  <si>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</si>
  <si>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</si>
  <si>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</si>
  <si>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</si>
  <si>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</si>
  <si>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</si>
  <si>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</si>
  <si>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A-</t>
  </si>
  <si>
    <t>B-</t>
  </si>
  <si>
    <t>Corrente mensile erogata dal sistema</t>
  </si>
  <si>
    <t>C-</t>
  </si>
  <si>
    <t>Consumo mensile fanale</t>
  </si>
  <si>
    <t>D-</t>
  </si>
  <si>
    <t>Percentuale di carica batteria</t>
  </si>
  <si>
    <t xml:space="preserve">Autonomia della batteria     </t>
  </si>
  <si>
    <t>giorni</t>
  </si>
  <si>
    <t xml:space="preserve">ALR  minima </t>
  </si>
  <si>
    <t>comm. n°</t>
  </si>
  <si>
    <t>cliente</t>
  </si>
  <si>
    <t>Italia_Ancona</t>
  </si>
  <si>
    <t>Fa n a l e    T i p o</t>
  </si>
  <si>
    <t>CL_302</t>
  </si>
  <si>
    <t>Località</t>
  </si>
  <si>
    <t>Colore della luce</t>
  </si>
  <si>
    <t>Rossa</t>
  </si>
  <si>
    <t xml:space="preserve">Caratteristica di lampeggio  </t>
  </si>
  <si>
    <t>Caratteristica di lampeggio</t>
  </si>
  <si>
    <t>0,5 - 0,8 = P.  1,3 sec.</t>
  </si>
  <si>
    <t>somma ON</t>
  </si>
  <si>
    <t>somma OFF</t>
  </si>
  <si>
    <t xml:space="preserve"> duty cycle</t>
  </si>
  <si>
    <t>Miglia N autiche  MN</t>
  </si>
  <si>
    <t>3</t>
  </si>
  <si>
    <t>Consumo dei LED  ( MA )</t>
  </si>
  <si>
    <t>Capacità  batteria     Ah</t>
  </si>
  <si>
    <t>sincro sat GPS</t>
  </si>
  <si>
    <t>NON COMPRESO</t>
  </si>
  <si>
    <t>Telemonitoraggio</t>
  </si>
  <si>
    <t>*</t>
  </si>
  <si>
    <t>asq2</t>
  </si>
  <si>
    <t>aaa</t>
  </si>
  <si>
    <t>_</t>
  </si>
  <si>
    <t>_DIV.8°</t>
  </si>
  <si>
    <t>_101</t>
  </si>
  <si>
    <t>_201</t>
  </si>
  <si>
    <t>_4 LED</t>
  </si>
  <si>
    <t>x controllare</t>
  </si>
  <si>
    <t>ok</t>
  </si>
  <si>
    <t>Ampere disponibili   gg</t>
  </si>
  <si>
    <t>Ampere disponibili 
mese</t>
  </si>
  <si>
    <t>ore di buio          gg</t>
  </si>
  <si>
    <t>ore di LED accesi x duty cycle  gg</t>
  </si>
  <si>
    <t>ore di stand bay o eclissi  
gg</t>
  </si>
  <si>
    <t>consumo LED  Ampere  gg</t>
  </si>
  <si>
    <t>consumo flasher stand by o eclissi   Ampere
 gg</t>
  </si>
  <si>
    <t>consumo sincro sat GPS
Ampere 
gg</t>
  </si>
  <si>
    <t>consumo telemonitoraggio SEA SKY
Ampere 
gg</t>
  </si>
  <si>
    <t>consumo TOTALE   Ampere gg</t>
  </si>
  <si>
    <t>consumo TOTALE   Ampere mese</t>
  </si>
  <si>
    <t>Autonomia batteria    gg</t>
  </si>
  <si>
    <t>A L R</t>
  </si>
  <si>
    <t>capacità residua batteria
Ampere</t>
  </si>
  <si>
    <t>% di carica della batteria</t>
  </si>
  <si>
    <t>Portata nominale (Miglia Nautiche)</t>
  </si>
  <si>
    <t>Tempo ON     (o somma lampi)    in sec.</t>
  </si>
  <si>
    <t>Tempo OFF  (o somma eclissi)    in sec.</t>
  </si>
  <si>
    <t>Consumo dei LED    (  Ma  )</t>
  </si>
  <si>
    <t>MEDIA</t>
  </si>
  <si>
    <t>*1000</t>
  </si>
  <si>
    <t>cons 100%</t>
  </si>
  <si>
    <t>MAX CONS DISP</t>
  </si>
  <si>
    <t>max duty per ARL</t>
  </si>
  <si>
    <t>MAX DUTY COCNOSCENDO LA PORTATA</t>
  </si>
  <si>
    <t>max duty per BAT</t>
  </si>
  <si>
    <t>max ore led accesi</t>
  </si>
  <si>
    <t>per cel   D3</t>
  </si>
  <si>
    <t>per INSER_DATI C5</t>
  </si>
  <si>
    <t xml:space="preserve">Inserire in C4,riga ARANCIONE, il tipo di fanale interessato. Selezionando dal MENU' A TENDINA, 
</t>
  </si>
  <si>
    <t>Inserire in C5, riga ROSSA, la località di installazione selezionando dal MENU' A TENDINA.
Clickando sul "pulsante"  GOOGLE_MAPS è possibile vedere tutte le località (porti) presenti in ARCHIVIO
con i DATI della RADIAZIONE SOLARE</t>
  </si>
  <si>
    <t>BIANCA</t>
  </si>
  <si>
    <t xml:space="preserve">Inserire in C6, riga BLU', il colore della luce. Selezionando dal MENU' A TENDINA, </t>
  </si>
  <si>
    <t>ROSSA</t>
  </si>
  <si>
    <t>inserire in C8, riga GRIGIA, il codice della  CARATTERISTICA. Per facilitare la ricerca è possibile, clickando sul PULSANTE "CARATTERISTICHE", CERCARE LA CARATTERISTICA DESIDERATA con l'aiuto dei filtri.</t>
  </si>
  <si>
    <t>VERDE</t>
  </si>
  <si>
    <t>inserire in C12, riga  GIALLA, la portata richiesta MN. Selezionando dal MESU' A TENDINA,</t>
  </si>
  <si>
    <t>GIALLA</t>
  </si>
  <si>
    <t>inserire in C16, riga BLU, COMPRESO o NON COMPRESO per il SINCRONISMO UNI FLASH. Selezionando dal MESU' A TENDINA,</t>
  </si>
  <si>
    <t>energia disponibile KWhm2   gg</t>
  </si>
  <si>
    <t>inserire in C17, riga VIOLA,  COMPRESO o NON COMOPRESO per il TELEMONITORAGGIO. Selezionando dal MESU' A TENDINA,</t>
  </si>
  <si>
    <t>per   cel da G4 a  G15      valore di G "42"nella formula        ( vedi nota  )</t>
  </si>
  <si>
    <t>" div 8°"</t>
  </si>
  <si>
    <t>bianca_101</t>
  </si>
  <si>
    <t>bianca_201</t>
  </si>
  <si>
    <t>bianca 4 led</t>
  </si>
  <si>
    <t>4_led</t>
  </si>
  <si>
    <t>rossa_101</t>
  </si>
  <si>
    <t>rossa_201</t>
  </si>
  <si>
    <t>rossa 4 led</t>
  </si>
  <si>
    <t>verde_101</t>
  </si>
  <si>
    <t>verd_01</t>
  </si>
  <si>
    <t>verde 
4 led</t>
  </si>
  <si>
    <t>gialla_101</t>
  </si>
  <si>
    <t>gialla_201</t>
  </si>
  <si>
    <t>gialla 
4 led</t>
  </si>
  <si>
    <t xml:space="preserve">FANALE AUTOALIMENTATO </t>
  </si>
  <si>
    <t xml:space="preserve">FANALE
 AUTOALIMENTATO 
MODELLO
  </t>
  </si>
  <si>
    <t>Coloredella  luce</t>
  </si>
  <si>
    <t>Portata</t>
  </si>
  <si>
    <t>NM</t>
  </si>
  <si>
    <t>Consumo dei led</t>
  </si>
  <si>
    <t>Ma</t>
  </si>
  <si>
    <t>Ma / gg</t>
  </si>
  <si>
    <t>SPECIFICHE TECNICHE</t>
  </si>
  <si>
    <t xml:space="preserve">                 dimensionamento </t>
  </si>
  <si>
    <t>PER    A R  L</t>
  </si>
  <si>
    <t>PER GG AUTONOMIA</t>
  </si>
  <si>
    <t>REALI</t>
  </si>
  <si>
    <t>CORRETTI</t>
  </si>
  <si>
    <t>&gt;1</t>
  </si>
  <si>
    <t>NO</t>
  </si>
  <si>
    <t>&gt;9 GG</t>
  </si>
  <si>
    <t>2 (Range)</t>
  </si>
  <si>
    <t>3 (Range)</t>
  </si>
  <si>
    <t>4 (Range)</t>
  </si>
  <si>
    <t>5 (Range)</t>
  </si>
  <si>
    <t>6 (Range)</t>
  </si>
  <si>
    <t>7 (Range)</t>
  </si>
  <si>
    <t>8 (Range)</t>
  </si>
  <si>
    <t>FANALE  NON ADATTO  PER  QUESTA  INSTALLAZIONE</t>
  </si>
  <si>
    <t>9 (Range)</t>
  </si>
  <si>
    <t xml:space="preserve">  CONSUMI  OK 06-03-26
per far scrivere il consumo secondo il colore e la portata</t>
  </si>
  <si>
    <t>x far scrivere bianca rossa verde gialla blu</t>
  </si>
  <si>
    <t>x far scrivere la portata richiesta</t>
  </si>
  <si>
    <t>n° batt</t>
  </si>
  <si>
    <t>bianca</t>
  </si>
  <si>
    <t>rossa</t>
  </si>
  <si>
    <t>verde</t>
  </si>
  <si>
    <t>gialla</t>
  </si>
  <si>
    <t>bianca div 8°</t>
  </si>
  <si>
    <t>rossa div 8°</t>
  </si>
  <si>
    <t>verde div 8°</t>
  </si>
  <si>
    <t>gialla div 8°</t>
  </si>
  <si>
    <t>bianca 101</t>
  </si>
  <si>
    <t>rossa 101</t>
  </si>
  <si>
    <t>verde 101</t>
  </si>
  <si>
    <t>gialla 101</t>
  </si>
  <si>
    <t>bianca201</t>
  </si>
  <si>
    <t>rossa 201</t>
  </si>
  <si>
    <t>verde 201</t>
  </si>
  <si>
    <t>gialla 201</t>
  </si>
  <si>
    <t>BIANCA_</t>
  </si>
  <si>
    <t>/////</t>
  </si>
  <si>
    <t>Capacità TOTALE batt.  interna al FANALE  ( A )</t>
  </si>
  <si>
    <t>no dati</t>
  </si>
  <si>
    <t>ROSSA_</t>
  </si>
  <si>
    <t>corrente al punto max di ogni pannello ( A )</t>
  </si>
  <si>
    <t>2 (-)</t>
  </si>
  <si>
    <t>VERDE_</t>
  </si>
  <si>
    <t xml:space="preserve"> ACCETTABILE PER 2 MN</t>
  </si>
  <si>
    <t>consumo fanale  STAND BY ( A )</t>
  </si>
  <si>
    <t>GIALLA_</t>
  </si>
  <si>
    <t>sincro sat</t>
  </si>
  <si>
    <t>bianca_div.8°</t>
  </si>
  <si>
    <t xml:space="preserve"> ACCETTABILE PER 3 MN</t>
  </si>
  <si>
    <t>consumo telemonitoraggio (SEA SKY)</t>
  </si>
  <si>
    <t>rossa_div.8°</t>
  </si>
  <si>
    <t>WATT</t>
  </si>
  <si>
    <t>verde_div.8°</t>
  </si>
  <si>
    <t xml:space="preserve"> ACCETTABILE PER 4 MN</t>
  </si>
  <si>
    <t>TENSIONE NOMINALE  volt</t>
  </si>
  <si>
    <t>gialla_div.8°</t>
  </si>
  <si>
    <t>4°</t>
  </si>
  <si>
    <t xml:space="preserve"> ACCETTABILE PER 5 MN</t>
  </si>
  <si>
    <t xml:space="preserve"> ACCETTABILE PER 6 MN</t>
  </si>
  <si>
    <t>8°</t>
  </si>
  <si>
    <t xml:space="preserve"> ACCETTABILE PER 7 MN</t>
  </si>
  <si>
    <t>COMPRESO</t>
  </si>
  <si>
    <t>verde_201</t>
  </si>
  <si>
    <t xml:space="preserve"> ACCETTABILE PER 8 MN</t>
  </si>
  <si>
    <t>bianca_4 led</t>
  </si>
  <si>
    <t xml:space="preserve"> ACCETTABILE PER 9 MN</t>
  </si>
  <si>
    <t>4 led</t>
  </si>
  <si>
    <t>rossa_4 led</t>
  </si>
  <si>
    <t>verde_4 led</t>
  </si>
  <si>
    <t>gialla_4 led</t>
  </si>
  <si>
    <t>Capacità TOTALE batt.  interna  ( A )</t>
  </si>
  <si>
    <t>corrente max di ogni pannello (A)</t>
  </si>
  <si>
    <t xml:space="preserve">  CONSUMI  OK 
per far scrivere il consumo secondo il colore e la portata</t>
  </si>
  <si>
    <t>W</t>
  </si>
  <si>
    <t>v</t>
  </si>
  <si>
    <t>I CONSUMI DEL TELEMONITORAGGIO SONO DA INSERIRE APPENA  SI SAPRANNO</t>
  </si>
  <si>
    <t>per scrivere candele x portate</t>
  </si>
  <si>
    <t>0,336,,,,0,406 MPPT</t>
  </si>
  <si>
    <t>CL_351</t>
  </si>
  <si>
    <t>consumo STAND BY potrebbe essere 3 ma meglio calcolare  4 Ma 6 V</t>
  </si>
  <si>
    <t>0,23…..0,278 MPPT</t>
  </si>
  <si>
    <t xml:space="preserve">METTERE CODICI  </t>
  </si>
  <si>
    <t xml:space="preserve">  CODICI TELECOMANDO     PER CONSUMI OK  06-03-26   OK 
per far scrivere il consumo secondo il colore e la portata</t>
  </si>
  <si>
    <t>mettere i gialli (consumi x 4°) e calcola i consumi a 8°</t>
  </si>
  <si>
    <t>CL 350_verde-MN 3,5</t>
  </si>
  <si>
    <t>CS 155_</t>
  </si>
  <si>
    <t>CS 250_</t>
  </si>
  <si>
    <t>CL 299_</t>
  </si>
  <si>
    <t>CL 301_</t>
  </si>
  <si>
    <t>CL 401_</t>
  </si>
  <si>
    <t>CL 201_</t>
  </si>
  <si>
    <t>CL 350_</t>
  </si>
  <si>
    <t>CL 450_</t>
  </si>
  <si>
    <t xml:space="preserve">                                                                        CONSUMI  OK 
per far scrivere il consumo secondo il colore e la portata</t>
  </si>
  <si>
    <t>rossa   101</t>
  </si>
  <si>
    <t>bianca 201</t>
  </si>
  <si>
    <t>CRF 02  VECCHI</t>
  </si>
  <si>
    <t>CODICI / CONSUMI  PORTATA LUMINOSA LENTE  155  4  gradi</t>
  </si>
  <si>
    <t>COD</t>
  </si>
  <si>
    <t>CODICI / CONSUMI  PORTATA LUMINOSA LENTE  155  8  gradi</t>
  </si>
  <si>
    <t>CON  CRF 02       6 - 12</t>
  </si>
  <si>
    <t>CODICI-CONSUMI  PORTATA LUMINOSA CUPOLA TRASP. UNI-LED</t>
  </si>
  <si>
    <t>CODICI-CONSUMI  PORTATA LUMINOSA CUPOLA TRASP. QUATER-LED</t>
  </si>
  <si>
    <t>021</t>
  </si>
  <si>
    <t>100%</t>
  </si>
  <si>
    <t>CARATTERISTICHE DI LAMPEGGIO  Circuito  Crf01 /   Crf02Sync</t>
  </si>
  <si>
    <t>018</t>
  </si>
  <si>
    <t>N° di lampeggi per ogni PERIODO</t>
  </si>
  <si>
    <t xml:space="preserve">Periodo </t>
  </si>
  <si>
    <t>codice 
 "display"</t>
  </si>
  <si>
    <t>CARATTERISCICA DI LAMPEGGIO</t>
  </si>
  <si>
    <t>duty cycle</t>
  </si>
  <si>
    <t>ON-2</t>
  </si>
  <si>
    <t>OFF-2</t>
  </si>
  <si>
    <t>ON-3</t>
  </si>
  <si>
    <t>OFF-3</t>
  </si>
  <si>
    <t>ON-4</t>
  </si>
  <si>
    <t>OFF-4</t>
  </si>
  <si>
    <t>ON-5</t>
  </si>
  <si>
    <t>OFF-5</t>
  </si>
  <si>
    <t>ON-6</t>
  </si>
  <si>
    <t>OFF-6</t>
  </si>
  <si>
    <t>ON-7</t>
  </si>
  <si>
    <t>OFF-7</t>
  </si>
  <si>
    <t>ON-8</t>
  </si>
  <si>
    <t>OFF-8</t>
  </si>
  <si>
    <t>ON-9</t>
  </si>
  <si>
    <t>OFF-9</t>
  </si>
  <si>
    <t>000</t>
  </si>
  <si>
    <t>Luce fissa</t>
  </si>
  <si>
    <t>001</t>
  </si>
  <si>
    <t>FL</t>
  </si>
  <si>
    <t>002</t>
  </si>
  <si>
    <t>0,2 - 1,3 = P.  1,5 sec.</t>
  </si>
  <si>
    <t>003</t>
  </si>
  <si>
    <t>0,3 - 1,2 = P.  1,5 sec.</t>
  </si>
  <si>
    <t>004</t>
  </si>
  <si>
    <t>0,4 - 1,1 = P.  1,5 sec.</t>
  </si>
  <si>
    <t>005</t>
  </si>
  <si>
    <t>0,5 - 1 = P.  1,5 sec.</t>
  </si>
  <si>
    <t>006</t>
  </si>
  <si>
    <t>0,2 - 1,8 = P.  2 sec.</t>
  </si>
  <si>
    <t>007</t>
  </si>
  <si>
    <t>0,3 - 1,7 = P.  2 sec.</t>
  </si>
  <si>
    <t>008</t>
  </si>
  <si>
    <t>0,4 - 1,6 = P.  2 sec.</t>
  </si>
  <si>
    <t>009</t>
  </si>
  <si>
    <t>0,5 - 1,5 = P.  2 sec.</t>
  </si>
  <si>
    <t>010</t>
  </si>
  <si>
    <t>0,6 - 1,4 = P.  2 sec.</t>
  </si>
  <si>
    <t>011</t>
  </si>
  <si>
    <t>0,7 - 1,3 = P.  2 sec.</t>
  </si>
  <si>
    <t>012</t>
  </si>
  <si>
    <t>0,8 - 1,2 = P.  2 sec.</t>
  </si>
  <si>
    <t>013</t>
  </si>
  <si>
    <t>0,3 - 2,2 = P.  2,5 sec.</t>
  </si>
  <si>
    <t>014</t>
  </si>
  <si>
    <t>0,5 - 2 = P.  2,5 sec.</t>
  </si>
  <si>
    <t>015</t>
  </si>
  <si>
    <t>0,2 - 2,8 = P.  3 sec.</t>
  </si>
  <si>
    <t>016</t>
  </si>
  <si>
    <t>0,3 - 2,7 = P.  3 sec.</t>
  </si>
  <si>
    <t>017</t>
  </si>
  <si>
    <t>0,4 - 2,6 = P.  3 sec.</t>
  </si>
  <si>
    <t>0,5 - 2,5 = P.  3 sec.</t>
  </si>
  <si>
    <t>019</t>
  </si>
  <si>
    <t>0,6 - 2,4 = P.  3 sec.</t>
  </si>
  <si>
    <t>020</t>
  </si>
  <si>
    <t>0,7 - 2,3 = P.  3 sec.</t>
  </si>
  <si>
    <t>1 - 2 = P.  3 sec.</t>
  </si>
  <si>
    <t>022</t>
  </si>
  <si>
    <t>0,2 - 3,8 = P.  4 sec.</t>
  </si>
  <si>
    <t>023</t>
  </si>
  <si>
    <t>0,3 - 3,7 = P.  4 sec.</t>
  </si>
  <si>
    <t>024</t>
  </si>
  <si>
    <t>0,4 - 3,6 = P.  4 sec.</t>
  </si>
  <si>
    <t>025</t>
  </si>
  <si>
    <t>0,5 - 3,5 = P.  4 sec.</t>
  </si>
  <si>
    <t>026</t>
  </si>
  <si>
    <t>0,6 - 3,4 = P.  4 sec.</t>
  </si>
  <si>
    <t>027</t>
  </si>
  <si>
    <t>0,8 - 3,2 = P.  4 sec.</t>
  </si>
  <si>
    <t>028</t>
  </si>
  <si>
    <t>1 - 3 = P.  4 sec.</t>
  </si>
  <si>
    <t>029</t>
  </si>
  <si>
    <t>1,5 - 2,5 = P.  4 sec.</t>
  </si>
  <si>
    <t>030</t>
  </si>
  <si>
    <t>1,3 - 3 = P.  4,3 sec.</t>
  </si>
  <si>
    <t>031</t>
  </si>
  <si>
    <t>0,2 - 4,8 = P.  5 sec.</t>
  </si>
  <si>
    <t>032</t>
  </si>
  <si>
    <t>0,3 - 4,7 = P.  5 sec.</t>
  </si>
  <si>
    <t>033</t>
  </si>
  <si>
    <t>0,5 - 4,5 = P.  5 sec.</t>
  </si>
  <si>
    <t>034</t>
  </si>
  <si>
    <t>0,6 - 4,4 = P.  5 sec.</t>
  </si>
  <si>
    <t>035</t>
  </si>
  <si>
    <t>0,9 - 4,1 = P.  5 sec.</t>
  </si>
  <si>
    <t>036</t>
  </si>
  <si>
    <t>1 - 4 = P.  5 sec.</t>
  </si>
  <si>
    <t>037</t>
  </si>
  <si>
    <t>1,5 - 3,5 = P.  5 sec.</t>
  </si>
  <si>
    <t>038</t>
  </si>
  <si>
    <t>0,2 - 5,8 = P.  6 sec.</t>
  </si>
  <si>
    <t>039</t>
  </si>
  <si>
    <t>0,3 - 5,7 = P.  6 sec.</t>
  </si>
  <si>
    <t>040</t>
  </si>
  <si>
    <t>0,4 - 5,6 = P.  6 sec.</t>
  </si>
  <si>
    <t>041</t>
  </si>
  <si>
    <t>0,5 - 5,5 = P.  6 sec.</t>
  </si>
  <si>
    <t>042</t>
  </si>
  <si>
    <t>0,6 - 5,4 = P.  6 sec.</t>
  </si>
  <si>
    <t>043</t>
  </si>
  <si>
    <t>1 - 5 = P.  6 sec.</t>
  </si>
  <si>
    <t>044</t>
  </si>
  <si>
    <t>1,2 - 4,8 = P.  6 sec.</t>
  </si>
  <si>
    <t>045</t>
  </si>
  <si>
    <t>1,5 - 4,5 = P.  6 sec.</t>
  </si>
  <si>
    <t>046</t>
  </si>
  <si>
    <t>1 - 6 = P.  7 sec.</t>
  </si>
  <si>
    <t>047</t>
  </si>
  <si>
    <t>2 - 5 = P.  7 sec.</t>
  </si>
  <si>
    <t>048</t>
  </si>
  <si>
    <t>0,5 - 7 = P.  7,5 sec.</t>
  </si>
  <si>
    <t>049</t>
  </si>
  <si>
    <t>0,8 - 6,7 = P.  7,5 sec.</t>
  </si>
  <si>
    <t>050</t>
  </si>
  <si>
    <t>0,5 - 7,5 = P.  8 sec.</t>
  </si>
  <si>
    <t>051</t>
  </si>
  <si>
    <t>0,9 - 8,1 = P.  9 sec.</t>
  </si>
  <si>
    <t>052</t>
  </si>
  <si>
    <t>0,2 - 9,8 = P.  10 sec.</t>
  </si>
  <si>
    <t>053</t>
  </si>
  <si>
    <t>0,3 - 9,7 = P.  10 sec.</t>
  </si>
  <si>
    <t>054</t>
  </si>
  <si>
    <t>0,5 - 9,5 = P.  10 sec.</t>
  </si>
  <si>
    <t>055</t>
  </si>
  <si>
    <t>1 - 9 = P.  10 sec.</t>
  </si>
  <si>
    <t>056</t>
  </si>
  <si>
    <t>1,5 - 8,5 = P.  10 sec.</t>
  </si>
  <si>
    <t>057</t>
  </si>
  <si>
    <t>1,2 - 10,8 = P.  12 sec.</t>
  </si>
  <si>
    <t>058</t>
  </si>
  <si>
    <t>2,5 - 9,5 = P.  12 sec.</t>
  </si>
  <si>
    <t>059</t>
  </si>
  <si>
    <t>1 - 14 = P.  15 sec.</t>
  </si>
  <si>
    <t>060</t>
  </si>
  <si>
    <t>1,5 - 6,5 = P.  8 sec.</t>
  </si>
  <si>
    <t>061</t>
  </si>
  <si>
    <t>0,5 - 1 /  0,5 - 2 = P. 4 sec.</t>
  </si>
  <si>
    <t>FL (2)</t>
  </si>
  <si>
    <t>062</t>
  </si>
  <si>
    <t>0,3 - 1 /  0,3 - 2,9 = P. 4,5 sec.</t>
  </si>
  <si>
    <t>063</t>
  </si>
  <si>
    <t>0,4 - 1 /  0,4 - 2,7 = P. 4,5 sec.</t>
  </si>
  <si>
    <t>064</t>
  </si>
  <si>
    <t>0,5 - 1 /  0,5 - 2,5 = P. 4,5 sec.</t>
  </si>
  <si>
    <t>065</t>
  </si>
  <si>
    <t>0,2 - 0,8 /  0,2 - 3,8 = P. 5 sec.</t>
  </si>
  <si>
    <t>066</t>
  </si>
  <si>
    <t>0,2 - 1,2 /  0,2 - 3,4 = P. 5 sec.</t>
  </si>
  <si>
    <t>067</t>
  </si>
  <si>
    <t>0,4 - 0,6 /  0,4 - 3,6 = P. 5 sec.</t>
  </si>
  <si>
    <t>068</t>
  </si>
  <si>
    <t>0,5 - 1 /  0,5 - 3 = P. 5 sec.</t>
  </si>
  <si>
    <t>069</t>
  </si>
  <si>
    <t>0,7 - 0,5 /  0,7 - 3,1 = P. 5 sec.</t>
  </si>
  <si>
    <t>070</t>
  </si>
  <si>
    <t>1 - 1 /  1 - 2 = P. 5 sec.</t>
  </si>
  <si>
    <t>071</t>
  </si>
  <si>
    <t>0,4 - 1,4 /  0,4 - 3,3 = P. 5,5 sec.</t>
  </si>
  <si>
    <t>072</t>
  </si>
  <si>
    <t>0,3 - 1 /  0,3 - 4,4 = P. 6 sec.</t>
  </si>
  <si>
    <t>073</t>
  </si>
  <si>
    <t>0,4 - 1 /  0,4 - 4,2 = P. 6 sec.</t>
  </si>
  <si>
    <t>074</t>
  </si>
  <si>
    <t>0,5 - 1 /  0,5 - 4 = P. 6 sec.</t>
  </si>
  <si>
    <t>075</t>
  </si>
  <si>
    <t>0,8 - 1,2 /  0,8 - 3,2 = P. 6 sec.</t>
  </si>
  <si>
    <t>076</t>
  </si>
  <si>
    <t>1 - 1 /  1 - 3 = P. 6 sec.</t>
  </si>
  <si>
    <t>077</t>
  </si>
  <si>
    <t>1 - 1 /  1 - 4 = P. 7 sec.</t>
  </si>
  <si>
    <t>078</t>
  </si>
  <si>
    <t>0,4 - 1 /  0,4 - 6,2 = P. 8 sec.</t>
  </si>
  <si>
    <t>079</t>
  </si>
  <si>
    <t>0,5 - 1 /  0,5 - 6 = P. 8 sec.</t>
  </si>
  <si>
    <t>080</t>
  </si>
  <si>
    <t>1 - 1 /  1 - 5 = P. 8 sec.</t>
  </si>
  <si>
    <t>081</t>
  </si>
  <si>
    <t>0,4 - 1,6 /  0,4 - 7,6 = P. 10 sec.</t>
  </si>
  <si>
    <t>082</t>
  </si>
  <si>
    <t>0,5 - 2 /  0,5 - 7 = P. 10 sec.</t>
  </si>
  <si>
    <t>083</t>
  </si>
  <si>
    <t>0,5 - 1 /  0,5 - 8 = P. 10 sec.</t>
  </si>
  <si>
    <t>084</t>
  </si>
  <si>
    <t>0,5 - 1,5 /  0,5 - 7,5 = P. 10 sec.</t>
  </si>
  <si>
    <t>085</t>
  </si>
  <si>
    <t>0,6 - 1,5 /  0,6 - 7,3 = P. 10 sec.</t>
  </si>
  <si>
    <t>086</t>
  </si>
  <si>
    <t>0,6 - 0,6 /  1,5 - 7,3 = P. 10 sec.</t>
  </si>
  <si>
    <t>087</t>
  </si>
  <si>
    <t>0,8 - 1,2 /  0,8 - 7,2 = P. 10 sec.</t>
  </si>
  <si>
    <t>088</t>
  </si>
  <si>
    <t>1 - 1 /  1 - 7 = P. 10 sec.</t>
  </si>
  <si>
    <t>089</t>
  </si>
  <si>
    <t>1 - 1,5 /  1 - 6,5 = P. 10 sec.</t>
  </si>
  <si>
    <t>090</t>
  </si>
  <si>
    <t>1 - 2 /  1 - 6 = P. 10 sec.</t>
  </si>
  <si>
    <t>091</t>
  </si>
  <si>
    <t>0,4 - 1 /  0,4 - 10,2 = P. 12 sec.</t>
  </si>
  <si>
    <t>092</t>
  </si>
  <si>
    <t>0,5 - 1 /  0,5 - 10 = P. 12 sec.</t>
  </si>
  <si>
    <t>093</t>
  </si>
  <si>
    <t>1,5 - 2 /  1,5 - 7 = P. 12 sec.</t>
  </si>
  <si>
    <t>094</t>
  </si>
  <si>
    <t>1 - 2 /  1 - 11 = P. 15 sec.</t>
  </si>
  <si>
    <t>095</t>
  </si>
  <si>
    <t>1 - 3 /  1 - 15 = P. 20 sec.</t>
  </si>
  <si>
    <t>096</t>
  </si>
  <si>
    <t>1 - 1 /  1 - 22 = P. 25 sec.</t>
  </si>
  <si>
    <t>097</t>
  </si>
  <si>
    <t>0,5 - 1 /  0,5 - 1 /  0,5 - 2,5 = P. 6 sec.</t>
  </si>
  <si>
    <t>FL (3)</t>
  </si>
  <si>
    <t>098</t>
  </si>
  <si>
    <t>0,4 - 1 /  0,4 - 1 /  0,4 - 2,9 = P. 6,1 sec.</t>
  </si>
  <si>
    <t>099</t>
  </si>
  <si>
    <t>0,5 - 1 /  0,5 - 1 /  0,5 - 4,5 = P. 8 sec.</t>
  </si>
  <si>
    <t>0,3 - 1 /  0,3 - 1 /  0,3 - 6,10 = P. 9 sec.</t>
  </si>
  <si>
    <t>0,8 - 1,2 /  0,8 - 1,2 /  0,8 - 4,2 = P. 9 sec.</t>
  </si>
  <si>
    <t>0,5 - 1,5 /  0,5 - 1,5 /  0,5 - 5,5 = P. 10 sec.</t>
  </si>
  <si>
    <t>1 - 1 /  1 - 1 /  1 - 5 = P. 10 sec.</t>
  </si>
  <si>
    <t>0,5 - 1,5 /  0,5 - 1,5 /  0,5 - 7,5 = P. 12 sec.</t>
  </si>
  <si>
    <t>0,5 - 2 /  0,5 - 2 /  0,5 - 6,5 = P. 12 sec.</t>
  </si>
  <si>
    <t>0,8 - 1,2 /  0,8 - 1,2 /  0,8 - 7,2 = P. 12 sec.</t>
  </si>
  <si>
    <t>1 - 2 /  1 - 2 /  1 - 5 = P. 12 sec.</t>
  </si>
  <si>
    <t>0,3 - 1,7 /  0,3 - 1,7 /  0,3 - 10,7 = P. 15 sec.</t>
  </si>
  <si>
    <t>0,4 - 1 /  0,4 - 1 /  0,4 - 11,8 = P. 15 sec.</t>
  </si>
  <si>
    <t>0,5 - 1,5 /  0,5 - 1,5 /  0,5 - 10,5 = P. 15 sec.</t>
  </si>
  <si>
    <t>1 - 1 /  1 - 2 /  2 - 8 = P. 15 sec.</t>
  </si>
  <si>
    <t>0,5 - 1,5 /  0,5 - 1,5 /  0,5 - 15,5 = P. 20 sec.</t>
  </si>
  <si>
    <t>0,5 - 3 /  0,5 - 3 /  0,5 - 12,5 = P. 20 sec.</t>
  </si>
  <si>
    <t>0,8 - 1,2 /  0,8 - 1,2 /  0,8 - 15,2 = P. 20 sec.</t>
  </si>
  <si>
    <t>1 - 1 /  1 - 1 /  1 - 15 = P. 20 sec.</t>
  </si>
  <si>
    <t>(0,5 - 1)x3 + 0,5 - 5= P.  10 sec.</t>
  </si>
  <si>
    <t>FL (4)</t>
  </si>
  <si>
    <t>(0,8 - 1,2)x3 + 0,8 - 3,2= P.  10 sec.</t>
  </si>
  <si>
    <t>(0,3 - 1,7)x3 + 0,3 - 5,7= P.  12 sec.</t>
  </si>
  <si>
    <t>(0,5 - 1,5)x3 + 0,5 - 5,5= P.  12 sec.</t>
  </si>
  <si>
    <t>(0,8 - 1,2)x3 + 0,8 - 5,2= P.  12 sec.</t>
  </si>
  <si>
    <t>(0,5 - 1,5)x3 + 0,5 - 8,5= P.  15 sec.</t>
  </si>
  <si>
    <t>(1 - 1)x3 + 1 - 8= P.  15 sec.</t>
  </si>
  <si>
    <t>(0,5 - 1,5)x3 + 0,5 - 9,5= P.  16 sec.</t>
  </si>
  <si>
    <t>(1 - 2)x3 + 1 - 6= P.  16 sec.</t>
  </si>
  <si>
    <t>(0,3 - 3)x3 + 0,3 - 9,8= P.  20 sec.</t>
  </si>
  <si>
    <t>(0,5 - 1,5)x3 + 0,5 - 13,5= P.  20 sec.</t>
  </si>
  <si>
    <t>(1,5 - 1,5)x3 + 1,5 - 9,5= P.  20 sec.</t>
  </si>
  <si>
    <t>(0,8 - 1,2)x4 + 0,8 - 11,2 = P. 20 sec.</t>
  </si>
  <si>
    <t>FL (5)</t>
  </si>
  <si>
    <t>(1 - 1)x4 + 1 - 11 = P. 20 sec.</t>
  </si>
  <si>
    <t>(0,25 - 1,25)x5 + 0,25 - 4,25 = P. 12 sec.</t>
  </si>
  <si>
    <t>FL (6)</t>
  </si>
  <si>
    <t>(0,5 - 1)x5 + 0,5 - 7 = P. 15 sec.</t>
  </si>
  <si>
    <t>0,3 - 0,4 /  0,3 - 1,2 /  0,3 - 3,5 = P. 6 sec.</t>
  </si>
  <si>
    <t>FL(2+1)</t>
  </si>
  <si>
    <t>0,5 - 0,7 /  0,5 - 2,1 /  0,5 - 5,7 = P. 10 sec.</t>
  </si>
  <si>
    <t>0,8 - 1,2 /  0,8 - 2,4 /  0,8 - 6 = P. 12 sec.</t>
  </si>
  <si>
    <t>1 - 1 /  1 - 4 /  1 - 4 = P. 12 sec.</t>
  </si>
  <si>
    <t>1 - 2 /  1 - 5 /  1 - 5 = P. 15 sec.</t>
  </si>
  <si>
    <t>1 - 1 = P.  2 sec.</t>
  </si>
  <si>
    <t>ISO</t>
  </si>
  <si>
    <t>1,5 - 1,5 = P.  3 sec.</t>
  </si>
  <si>
    <t>2 - 2 = P.  4 sec.</t>
  </si>
  <si>
    <t>2,5 - 2,5 = P.  5 sec.</t>
  </si>
  <si>
    <t>3 - 3 = P.  6 sec.</t>
  </si>
  <si>
    <t>4 - 4 = P.  8 sec.</t>
  </si>
  <si>
    <t>5 - 5 = P.  10 sec.</t>
  </si>
  <si>
    <t>2 - 3 = P.  5 sec.</t>
  </si>
  <si>
    <t>LFL</t>
  </si>
  <si>
    <t>2 - 4 = P.  6 sec.</t>
  </si>
  <si>
    <t>2 - 6 = P.  8 sec.</t>
  </si>
  <si>
    <t>3 - 5 = P.  8 sec.</t>
  </si>
  <si>
    <t>2 - 8 = P.  10 sec.</t>
  </si>
  <si>
    <t>3 - 7 = P.  10 sec.</t>
  </si>
  <si>
    <t>4 - 6 = P.  10 sec.</t>
  </si>
  <si>
    <t>2 - 10 = P.  12 sec.</t>
  </si>
  <si>
    <t>4 - 11 = P.  15 sec.</t>
  </si>
  <si>
    <t>0,3 - 0,6 /  1 - 4,1 = P. 6 sec.</t>
  </si>
  <si>
    <t>MO(A)</t>
  </si>
  <si>
    <t>0,4 - 0,6 /  2 - 5 = P. 8 sec.</t>
  </si>
  <si>
    <t>0,8 - 1,2 /  2,4 - 3,6 = P. 8 sec.</t>
  </si>
  <si>
    <t>0,5 - 0,5 /  1,5 - 7,5 = P. 10 sec.</t>
  </si>
  <si>
    <t>0,5 - 1,5 /  2 - 11 = P. 15 sec.</t>
  </si>
  <si>
    <t>(1,5 - 0,5)x3 + 0,5 - 10,5= P.  15 sec.</t>
  </si>
  <si>
    <t>MO(B)</t>
  </si>
  <si>
    <t>5 - 1 /  1 - 1 /  1 - 1 = P. 10 sec.</t>
  </si>
  <si>
    <t>MO(D)</t>
  </si>
  <si>
    <t>5 - 1 /  1 - 1 = P. 8 sec.</t>
  </si>
  <si>
    <t>MO(N)</t>
  </si>
  <si>
    <t>0,2 - 0,8 /  0,2 - 0,8 /  0,6 - 7,4 = P. 10 sec.</t>
  </si>
  <si>
    <t>MO(U)</t>
  </si>
  <si>
    <t>0,3 - 0,7 /  0,3 - 0,7 /  0,9 - 7,1 = P. 10 sec.</t>
  </si>
  <si>
    <t>0,4 - 0,6 /  0,4 - 0,6 /  1,2 - 6,8 = P. 10 sec.</t>
  </si>
  <si>
    <t>0,5 - 0,5 /  0,5 - 0,5 /  1,5 - 6,5 = P. 10 sec.</t>
  </si>
  <si>
    <t>0,45 - 0,45 /  0,45 - 0,45 /  1,35 - 11,85 = P. 15 sec.</t>
  </si>
  <si>
    <t>0,55 - 0,35 /  0,55 - 0,35 /  1,45 - 11,75 = P. 15 sec.</t>
  </si>
  <si>
    <t>0,6 - 0,3 /  0,6 - 0,3 /  1,5 - 11,7 = P. 15 sec.</t>
  </si>
  <si>
    <t>0,75 - 0,15 /  0,75 - 0,15 /  1,65 - 11,55 = P. 15 sec.</t>
  </si>
  <si>
    <t>0,5 - 0,5 /  0,5 - 0,5 /  1,5 - 11,5 = P. 15 sec.</t>
  </si>
  <si>
    <t>0,6 - 0,3 /  0,6 - 0,3 /  1,4 - 11,8 = P. 15 sec.</t>
  </si>
  <si>
    <t>0,7 - 0,5 /  0,7 - 0,5 /  1,9 - 10,7 = P. 15 sec.</t>
  </si>
  <si>
    <t>0,7 - 0,7 /  0,7 - 0,7 /  2,1 - 10,1 = P. 15 sec.</t>
  </si>
  <si>
    <t>0,75 - 0,45 /  0,75 - 0,45 /  2 - 10,6 = P. 15 sec.</t>
  </si>
  <si>
    <t>1,15 - 0,75 /  1,15 - 0,75 /  3 - 8,2 = P. 15 sec.</t>
  </si>
  <si>
    <t>1,3 - 0,7 /  1,3 - 0,7 /  3,3 - 7,7 = P. 15 sec.</t>
  </si>
  <si>
    <t>0,75 - 0,5 = P.  1,25 sec.</t>
  </si>
  <si>
    <t>OC</t>
  </si>
  <si>
    <t>2 - 1 = P.  3 sec.</t>
  </si>
  <si>
    <t>2,5 - 0,5 = P.  3 sec.</t>
  </si>
  <si>
    <t>2,5 - 1 = P.  3,5 sec.</t>
  </si>
  <si>
    <t>2,5 - 1,5 = P.  4 sec.</t>
  </si>
  <si>
    <t>3 - 1 = P.  4 sec.</t>
  </si>
  <si>
    <t>3 - 2 = P.  5 sec.</t>
  </si>
  <si>
    <t>4 - 1 = P.  5 sec.</t>
  </si>
  <si>
    <t>4,5 - 0,5 = P.  5 sec.</t>
  </si>
  <si>
    <t>4 - 2 = P.  6 sec.</t>
  </si>
  <si>
    <t>4,5 - 1,5 = P.  6 sec.</t>
  </si>
  <si>
    <t>5 - 1 = P.  6 sec.</t>
  </si>
  <si>
    <t>4,5 - 2,5 = P.  7 sec.</t>
  </si>
  <si>
    <t>5 - 3 = P.  8 sec.</t>
  </si>
  <si>
    <t>6 - 3 = P.  9 sec.</t>
  </si>
  <si>
    <t>6 - 4 = P.  10 sec.</t>
  </si>
  <si>
    <t>7 - 3 = P.  10 sec.</t>
  </si>
  <si>
    <t>7,5 - 2,5 = P.  10 sec.</t>
  </si>
  <si>
    <t>10 - 5 = P.  15 sec.</t>
  </si>
  <si>
    <t>3 - 2 /  1 - 2 = P. 8 sec.</t>
  </si>
  <si>
    <t>OC(2)</t>
  </si>
  <si>
    <t>0,2 - 0,8 = P.  1 sec.</t>
  </si>
  <si>
    <t>Q</t>
  </si>
  <si>
    <t>0,3 - 0,7 = P.  1 sec.</t>
  </si>
  <si>
    <t>0,4 - 0,6 = P.  1 sec.</t>
  </si>
  <si>
    <t>0,5 - 0,5 = P.  1 sec.</t>
  </si>
  <si>
    <t>0,8 - 0,2 = P.  1 sec.</t>
  </si>
  <si>
    <t>0,3 - 0,9 = P.  1,2 sec.</t>
  </si>
  <si>
    <t>0,5 - 0,7 = P.  1,2 sec.</t>
  </si>
  <si>
    <t>0,6 - 0,6 = P.  1,2 sec.</t>
  </si>
  <si>
    <t>0,3 - 0,7 /  0,3 - 3,7 = P. 5 sec.</t>
  </si>
  <si>
    <t>Q(2)</t>
  </si>
  <si>
    <t>0,5 - 0,5 /  0,5 - 3,5 = P. 5 sec.</t>
  </si>
  <si>
    <t>0,3 - 0,7 /  0,3 - 4,7 = P. 6 sec.</t>
  </si>
  <si>
    <t>0,35 - 0,7 /  0,35 - 4,6 = P. 6 sec.</t>
  </si>
  <si>
    <t>0,6 - 0,4 /  0,6 - 8,4 = P. 10 sec.</t>
  </si>
  <si>
    <t>0,2 - 0,8 /  0,2 - 13,8 = P. 15 sec.</t>
  </si>
  <si>
    <t>0,5 - 0,5 /  0,5 - 0,5 /  0,5 - 2,5 = P. 5 sec.</t>
  </si>
  <si>
    <t>Q(3)</t>
  </si>
  <si>
    <t>0,3 - 0,7 /  0,3 - 0,7 /  0,3 - 3,7 = P. 6 sec.</t>
  </si>
  <si>
    <t>0,3 - 0,7 /  0,3 - 0,7 /  0,3 - 7,7 = P. 10 sec.</t>
  </si>
  <si>
    <t>0,35 - 0,65 /  0,35 - 0,65 /  0,35 - 7,65 = P. 10 sec.</t>
  </si>
  <si>
    <t>0,5 - 0,5 /  0,5 - 0,5 /  0,5 - 7,5 = P. 10 sec.</t>
  </si>
  <si>
    <t>0,6 - 0,6 /  0,6 - 0,6 /  0,6 - 7 = P. 10 sec.</t>
  </si>
  <si>
    <t>(0,3 - 0,7)x3 + 0,3 - 2,7= P.  6 sec.</t>
  </si>
  <si>
    <t>Q(4)</t>
  </si>
  <si>
    <t>(0,4 - 0,6)x3 + 0,4 - 2,6= P.  6 sec.</t>
  </si>
  <si>
    <t>(0,3 - 0,7)x3 + 0,3 - 6,7= P.  10 sec.</t>
  </si>
  <si>
    <t>(0,3 - 0,7)x3 + 0,3 - 8,7= P.  12 sec.</t>
  </si>
  <si>
    <t>(0,35 - 0,7)x3 + 0,35 - 11,5= P.  15 sec.</t>
  </si>
  <si>
    <t>(0,5 - 0,5)x3 + 0,5 - 16,5= P.  20 sec.</t>
  </si>
  <si>
    <t>(0,3 - 0,7)x4 + 0,3 - 2,7 = P. 7 sec.</t>
  </si>
  <si>
    <t>Q(5)</t>
  </si>
  <si>
    <t>(0,3 - 0,7)x4 + 0,3 - 5,7 = P. 10 sec.</t>
  </si>
  <si>
    <t>(0,3 - 0,7)x5 + 0,3 - 4,7 = P. 10 sec.</t>
  </si>
  <si>
    <t>Q(6)</t>
  </si>
  <si>
    <t>(0,2 - 0,8)x8 + 0,2 - 6,8 = P. 15 sec.</t>
  </si>
  <si>
    <t>Q(9)</t>
  </si>
  <si>
    <t>(0,3 - 0,7)x8 + 0,3 - 6,7 = P. 15 sec.</t>
  </si>
  <si>
    <t>(0,35 - 0,65)x8 + 0,35 - 6,65 = P. 15 sec.</t>
  </si>
  <si>
    <t>(0,6 - 0,6)x8 + 0,6 - 4,8 = P. 15 sec.</t>
  </si>
  <si>
    <t>(0,2 - 0,8)x6 + 2 - 7 = P. 15 sec.</t>
  </si>
  <si>
    <t>Q(6)+LFL</t>
  </si>
  <si>
    <t>(0,3 - 0,7)x6 + 2 - 7 = P. 15 sec.</t>
  </si>
  <si>
    <t>(0,35 - 0,65)x6 + 1,05 - 7,95 = P. 15 sec.</t>
  </si>
  <si>
    <t>(0,6 - 0,6)x6 + 2 - 5,8 = P. 15 sec.</t>
  </si>
  <si>
    <t>0,15 - 0,35 = P.  0,5 sec.</t>
  </si>
  <si>
    <t>VQ</t>
  </si>
  <si>
    <t>0,2 - 0,3 = P.  0,5 sec.</t>
  </si>
  <si>
    <t>0,2 - 0,4 = P.  0,6 sec.</t>
  </si>
  <si>
    <t>0,3 - 0,3 = P.  0,6 sec.</t>
  </si>
  <si>
    <t>0,2 - 1 /  0,2 - 2,6 = P. 4 sec.</t>
  </si>
  <si>
    <t>VQ(2)</t>
  </si>
  <si>
    <t>0,2 - 1 /  0,2 - 6,6 = P. 8 sec.</t>
  </si>
  <si>
    <t>0,15 - 0,35 /  0,15 - 0,35 /  0,15 - 3,85 = P. 5 sec.</t>
  </si>
  <si>
    <t>VQ(3)</t>
  </si>
  <si>
    <t>0,2 - 0,3 /  0,2 - 0,3 /  0,2 - 3,8 = P. 5 sec.</t>
  </si>
  <si>
    <t>0,3 - 0,2 /  0,3 - 0,2 /  0,3 - 3,7 = P. 5 sec.</t>
  </si>
  <si>
    <t>0,3 - 0,3 /  0,3 - 0,3 /  0,3 - 3,5 = P. 5 sec.</t>
  </si>
  <si>
    <t>0,1 - 0,5 /  0,1 - 0,5 /  0,1 - 13,7 = P. 15 sec.</t>
  </si>
  <si>
    <t>(0,15 - 0,35)x8 + 0,15 - 5,85 = P. 10 sec.</t>
  </si>
  <si>
    <t>VQ(9)</t>
  </si>
  <si>
    <t>(0,2 - 0,3)x8 + 0,2 - 5,8 = P. 10 sec.</t>
  </si>
  <si>
    <t>(0,3 - 0,3)x8 + 0,3 - 4,9 = P. 10 sec.</t>
  </si>
  <si>
    <t>(0,15 - 0,35)x6 + 2 - 5 = P. 10 sec.</t>
  </si>
  <si>
    <t>VQ(6)+LF</t>
  </si>
  <si>
    <t>(0,2 - 0,3)x6 + 2 - 5 = P. 10 sec.</t>
  </si>
  <si>
    <t>(0,3 - 0,3)x6 + 2 - 4,4 = P. 10 sec.</t>
  </si>
  <si>
    <t>(0,3 - 0,3)x6 + 2 - 9,4 = P. 15 sec.</t>
  </si>
  <si>
    <t>252</t>
  </si>
  <si>
    <t>0,4 - 0,8 = P.  1,2 sec.</t>
  </si>
  <si>
    <t>253</t>
  </si>
  <si>
    <t>(0,5 - 0,5)x8 + 0,5 - 5.5 = P. 14 sec.</t>
  </si>
  <si>
    <t>pollica</t>
  </si>
  <si>
    <t>254</t>
  </si>
  <si>
    <t>0,3 - 1,7 /  0,3 - 1,7 /  0,3 - 4,7 = P. 9 sec.</t>
  </si>
  <si>
    <t>cattolica</t>
  </si>
  <si>
    <t>255</t>
  </si>
  <si>
    <t>0,4 - 0,5 /  0,4 - 0,5 /  1,2 - 12 = P. 15 sec.</t>
  </si>
  <si>
    <t>sice</t>
  </si>
  <si>
    <t>MO(U)sice</t>
  </si>
  <si>
    <t>1,5 - 1,5 / 1,5 - 1,5 / 0,5 - 8,5 = P. 15 sec.</t>
  </si>
  <si>
    <t>256</t>
  </si>
  <si>
    <t>MO( G)</t>
  </si>
  <si>
    <t>0,5 - 1,5  /  0,5 - 1,5  /  1,5 - 1,5  /  0,5 - 7,5</t>
  </si>
  <si>
    <t>257</t>
  </si>
  <si>
    <t>MO( F)</t>
  </si>
  <si>
    <t>0,5 - 1,5  /  0,5 - 1,5  /  0,5 - 4,5</t>
  </si>
  <si>
    <t>258</t>
  </si>
  <si>
    <t>ecotec</t>
  </si>
  <si>
    <t>GOOGLE MAPS</t>
  </si>
  <si>
    <t>https://www.google.com/maps/@43.9222437,12.9074792,14.84z?authuser=0&amp;entry=ttu&amp;g_ep=EgoyMDI1MDYwNC4wIKXMDSoASAFQAw%3D%3D</t>
  </si>
  <si>
    <t xml:space="preserve">Stato </t>
  </si>
  <si>
    <t>Usare la virgola come separatore</t>
  </si>
  <si>
    <t xml:space="preserve">Andare sul sito   </t>
  </si>
  <si>
    <t>https://re.jrc.ec.europa.eu/pvg_tools/it/tools.html#PVP</t>
  </si>
  <si>
    <t>scaricare in PDF i dati della radiazione della località, poi convertili in</t>
  </si>
  <si>
    <t xml:space="preserve">excel con </t>
  </si>
  <si>
    <t>https://www.ilovepdf.com/pdf_to_excel</t>
  </si>
  <si>
    <t>e copiarli (copia -incolla valori)</t>
  </si>
  <si>
    <t>orizzontale 0°</t>
  </si>
  <si>
    <t>inclinato 60°</t>
  </si>
  <si>
    <t>ORE DI BUIO  
IN  DECIMI  DI  ORE</t>
  </si>
  <si>
    <t xml:space="preserve">(solo valori numerici) secondo inclinazione e orientamento nelle rispettive </t>
  </si>
  <si>
    <t>orizzontale</t>
  </si>
  <si>
    <t>Sud</t>
  </si>
  <si>
    <t xml:space="preserve">tabelle.                </t>
  </si>
  <si>
    <t>Mese</t>
  </si>
  <si>
    <t>E_m</t>
  </si>
  <si>
    <t>H(i)_m</t>
  </si>
  <si>
    <t>SD_m</t>
  </si>
  <si>
    <t xml:space="preserve">   le ORE DI BUIO VERRANNO INSERITE IN AUTOMATICO </t>
  </si>
  <si>
    <t>Inserire correttamente  Latitudine e longitudine 
( usare il formato GRADI DECIMALI es 42,1245    12,4524 
 ricordare  + NORD   -SUD)  
ORE DI BUIO IN AUTOMATICO ( secondo le formule di Jean Meeus )
 Compilare  Stato, Località, https://earth.google.com/web/data=MkEKPwo9CiExbnEwZVdXZUwzbDNXVjRRYWFBNUhpenlwNUZWWE9KdmsSFgoUMEM1MDU3QjMyOTM4M0YxM0I3RkIgAUICCABKBwiy0s9OEAE</t>
  </si>
  <si>
    <t>https://earth.google.com/earth/d/1nq0eWWeL3l3WV4QaaA5Hizyp5FVXOJvk?usp=sharing</t>
  </si>
  <si>
    <t>inser. Località</t>
  </si>
  <si>
    <t>https://www.google.com/maps/d/edit?mid=1qX2cerYG8vgDLJlrq2q5nP9CJ6mGKsQ&amp;ll=35.53430848828954%2C14.336122517646665&amp;z=3</t>
  </si>
  <si>
    <t>ore di buio</t>
  </si>
  <si>
    <t>https://alba-tramonto.org/ricerca?location=pesaro</t>
  </si>
  <si>
    <t>per fanali autoalimentati con 4 pannelli ai lati</t>
  </si>
  <si>
    <t>inclinato  90°</t>
  </si>
  <si>
    <t>ok ok</t>
  </si>
  <si>
    <t>https://earth.google.com/web/@41.50529084,13.97437549,583.41226362a,2254730.72629362d,35y,0h,0t,0r/data=CgRCAggBMigKJgokCiAxcVgyY2VyWUc4dmdETEpscnEycTVuUDlDSjZtR0tzUSACOgMKATBCAggASggIuZTT_gYQAQ</t>
  </si>
  <si>
    <t>or 0=Sud</t>
  </si>
  <si>
    <t>or 90=Est/owest</t>
  </si>
  <si>
    <t>or 180=Nord</t>
  </si>
  <si>
    <t>https://earth.google.com/web/@672165.35626889d,30.00000015y,0h,0t,0r/data=CgRCAggBMigKJgokCiAxcVgyY2VyWUc4dmdETEpscnEycTVuUDlDSjZtR0tzUSACOgMKATBCAggASggIx4aEgwEQAQ</t>
  </si>
  <si>
    <t xml:space="preserve"> I dati dell' irraggiamento  solare sono presi da</t>
  </si>
  <si>
    <t>data</t>
  </si>
  <si>
    <t>https://www.google.com/maps/@39.1394535,11.80585,6.03z/data=!4m2!6m1!1s1qX2cerYG8vgDLJlrq2q5nP9CJ6mGKsQ?authuser=0&amp;entry=ttu&amp;g_ep=EgoyMDI1MTAyMC4wIKXMDSoASAFQAw%3D%3D</t>
  </si>
  <si>
    <t>https://earth.google.com/web/data=MkUKQwpBCiAxcVgyY2VyWUc4dmdETEpscnEycTVuUDlDSjZtR0tzURIbChk1YzRmYzdhNl81NTNEMzAyREJBRDk5Qjg5IAJCAggASggIx-zQxQYQAQ</t>
  </si>
  <si>
    <t>https://www.google.com/maps/d/edit?mid=1qX2cerYG8vgDLJlrq2q5nP9CJ6mGKsQ&amp;usp=sharing</t>
  </si>
  <si>
    <t>https://earth.google.com/web/@41.25128305,13.26726358,-38.19957095a,1734242.23933959d,30.00000092y,0h,0t,0r/data=CgRCAggCMigKJgokCiAxcVgyY2VyWUc4dmdETEpscnEycTVuUDlDSjZtR0tzUSACOgMKATBCAggASggIo5ef2AEQAQ</t>
  </si>
  <si>
    <t>https://earth.google.com/web/@41.93228406,11.20328221,97.60401069a,668819.36953828d,30.00000092y,0h,0t,0r/data=CgRCAggBMigKJgokCiAxcVgyY2VyWUc4dmdETEpscnEycTVuUDlDSjZtR0tzUSACOgMKATBCAggASggIxYO8mAMQAQ?authuser=0</t>
  </si>
  <si>
    <t>Stato</t>
  </si>
  <si>
    <t>Latitudine (DMS)</t>
  </si>
  <si>
    <t>Longitudine (DMS)</t>
  </si>
  <si>
    <t>Italia_Sorrento</t>
  </si>
  <si>
    <t>40° 37' 40'' N</t>
  </si>
  <si>
    <t>14° 22' 40'' E</t>
  </si>
  <si>
    <t>seminuovo, ma va bene</t>
  </si>
  <si>
    <t>nuovo ultimo  ok</t>
  </si>
  <si>
    <t>https://www.google.com/search?q=radiazione+solare+liu+jordan&amp;sourceid=chrome&amp;ie=UTF-8&amp;aep=48&amp;cud=0&amp;qsubts=1772355822048&amp;source=chrome.crn.obic&amp;mstk=AUtExfDhnXnztuexv3urkn4rFOe4JLD2HzH0ssJWpp7BhtLij4-PPzdumLehu_NYrVi0e_vLrPrDvPfSxmdAOKkOgge8tEGoIgX4rnHhEsAL52ucRahFi1Z9USDIy7PP_IkJXaCYEfW0AgABaFF7DZBB0UYnYFcgHohawtvuFnBQp4hhbNrF4H5EwbwSkUuRRscPm19qKGd_lK_pK2SqheNJt8u9gE8PKSQ9ycHZAKirDQIQDMk3s0MzRxMIJfwLkR2Cz05T7hFAMvEOqg&amp;csuir=1&amp;mtid=-wCkadn7CNu8i-gPvKfa8A0&amp;lns_mode=cvst&amp;udm=50</t>
  </si>
  <si>
    <t>https://www.google.com/search?q=radiazione+solare+liu+jordan&amp;sourceid=chrome&amp;ie=UTF-8&amp;aep=48&amp;cud=0&amp;qsubts=1772355822048&amp;source=chrome.crn.obic&amp;mstk=AUtExfC8uruuWgBMLo61gdczlFaIyo-g8808VtalP4H0NvKGDY6E5uxW9juoJHMP71DUuEhOloOekri5amgk6ZORIYHSvxpZganQoNUtTarFBJrkbhGVwVkXuOUQrDXi2i8r0UVGrDiyiAn-PlLVL_oEqCLCogOqMugAahVP9K29pa5RXu3G2GkCBY9F7En-JSydVSUVIc8zwSZ5-XJgyugNqKuQNR47FU3H2iXVCWe1tldX12Xiw2qRKRaRMwaesW7tPYyKsgRjpt_Enw&amp;csuir=1&amp;mtid=-wCkadn7CNu8i-gPvKfa8A0&amp;lns_mode=cvst&amp;udm=50</t>
  </si>
  <si>
    <t>Italia_Monopoli</t>
  </si>
  <si>
    <t>40° 57' 00'' N</t>
  </si>
  <si>
    <t>17° 22' 00'' E</t>
  </si>
  <si>
    <t>Italia_Agropoli</t>
  </si>
  <si>
    <t>40° 21' 00'' N</t>
  </si>
  <si>
    <t>14° 59' 00'' E</t>
  </si>
  <si>
    <t>Italia_Alghero</t>
  </si>
  <si>
    <t>40° 33' 00'' N</t>
  </si>
  <si>
    <t>08° 19' 00'' E</t>
  </si>
  <si>
    <t>Italia_Amantea</t>
  </si>
  <si>
    <t>39° 08' 00'' N</t>
  </si>
  <si>
    <t>16° 04' 00'' E</t>
  </si>
  <si>
    <t>43° 37' 00'' N</t>
  </si>
  <si>
    <t>13° 31' 00'' E</t>
  </si>
  <si>
    <t>Italia_Anzio</t>
  </si>
  <si>
    <t>41° 27' 00'' N</t>
  </si>
  <si>
    <t>12° 40' 00'' E</t>
  </si>
  <si>
    <t>Italia_Arbatax</t>
  </si>
  <si>
    <t>39° 56' 00'' N</t>
  </si>
  <si>
    <t>09° 42' 00'' E</t>
  </si>
  <si>
    <t>Italia_Bari</t>
  </si>
  <si>
    <t>41° 07' 00'' N</t>
  </si>
  <si>
    <t>16° 52' 00'' E</t>
  </si>
  <si>
    <t>Italia_Brindisi</t>
  </si>
  <si>
    <t>40° 38' 00'' N</t>
  </si>
  <si>
    <t>17° 56' 00'' E</t>
  </si>
  <si>
    <t>Italia_Cagliari</t>
  </si>
  <si>
    <t>39° 13' 00'' N</t>
  </si>
  <si>
    <t>09° 07' 00'' E</t>
  </si>
  <si>
    <t>Italia_Camerota</t>
  </si>
  <si>
    <t>40° 00' 00'' N</t>
  </si>
  <si>
    <t>15° 22' 00'' E</t>
  </si>
  <si>
    <t>Italia_Campomarino</t>
  </si>
  <si>
    <t>41° 57' 00'' N</t>
  </si>
  <si>
    <t>15° 02' 00'' E</t>
  </si>
  <si>
    <t>Italia_Caorle</t>
  </si>
  <si>
    <t>45° 36' 00'' N</t>
  </si>
  <si>
    <t>12° 53' 00'' E</t>
  </si>
  <si>
    <t>Italia_Capo d'Orlando</t>
  </si>
  <si>
    <t>38° 09' 00'' N</t>
  </si>
  <si>
    <t>14° 44' 00'' E</t>
  </si>
  <si>
    <t>Italia_Capo Rizzuto</t>
  </si>
  <si>
    <t>38° 54' 00'' N</t>
  </si>
  <si>
    <t>17° 06' 00'' E</t>
  </si>
  <si>
    <t>Italia_Capri</t>
  </si>
  <si>
    <t>14° 14' 00'' E</t>
  </si>
  <si>
    <t>Italia_Castiglione della Pescaia</t>
  </si>
  <si>
    <t>42° 45' 00'' N</t>
  </si>
  <si>
    <t>10° 53' 00'' E</t>
  </si>
  <si>
    <t>Italia_Castellaneta Marina</t>
  </si>
  <si>
    <t>40° 28' 00'' N</t>
  </si>
  <si>
    <t>16° 56' 00'' E</t>
  </si>
  <si>
    <t>Italia_Catania</t>
  </si>
  <si>
    <t>37° 30' 00'' N</t>
  </si>
  <si>
    <t>15° 05' 00'' E</t>
  </si>
  <si>
    <t>Italia_Cefalù</t>
  </si>
  <si>
    <t>38° 02' 00'' N</t>
  </si>
  <si>
    <t>14° 01' 00'' E</t>
  </si>
  <si>
    <t>Italia_Cervia</t>
  </si>
  <si>
    <t>44° 15' 00'' N</t>
  </si>
  <si>
    <t>12° 21' 00'' E</t>
  </si>
  <si>
    <t>Italia_Cetraro</t>
  </si>
  <si>
    <t>39° 31' 00'' N</t>
  </si>
  <si>
    <t>15° 56' 00'' E</t>
  </si>
  <si>
    <t>Italia_Chiavari</t>
  </si>
  <si>
    <t>44° 18' 00'' N</t>
  </si>
  <si>
    <t>09° 19' 00'' E</t>
  </si>
  <si>
    <t>Italia_Chioggia</t>
  </si>
  <si>
    <t>45° 13' 00'' N</t>
  </si>
  <si>
    <t>12° 17' 00'' E</t>
  </si>
  <si>
    <t>Italia_Cirò Marina</t>
  </si>
  <si>
    <t>39° 22' 00'' N</t>
  </si>
  <si>
    <t>17° 07' 00'' E</t>
  </si>
  <si>
    <t>Italia_Civitanova Marche</t>
  </si>
  <si>
    <t>43° 18' 00'' N</t>
  </si>
  <si>
    <t>13° 43' 00'' E</t>
  </si>
  <si>
    <t>Italia_Civitavecchia</t>
  </si>
  <si>
    <t>42° 05' 00'' N</t>
  </si>
  <si>
    <t>11° 47' 00'' E</t>
  </si>
  <si>
    <t>Italia_Crotone</t>
  </si>
  <si>
    <t>39° 05' 00'' N</t>
  </si>
  <si>
    <t>Italia_Fiumicino</t>
  </si>
  <si>
    <t>41° 46' 00'' N</t>
  </si>
  <si>
    <t>12° 13' 00'' E</t>
  </si>
  <si>
    <t>Italia_Gaeta</t>
  </si>
  <si>
    <t>41° 12' 00'' N</t>
  </si>
  <si>
    <t>13° 34' 00'' E</t>
  </si>
  <si>
    <t>Italia_Gallipoli</t>
  </si>
  <si>
    <t>40° 03' 00'' N</t>
  </si>
  <si>
    <t>17° 59' 00'' E</t>
  </si>
  <si>
    <t>Italia_Genova</t>
  </si>
  <si>
    <t>44° 24' 00'' N</t>
  </si>
  <si>
    <t>08° 55' 00'' E</t>
  </si>
  <si>
    <t>Italia_Gioia Tauro</t>
  </si>
  <si>
    <t>38° 25' 00'' N</t>
  </si>
  <si>
    <t>15° 53' 00'' E</t>
  </si>
  <si>
    <t>Italia_Goro</t>
  </si>
  <si>
    <t>44° 51' 00'' N</t>
  </si>
  <si>
    <t>Italia_Grado</t>
  </si>
  <si>
    <t>45° 40' 00'' N</t>
  </si>
  <si>
    <t>13° 23' 00'' E</t>
  </si>
  <si>
    <t>Italia_Iesolo</t>
  </si>
  <si>
    <t>45° 30' 00'' N</t>
  </si>
  <si>
    <t>12° 38' 00'' E</t>
  </si>
  <si>
    <t>Italia_Imperia</t>
  </si>
  <si>
    <t>43° 53' 00'' N</t>
  </si>
  <si>
    <t>08° 02' 00'' E</t>
  </si>
  <si>
    <t>Italia_Isola del Giglio</t>
  </si>
  <si>
    <t>42° 21' 00'' N</t>
  </si>
  <si>
    <t>10° 54' 00'' E</t>
  </si>
  <si>
    <t>Italia_Isola di Ponza</t>
  </si>
  <si>
    <t>40° 54' 00'' N</t>
  </si>
  <si>
    <t>12° 57' 00'' E</t>
  </si>
  <si>
    <t>Italia_Isola di Ventotene</t>
  </si>
  <si>
    <t>40° 48' 00'' N</t>
  </si>
  <si>
    <t>13° 26' 00'' E</t>
  </si>
  <si>
    <t>Italia_Isola d'Ischia</t>
  </si>
  <si>
    <t>40° 44' 00'' N</t>
  </si>
  <si>
    <t>13° 56' 00'' E</t>
  </si>
  <si>
    <t>Italia_Isole Tremiti</t>
  </si>
  <si>
    <t>42° 07' 00'' N</t>
  </si>
  <si>
    <t>15° 30' 00'' E</t>
  </si>
  <si>
    <t>Italia_La Maddalena</t>
  </si>
  <si>
    <t>41° 13' 00'' N</t>
  </si>
  <si>
    <t>09° 24' 00'' E</t>
  </si>
  <si>
    <t>Italia_La Spezia</t>
  </si>
  <si>
    <t>44° 06' 00'' N</t>
  </si>
  <si>
    <t>09° 49' 00'' E</t>
  </si>
  <si>
    <t>Italia_Laghi di Sibari</t>
  </si>
  <si>
    <t>39° 43' 00'' N</t>
  </si>
  <si>
    <t>16° 30' 00'' E</t>
  </si>
  <si>
    <t>Italia_Licata</t>
  </si>
  <si>
    <t>37° 06' 00'' N</t>
  </si>
  <si>
    <t>Italia_Lignano Sabbiadoro</t>
  </si>
  <si>
    <t>45° 41' 00'' N</t>
  </si>
  <si>
    <t>13° 07' 00'' E</t>
  </si>
  <si>
    <t>Italia_Livorno</t>
  </si>
  <si>
    <t>43° 33' 00'' N</t>
  </si>
  <si>
    <t>10° 18' 00'' E</t>
  </si>
  <si>
    <t>Italia_Manfredonia</t>
  </si>
  <si>
    <t>41° 38' 00'' N</t>
  </si>
  <si>
    <t>15° 55' 00'' E</t>
  </si>
  <si>
    <t>Italia_Maratea</t>
  </si>
  <si>
    <t>15° 43' 00'' E</t>
  </si>
  <si>
    <t>Italia_Marina di Ragusa</t>
  </si>
  <si>
    <t>36° 47' 00'' N</t>
  </si>
  <si>
    <t>14° 33' 00'' E</t>
  </si>
  <si>
    <t>Italia_Marsala</t>
  </si>
  <si>
    <t>37° 48' 00'' N</t>
  </si>
  <si>
    <t>12° 26' 00'' E</t>
  </si>
  <si>
    <t>Italia_Massa di Carrara</t>
  </si>
  <si>
    <t>44° 02' 00'' N</t>
  </si>
  <si>
    <t>10° 08' 00'' E</t>
  </si>
  <si>
    <t>Italia_Messina</t>
  </si>
  <si>
    <t>38° 11' 00'' N</t>
  </si>
  <si>
    <t>15° 33' 00'' E</t>
  </si>
  <si>
    <t>Italia_Milazzo</t>
  </si>
  <si>
    <t>38° 13' 00'' N</t>
  </si>
  <si>
    <t>15° 14' 00'' E</t>
  </si>
  <si>
    <t>Italia_Monfalcone</t>
  </si>
  <si>
    <t>45° 48' 00'' N</t>
  </si>
  <si>
    <t>13° 32' 00'' E</t>
  </si>
  <si>
    <t xml:space="preserve"> religious</t>
  </si>
  <si>
    <t>Italia_Napoli</t>
  </si>
  <si>
    <t>40° 50' 00'' N</t>
  </si>
  <si>
    <t>14° 15' 00'' E</t>
  </si>
  <si>
    <t>Italia_Olbia</t>
  </si>
  <si>
    <t>40° 55' 00'' N</t>
  </si>
  <si>
    <t>09° 30' 00'' E</t>
  </si>
  <si>
    <t>Italia_Oristano</t>
  </si>
  <si>
    <t>39° 54' 00'' N</t>
  </si>
  <si>
    <t>08° 35' 00'' E</t>
  </si>
  <si>
    <t>Italia_Otranto</t>
  </si>
  <si>
    <t>40° 08' 00'' N</t>
  </si>
  <si>
    <t>18° 29' 00'' E</t>
  </si>
  <si>
    <t>Italia_Palermo</t>
  </si>
  <si>
    <t>38° 07' 00'' N</t>
  </si>
  <si>
    <t>13° 22' 00'' E</t>
  </si>
  <si>
    <t>Italia_Pesaro</t>
  </si>
  <si>
    <t>43° 55' 00'' N</t>
  </si>
  <si>
    <t>12° 54' 00'' E</t>
  </si>
  <si>
    <t>Italia_Pescara</t>
  </si>
  <si>
    <t>42° 28' 00'' N</t>
  </si>
  <si>
    <t>14° 12' 00'' E</t>
  </si>
  <si>
    <t>Italia_Piombino</t>
  </si>
  <si>
    <t>42° 55' 00'' N</t>
  </si>
  <si>
    <t>10° 31' 00'' E</t>
  </si>
  <si>
    <t>Italia_Porto S. Stefano</t>
  </si>
  <si>
    <t>42° 26' 00'' N</t>
  </si>
  <si>
    <t>11° 07' 00'' E</t>
  </si>
  <si>
    <t>Italia_Portoempedocle</t>
  </si>
  <si>
    <t>37° 17' 00'' N</t>
  </si>
  <si>
    <t>Italia_Pozzallo</t>
  </si>
  <si>
    <t>36° 43' 00'' N</t>
  </si>
  <si>
    <t>14° 51' 00'' E</t>
  </si>
  <si>
    <t>Italia_Ravenna</t>
  </si>
  <si>
    <t>44° 25' 00'' N</t>
  </si>
  <si>
    <t>12° 12' 00'' E</t>
  </si>
  <si>
    <t>Italia_Rimini</t>
  </si>
  <si>
    <t>44° 03' 00'' N</t>
  </si>
  <si>
    <t>12° 34' 00'' E</t>
  </si>
  <si>
    <t>Italia_Roccella Jonica</t>
  </si>
  <si>
    <t>38° 19' 00'' N</t>
  </si>
  <si>
    <t>16° 24' 00'' E</t>
  </si>
  <si>
    <t>Italia_Rosignano Solvay</t>
  </si>
  <si>
    <t>43° 23' 00'' N</t>
  </si>
  <si>
    <t>10° 26' 00'' E</t>
  </si>
  <si>
    <t>Italia_Salerno</t>
  </si>
  <si>
    <t>40° 40' 00'' N</t>
  </si>
  <si>
    <t>14° 45' 00'' E</t>
  </si>
  <si>
    <t>Italia_San Bartolomeo al mare</t>
  </si>
  <si>
    <t>08° 06' 00'' E</t>
  </si>
  <si>
    <t>Italia_San Benedetto del Tronto</t>
  </si>
  <si>
    <t>42° 57' 00'' N</t>
  </si>
  <si>
    <t>13° 53' 00'' E</t>
  </si>
  <si>
    <t>Italia_Santa Teresa di Gallura</t>
  </si>
  <si>
    <t>41° 14' 00'' N</t>
  </si>
  <si>
    <t>09° 11' 00'' E</t>
  </si>
  <si>
    <t>Italia_Savona</t>
  </si>
  <si>
    <t>08° 29' 00'' E</t>
  </si>
  <si>
    <t>Italia_Scalea</t>
  </si>
  <si>
    <t>39° 49' 00'' N</t>
  </si>
  <si>
    <t>15° 47' 00'' E</t>
  </si>
  <si>
    <t>Italia_Sciacca</t>
  </si>
  <si>
    <t>13° 05' 00'' E</t>
  </si>
  <si>
    <t>Italia_Senigallia</t>
  </si>
  <si>
    <t>43° 43' 00'' N</t>
  </si>
  <si>
    <t>13° 13' 00'' E</t>
  </si>
  <si>
    <t>Italia_Siniscola</t>
  </si>
  <si>
    <t>40° 34' 00'' N</t>
  </si>
  <si>
    <t>09° 41' 00'' E</t>
  </si>
  <si>
    <t>Italia_Siracusa</t>
  </si>
  <si>
    <t>37° 04' 00'' N</t>
  </si>
  <si>
    <t>15° 17' 00'' E</t>
  </si>
  <si>
    <t>Indonesia_Batam</t>
  </si>
  <si>
    <t>1° 04' 00'' N</t>
  </si>
  <si>
    <t>104° 01' 00'' E</t>
  </si>
  <si>
    <t>Maldive_Male</t>
  </si>
  <si>
    <t>4° 10' 00'' N</t>
  </si>
  <si>
    <t>73° 30' 00'' E</t>
  </si>
  <si>
    <t>Arabia Saudita_Jeddah</t>
  </si>
  <si>
    <t>21° 30' 00'' N</t>
  </si>
  <si>
    <t>39° 10' 00'' E</t>
  </si>
  <si>
    <t>Emirati Arabi Uniti_Dubai</t>
  </si>
  <si>
    <t>25° 08' 00'' N</t>
  </si>
  <si>
    <t>55° 08' 00'' E</t>
  </si>
  <si>
    <t>Egitto_Port Said</t>
  </si>
  <si>
    <t>31° 15' 00'' N</t>
  </si>
  <si>
    <t>32° 18' 00'' E</t>
  </si>
  <si>
    <t>Egitto_Canale di Suez</t>
  </si>
  <si>
    <t>29° 55' 00'' N</t>
  </si>
  <si>
    <t>32° 33' 00'' E</t>
  </si>
  <si>
    <t>Emirati Arabi Uniti_Abu Dhabi</t>
  </si>
  <si>
    <t>24° 31' 00'' N</t>
  </si>
  <si>
    <t>54° 23' 00'' E</t>
  </si>
  <si>
    <t>Kuwait_Kuwait City</t>
  </si>
  <si>
    <t>29° 22' 00'' N</t>
  </si>
  <si>
    <t>47° 58' 00'' E</t>
  </si>
  <si>
    <t>Marocco_Asagiburnaz</t>
  </si>
  <si>
    <t>35° 15' 00'' N</t>
  </si>
  <si>
    <t>03° 55' 00'' W</t>
  </si>
  <si>
    <t>Nigeria_Lagos</t>
  </si>
  <si>
    <t>6° 26' 00'' N</t>
  </si>
  <si>
    <t>03° 23' 00'' E</t>
  </si>
  <si>
    <t>Sri Lanka_Colombo</t>
  </si>
  <si>
    <t>6° 55' 00'' N</t>
  </si>
  <si>
    <t>79° 51' 00'' E</t>
  </si>
  <si>
    <t>Tunisia_Tunisi</t>
  </si>
  <si>
    <t>36° 48' 00'' N</t>
  </si>
  <si>
    <t>10° 11' 00'' E</t>
  </si>
  <si>
    <t>Uruguay_Montevideo</t>
  </si>
  <si>
    <t>34° 53' 00'' S</t>
  </si>
  <si>
    <t>56° 10' 00'' W</t>
  </si>
  <si>
    <t>"</t>
  </si>
  <si>
    <t>verticale sui 4 pannelli</t>
  </si>
  <si>
    <t xml:space="preserve"> C L  2 0 1        O  R  I  Z  Z  O  N  T  A  L  E</t>
  </si>
  <si>
    <t xml:space="preserve"> S U D    I N C L I N A T O    6 0 °</t>
  </si>
  <si>
    <t xml:space="preserve">O R E    D I    B U I O      M e d i a     m e n s i l e    ( i decimali sono in sessagesimali  di ora)
da inserire copiando dal sito per il 15 di ogni mese) </t>
  </si>
  <si>
    <t>O R E    D I    B U I O      M e d i a     m e n s i l e   ( 15 DI OGNI MESE)
  ( i decimali sono in DECIMALI  di ora)
 per poter essere usati dal programma</t>
  </si>
  <si>
    <t>R A D I Z I A O N E    S O L A R E    T O T A L E    M E N S I L E            ( K W h  m2)</t>
  </si>
  <si>
    <t>TOTALE ANNUA</t>
  </si>
  <si>
    <t>LOCALITA'</t>
  </si>
  <si>
    <t>gen</t>
  </si>
  <si>
    <t>feb</t>
  </si>
  <si>
    <t>mar</t>
  </si>
  <si>
    <t>apr</t>
  </si>
  <si>
    <t>mag</t>
  </si>
  <si>
    <t>giu</t>
  </si>
  <si>
    <t>lug</t>
  </si>
  <si>
    <t>ago</t>
  </si>
  <si>
    <t>sett</t>
  </si>
  <si>
    <t>ott</t>
  </si>
  <si>
    <t>nov</t>
  </si>
  <si>
    <t>dic</t>
  </si>
  <si>
    <t>SUI 4PAN. VERT</t>
  </si>
  <si>
    <t>Italia_Acciaroli</t>
  </si>
  <si>
    <t>40° 10' 35'' N</t>
  </si>
  <si>
    <t>15° 01' 45'' E</t>
  </si>
  <si>
    <t xml:space="preserve">Italia_Cesenatico </t>
  </si>
  <si>
    <t>44° 12' 04'' N</t>
  </si>
  <si>
    <t>12° 24' 04'' E</t>
  </si>
  <si>
    <t>Italia_Lago d'Iseo</t>
  </si>
  <si>
    <t>45° 43' 00'' N</t>
  </si>
  <si>
    <t>10° 04' 00'' E</t>
  </si>
  <si>
    <t>38° 07' 41'' N</t>
  </si>
  <si>
    <t>13° 22' 10'' E</t>
  </si>
  <si>
    <t>43° 55' 23'' N</t>
  </si>
  <si>
    <t>12° 54' 26'' E</t>
  </si>
  <si>
    <t>Italia_Sassari</t>
  </si>
  <si>
    <t>40° 43' 36'' N</t>
  </si>
  <si>
    <t>08° 33' 33'' E</t>
  </si>
  <si>
    <t>Italia_Taormina</t>
  </si>
  <si>
    <t>37° 50' 32'' N</t>
  </si>
  <si>
    <t>15° 16' 55'' E</t>
  </si>
  <si>
    <t>Italia_Taranto</t>
  </si>
  <si>
    <t>40° 27' 51'' N</t>
  </si>
  <si>
    <t>17° 14' 49'' E</t>
  </si>
  <si>
    <t>Italia_Termoli</t>
  </si>
  <si>
    <t>42° 00' 10'' N</t>
  </si>
  <si>
    <t>14° 59' 41'' E</t>
  </si>
  <si>
    <t>Italia_Trapani</t>
  </si>
  <si>
    <t>38° 01' 03'' N</t>
  </si>
  <si>
    <t>12° 30' 30'' E</t>
  </si>
  <si>
    <t>Italia_Trieste</t>
  </si>
  <si>
    <t>45° 39' 01'' N</t>
  </si>
  <si>
    <t>13° 45' 52'' E</t>
  </si>
  <si>
    <t>Italia_Tropea</t>
  </si>
  <si>
    <t>38° 40' 55'' N</t>
  </si>
  <si>
    <t>15° 54' 10'' E</t>
  </si>
  <si>
    <t xml:space="preserve">Italia_Venezia </t>
  </si>
  <si>
    <t>45° 26' 11'' N</t>
  </si>
  <si>
    <t>12° 19' 40'' E</t>
  </si>
  <si>
    <t>Italia_Vieste</t>
  </si>
  <si>
    <t>41° 52' 55'' N</t>
  </si>
  <si>
    <t>16° 10' 11'' E</t>
  </si>
  <si>
    <t>Italia_Villa S. Giovanni</t>
  </si>
  <si>
    <t>38° 13' 10'' N</t>
  </si>
  <si>
    <t>15° 38' 07'' E</t>
  </si>
  <si>
    <t>- 03° 55' 00'' E</t>
  </si>
  <si>
    <t>-34° 53' 00'' N</t>
  </si>
  <si>
    <t>-56° 10' 00'' E</t>
  </si>
  <si>
    <t>dal sito carmanah</t>
  </si>
  <si>
    <t>vavalà</t>
  </si>
  <si>
    <t>Rapporto Array to Load (ALR). Questo è il rapporto dell'energia che entra nel sistema (raccolti dall'alimentazione del pannello solare) per l'energia che lascia il sistema come luce LED (il "carico"). Se ALR è inferiore a 1, non c'è abbastanza energia ricevuta durante il giorno per soddisfare i requisiti di alimentazione del LED durante la notte. Per un margine di sicurezza per consentire variabilità alla luce del sole (giorni nuvolosi o piovosi, ecc.) I progettisti solari desiderano di solito un ALR di minimo 1,1 o 1,2</t>
  </si>
  <si>
    <t xml:space="preserve">E' il rapporto tra l'energia prodotta dal pannello/i solare/i e l'energia consumata dall'ottica a led ed altri apparati eventualmente presenti a bordo del fanale quali GPS e scheda GSM (calcolato come media giornaliera mensile nel periodo peggiore dell'anno per le coordinate geografiche impostate). Se questo rapporto è inferiore ad 1, il sistema non può funzionare in quanto consuma di più di quanto viene prodotto dal pannello solare. Il valore di 1,2  è il valore limite inferiore a cui riferirsi per avere un fanale affidabile. </t>
  </si>
  <si>
    <t xml:space="preserve">
Per esperienza provata 
Se la capacità residua della/e  betteria/e  è superiore a 20/25 giorni è possibile  accettare che per UN MESE il rapporto CARICA e SCARICA " A L R "  sia  INFERIEORE A 1  fino 0,95  o anche 0,90 (MA SOLO se l'autonimia è superiore a 25/30 giorni)
</t>
  </si>
  <si>
    <t xml:space="preserve">Modulo per il calcolo approssimato ore di buio </t>
  </si>
  <si>
    <t>formule di Jean Meeus e Gianni Ferrari</t>
  </si>
  <si>
    <t>INSERIRE LE COORDINATE</t>
  </si>
  <si>
    <t>lat</t>
  </si>
  <si>
    <t>long</t>
  </si>
  <si>
    <t>Note:</t>
  </si>
  <si>
    <t>inserire la virgola quale separatore decimale</t>
  </si>
  <si>
    <t>ORE DI BUIO</t>
  </si>
  <si>
    <t>0_ARABIA  SAUDITA _CL_301_ LUCE GIALLA</t>
  </si>
  <si>
    <t xml:space="preserve">ARABIA  SAUDITA </t>
  </si>
  <si>
    <t>foglio che non serve piu, ma non toglirre ( non si sa mai)</t>
  </si>
  <si>
    <t>Somma lampi</t>
  </si>
  <si>
    <t>Sec</t>
  </si>
  <si>
    <t>Somma eclissi</t>
  </si>
  <si>
    <t xml:space="preserve">    duty cycle  </t>
  </si>
  <si>
    <t>%</t>
  </si>
  <si>
    <t>I PANNELLI VERRANNO MONTATI SUI 4 LATI DEL FANALE</t>
  </si>
  <si>
    <t>FANALE  ADATTO  PER  QUESTA  INSTALLAZIONE</t>
  </si>
  <si>
    <t>Modulo per il calcolo approssimato degli istanti dell'alba e del tramonto solare e dei crepuscoli</t>
  </si>
  <si>
    <t>Istanti medi geometrici riferiti al lembo superiore del disco solare e tenendo conto dell'effetto della rifrazione atmosferica all'orizzonte</t>
  </si>
  <si>
    <t>giorno</t>
  </si>
  <si>
    <t>°</t>
  </si>
  <si>
    <t>mese</t>
  </si>
  <si>
    <t>anno</t>
  </si>
  <si>
    <t>inserito</t>
  </si>
  <si>
    <t>calcolato</t>
  </si>
  <si>
    <t>bisestile</t>
  </si>
  <si>
    <t>no</t>
  </si>
  <si>
    <t>long0</t>
  </si>
  <si>
    <t>ora</t>
  </si>
  <si>
    <t>h   TMF</t>
  </si>
  <si>
    <t>fuso</t>
  </si>
  <si>
    <t>tenere conto dell'eventuale ora legale estiva</t>
  </si>
  <si>
    <t>per centro geometrico</t>
  </si>
  <si>
    <t>giorno dell'anno</t>
  </si>
  <si>
    <t>ore</t>
  </si>
  <si>
    <t>minuti</t>
  </si>
  <si>
    <t>secondi</t>
  </si>
  <si>
    <t>giorno della settimana</t>
  </si>
  <si>
    <t>TMF</t>
  </si>
  <si>
    <t>h</t>
  </si>
  <si>
    <t>TML</t>
  </si>
  <si>
    <t>costante locale</t>
  </si>
  <si>
    <t>TU</t>
  </si>
  <si>
    <t>TSMG0</t>
  </si>
  <si>
    <t>declinazione del Sole</t>
  </si>
  <si>
    <t>TSMG</t>
  </si>
  <si>
    <t>TSML</t>
  </si>
  <si>
    <t>equazione del tempo</t>
  </si>
  <si>
    <t>m</t>
  </si>
  <si>
    <t>TVL</t>
  </si>
  <si>
    <t>altezza del Sole all'istante della data</t>
  </si>
  <si>
    <t>altezza del Sole a mezzogiorno locale</t>
  </si>
  <si>
    <t>altezza del Sole agli equinozi</t>
  </si>
  <si>
    <t>altezza del Sole al solstizio invernale</t>
  </si>
  <si>
    <t>altezza del Sole al solstizio estivo</t>
  </si>
  <si>
    <t>inizio crepuscolo astronomico</t>
  </si>
  <si>
    <t>h locale</t>
  </si>
  <si>
    <t>h di UT</t>
  </si>
  <si>
    <t>inizio crepuscolo nautico</t>
  </si>
  <si>
    <t>inizio crepuscolo civile</t>
  </si>
  <si>
    <t>istante dell'alba</t>
  </si>
  <si>
    <t>istante del mezzogiorno</t>
  </si>
  <si>
    <t>tramonto</t>
  </si>
  <si>
    <t>fine crepuscolo civile</t>
  </si>
  <si>
    <t>fine crepuscolo nautico</t>
  </si>
  <si>
    <t>fine crepuscolo astronomico</t>
  </si>
  <si>
    <t>arco diurno</t>
  </si>
  <si>
    <t>arco notturno</t>
  </si>
  <si>
    <t>ore di luce</t>
  </si>
  <si>
    <t>ore di notte fonda</t>
  </si>
  <si>
    <t>Istanti medi geometrici riferiti al centro geometrico del disco solare e senza tenere conto dell'effetto della rifrazione atmosferica all'orizzonte</t>
  </si>
  <si>
    <t>aggiornamento: ottobre 2015</t>
  </si>
  <si>
    <t>Realizzazione di Michele T. Mazzucato - 2005</t>
  </si>
  <si>
    <t xml:space="preserve">
Lanterna marina con portata nominale  fino 6 NM. 
Composta da 4 LED ad alta intensità. 
Divergenza  (FWHM) &gt;8°.
Corpo  in materiale plastico specifico per uso marino</t>
  </si>
  <si>
    <t>CL_302
Lanterna marina con portata nominale  fino 6 NM. 
Composta da 4 LED ad alta intensità. 
Divergenza  (FWHM) &gt;8°.
Corpo  in materiale plastico specifico per uso marino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</si>
</sst>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00"/>
    <numFmt numFmtId="167" formatCode="0.0000"/>
    <numFmt numFmtId="168" formatCode="0.0000000000000000"/>
    <numFmt numFmtId="169" formatCode="0.0000000000"/>
    <numFmt numFmtId="170" formatCode="#,##0.0"/>
    <numFmt numFmtId="171" formatCode="#,##0\ _€"/>
  </numFmts>
  <fonts count="10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6"/>
      <color indexed="8"/>
      <name val="Arial"/>
      <family val="2"/>
    </font>
    <font>
      <b/>
      <sz val="10"/>
      <name val="MS Sans Serif"/>
      <family val="2"/>
    </font>
    <font>
      <sz val="10"/>
      <color indexed="10"/>
      <name val="MS Sans Serif"/>
    </font>
    <font>
      <sz val="7"/>
      <name val="Arial"/>
      <family val="2"/>
    </font>
    <font>
      <b/>
      <sz val="12"/>
      <name val="Rockwell Extra Bold"/>
      <family val="1"/>
    </font>
    <font>
      <b/>
      <sz val="16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vertAlign val="superscript"/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1"/>
      <color rgb="FF000000"/>
      <name val="Arial"/>
      <family val="2"/>
    </font>
    <font>
      <sz val="14"/>
      <color rgb="FFFF0000"/>
      <name val="Arial"/>
      <family val="2"/>
    </font>
    <font>
      <sz val="14"/>
      <color rgb="FF212121"/>
      <name val="Arial"/>
      <family val="2"/>
    </font>
    <font>
      <sz val="10"/>
      <color rgb="FFFF0000"/>
      <name val="Arial"/>
      <family val="2"/>
    </font>
    <font>
      <sz val="9"/>
      <color theme="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charset val="1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Arial"/>
      <family val="2"/>
    </font>
    <font>
      <sz val="22"/>
      <name val="Arial"/>
      <family val="2"/>
    </font>
    <font>
      <sz val="11"/>
      <name val="Calibri"/>
      <family val="2"/>
    </font>
    <font>
      <b/>
      <sz val="10"/>
      <name val="Times New Roman"/>
      <family val="1"/>
    </font>
    <font>
      <sz val="8"/>
      <color rgb="FF000000"/>
      <name val="Arial MT"/>
      <family val="2"/>
    </font>
    <font>
      <sz val="10"/>
      <name val="Times New Roman"/>
      <family val="1"/>
    </font>
    <font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0"/>
      <color theme="2" tint="-9.9978637043366805E-2"/>
      <name val="Arial"/>
      <family val="2"/>
    </font>
    <font>
      <sz val="10"/>
      <color theme="0"/>
      <name val="Arial"/>
      <family val="2"/>
    </font>
    <font>
      <sz val="9"/>
      <color rgb="FFFF0000"/>
      <name val="Arial"/>
      <family val="2"/>
    </font>
    <font>
      <sz val="11"/>
      <color rgb="FFFF0000"/>
      <name val="Arial"/>
      <family val="2"/>
    </font>
    <font>
      <sz val="11"/>
      <color rgb="FF333333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rgb="FFFF0000"/>
      <name val="Arial"/>
      <family val="2"/>
    </font>
    <font>
      <sz val="10"/>
      <color rgb="FF000000"/>
      <name val="Arial1"/>
    </font>
    <font>
      <sz val="9"/>
      <color rgb="FF000000"/>
      <name val="Arial"/>
      <family val="2"/>
    </font>
    <font>
      <sz val="9"/>
      <color rgb="FF000000"/>
      <name val="Arial1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b/>
      <sz val="14"/>
      <color rgb="FFFF0000"/>
      <name val="Arial"/>
      <family val="2"/>
    </font>
    <font>
      <b/>
      <sz val="10"/>
      <color theme="0"/>
      <name val="Arial"/>
      <family val="2"/>
    </font>
    <font>
      <sz val="12"/>
      <color rgb="FF000000"/>
      <name val="Aptos"/>
      <family val="2"/>
    </font>
    <font>
      <b/>
      <sz val="9"/>
      <color theme="1"/>
      <name val="Arial"/>
      <family val="2"/>
    </font>
    <font>
      <sz val="8"/>
      <color theme="5" tint="0.39997558519241921"/>
      <name val="Arial"/>
      <family val="2"/>
    </font>
    <font>
      <b/>
      <sz val="8"/>
      <name val="Arial"/>
      <family val="2"/>
    </font>
    <font>
      <sz val="11"/>
      <name val="Aptos"/>
      <family val="2"/>
    </font>
    <font>
      <sz val="12"/>
      <color theme="9" tint="-0.249977111117893"/>
      <name val="Colonna MT"/>
      <family val="5"/>
    </font>
    <font>
      <b/>
      <sz val="12"/>
      <name val="Swis721 BlkEx BT"/>
      <family val="2"/>
    </font>
    <font>
      <b/>
      <sz val="16"/>
      <color theme="9" tint="0.39997558519241921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b/>
      <i/>
      <sz val="11"/>
      <name val="Arial"/>
      <family val="2"/>
    </font>
    <font>
      <b/>
      <sz val="11"/>
      <color rgb="FFFF0000"/>
      <name val="Arial"/>
      <family val="2"/>
    </font>
    <font>
      <b/>
      <sz val="12"/>
      <color theme="0"/>
      <name val="Arial Black"/>
      <family val="2"/>
    </font>
    <font>
      <b/>
      <sz val="10"/>
      <color theme="0"/>
      <name val="Arial Black"/>
      <family val="2"/>
    </font>
    <font>
      <sz val="11"/>
      <color theme="1"/>
      <name val="Arial"/>
      <family val="2"/>
    </font>
    <font>
      <b/>
      <sz val="10"/>
      <color theme="1"/>
      <name val="MS Sans Serif"/>
    </font>
    <font>
      <sz val="16"/>
      <color theme="9" tint="-0.249977111117893"/>
      <name val="Colonna MT"/>
      <family val="5"/>
    </font>
    <font>
      <sz val="16"/>
      <color theme="0"/>
      <name val="Algerian"/>
      <family val="5"/>
    </font>
    <font>
      <b/>
      <sz val="6"/>
      <color rgb="FFFF0000"/>
      <name val="Arial"/>
      <family val="2"/>
    </font>
    <font>
      <sz val="6"/>
      <color rgb="FF0070C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1"/>
    </font>
    <font>
      <sz val="6"/>
      <color rgb="FF000000"/>
      <name val="Arial"/>
      <family val="2"/>
    </font>
    <font>
      <b/>
      <sz val="6"/>
      <color rgb="FF0070C0"/>
      <name val="Arial"/>
      <family val="2"/>
    </font>
    <font>
      <sz val="5"/>
      <color theme="9" tint="-0.499984740745262"/>
      <name val="Arial"/>
      <family val="2"/>
    </font>
    <font>
      <sz val="8"/>
      <color theme="0"/>
      <name val="Arial"/>
      <family val="2"/>
    </font>
    <font>
      <b/>
      <sz val="11"/>
      <color theme="1"/>
      <name val="Arial"/>
      <family val="2"/>
    </font>
    <font>
      <b/>
      <sz val="14"/>
      <color theme="0"/>
      <name val="Arial"/>
      <family val="2"/>
    </font>
    <font>
      <sz val="10"/>
      <color theme="0" tint="-4.9989318521683403E-2"/>
      <name val="Arial"/>
      <family val="2"/>
    </font>
    <font>
      <b/>
      <sz val="14"/>
      <color theme="1"/>
      <name val="Arial"/>
      <family val="2"/>
    </font>
    <font>
      <b/>
      <sz val="15"/>
      <name val="Arial"/>
      <family val="2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theme="0" tint="-4.9989318521683403E-2"/>
      <name val="Arial"/>
      <family val="2"/>
    </font>
    <font>
      <sz val="11"/>
      <color rgb="FF242424"/>
      <name val="Segoe UI"/>
      <family val="2"/>
    </font>
    <font>
      <b/>
      <sz val="14"/>
      <name val="Swis721 BlkEx BT"/>
      <family val="2"/>
    </font>
    <font>
      <b/>
      <sz val="16"/>
      <name val="Rockwell Extra Bold"/>
      <family val="1"/>
    </font>
    <font>
      <b/>
      <sz val="6"/>
      <name val="Arial"/>
      <family val="2"/>
    </font>
    <font>
      <sz val="10"/>
      <name val="Arial1"/>
    </font>
    <font>
      <sz val="9"/>
      <name val="Arial1"/>
    </font>
    <font>
      <sz val="14"/>
      <color theme="9" tint="-0.249977111117893"/>
      <name val="Colonna MT"/>
      <family val="5"/>
    </font>
    <font>
      <b/>
      <sz val="16"/>
      <color rgb="FFFF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5" fillId="0" borderId="0">
      <alignment vertical="top"/>
      <protection locked="0"/>
    </xf>
    <xf numFmtId="0" fontId="40" fillId="0" borderId="0"/>
    <xf numFmtId="0" fontId="40" fillId="0" borderId="0"/>
    <xf numFmtId="0" fontId="3" fillId="0" borderId="0"/>
    <xf numFmtId="0" fontId="3" fillId="23" borderId="39"/>
  </cellStyleXfs>
  <cellXfs count="1016">
    <xf numFmtId="0" fontId="0" fillId="0" borderId="0" xfId="0"/>
    <xf numFmtId="0" fontId="23" fillId="0" borderId="0" xfId="0" applyFont="1"/>
    <xf numFmtId="0" fontId="8" fillId="0" borderId="0" xfId="0" applyFont="1"/>
    <xf numFmtId="0" fontId="7" fillId="0" borderId="0" xfId="0" applyFont="1"/>
    <xf numFmtId="0" fontId="0" fillId="0" borderId="0" xfId="0" applyAlignment="1">
      <alignment horizontal="center"/>
    </xf>
    <xf numFmtId="0" fontId="0" fillId="9" borderId="8" xfId="0" applyFill="1" applyBorder="1"/>
    <xf numFmtId="0" fontId="13" fillId="10" borderId="0" xfId="0" applyFont="1" applyFill="1" applyAlignment="1">
      <alignment wrapText="1"/>
    </xf>
    <xf numFmtId="0" fontId="0" fillId="10" borderId="5" xfId="0" applyFill="1" applyBorder="1"/>
    <xf numFmtId="0" fontId="13" fillId="11" borderId="0" xfId="0" applyFont="1" applyFill="1" applyAlignment="1">
      <alignment wrapText="1"/>
    </xf>
    <xf numFmtId="0" fontId="0" fillId="0" borderId="0" xfId="0" applyAlignment="1">
      <alignment horizontal="left"/>
    </xf>
    <xf numFmtId="0" fontId="16" fillId="0" borderId="0" xfId="0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justify" vertical="top" wrapText="1"/>
    </xf>
    <xf numFmtId="0" fontId="30" fillId="0" borderId="11" xfId="0" applyFont="1" applyBorder="1" applyAlignment="1">
      <alignment horizontal="center"/>
    </xf>
    <xf numFmtId="0" fontId="30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9" borderId="8" xfId="0" applyFill="1" applyBorder="1" applyAlignment="1">
      <alignment wrapText="1"/>
    </xf>
    <xf numFmtId="0" fontId="8" fillId="10" borderId="5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0" fillId="0" borderId="6" xfId="0" applyBorder="1" applyAlignment="1">
      <alignment horizontal="center" wrapText="1"/>
    </xf>
    <xf numFmtId="0" fontId="7" fillId="0" borderId="0" xfId="0" applyFont="1" applyAlignment="1">
      <alignment wrapText="1"/>
    </xf>
    <xf numFmtId="0" fontId="32" fillId="11" borderId="2" xfId="0" applyFont="1" applyFill="1" applyBorder="1" applyAlignment="1">
      <alignment horizontal="center"/>
    </xf>
    <xf numFmtId="0" fontId="3" fillId="11" borderId="2" xfId="0" applyFont="1" applyFill="1" applyBorder="1" applyAlignment="1">
      <alignment horizontal="center"/>
    </xf>
    <xf numFmtId="0" fontId="3" fillId="12" borderId="2" xfId="0" applyFont="1" applyFill="1" applyBorder="1" applyAlignment="1">
      <alignment horizontal="center"/>
    </xf>
    <xf numFmtId="0" fontId="32" fillId="18" borderId="2" xfId="0" applyFont="1" applyFill="1" applyBorder="1" applyAlignment="1">
      <alignment horizontal="center"/>
    </xf>
    <xf numFmtId="0" fontId="3" fillId="18" borderId="2" xfId="0" applyFont="1" applyFill="1" applyBorder="1" applyAlignment="1">
      <alignment horizontal="center"/>
    </xf>
    <xf numFmtId="0" fontId="32" fillId="13" borderId="2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/>
    </xf>
    <xf numFmtId="0" fontId="3" fillId="11" borderId="11" xfId="0" applyFont="1" applyFill="1" applyBorder="1" applyAlignment="1">
      <alignment horizontal="center"/>
    </xf>
    <xf numFmtId="0" fontId="0" fillId="9" borderId="35" xfId="0" applyFill="1" applyBorder="1" applyAlignment="1">
      <alignment wrapText="1"/>
    </xf>
    <xf numFmtId="0" fontId="31" fillId="0" borderId="36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0" fillId="11" borderId="1" xfId="0" applyFont="1" applyFill="1" applyBorder="1"/>
    <xf numFmtId="0" fontId="3" fillId="12" borderId="1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0" fillId="18" borderId="1" xfId="0" applyFont="1" applyFill="1" applyBorder="1"/>
    <xf numFmtId="0" fontId="3" fillId="18" borderId="11" xfId="0" applyFont="1" applyFill="1" applyBorder="1" applyAlignment="1">
      <alignment horizontal="center"/>
    </xf>
    <xf numFmtId="0" fontId="30" fillId="13" borderId="1" xfId="0" applyFont="1" applyFill="1" applyBorder="1"/>
    <xf numFmtId="0" fontId="3" fillId="13" borderId="11" xfId="0" applyFont="1" applyFill="1" applyBorder="1" applyAlignment="1">
      <alignment horizontal="center"/>
    </xf>
    <xf numFmtId="0" fontId="0" fillId="9" borderId="14" xfId="0" applyFill="1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0" fontId="0" fillId="9" borderId="16" xfId="0" applyFill="1" applyBorder="1" applyAlignment="1">
      <alignment horizontal="center" vertical="center" wrapText="1"/>
    </xf>
    <xf numFmtId="0" fontId="8" fillId="9" borderId="14" xfId="0" applyFont="1" applyFill="1" applyBorder="1" applyAlignment="1">
      <alignment horizontal="center" vertical="center" wrapText="1"/>
    </xf>
    <xf numFmtId="0" fontId="8" fillId="9" borderId="15" xfId="0" applyFont="1" applyFill="1" applyBorder="1" applyAlignment="1">
      <alignment horizontal="center" vertical="center" wrapText="1"/>
    </xf>
    <xf numFmtId="0" fontId="8" fillId="9" borderId="16" xfId="0" applyFont="1" applyFill="1" applyBorder="1" applyAlignment="1">
      <alignment horizontal="center" vertical="center" wrapText="1"/>
    </xf>
    <xf numFmtId="0" fontId="27" fillId="0" borderId="0" xfId="0" applyFont="1"/>
    <xf numFmtId="0" fontId="4" fillId="0" borderId="0" xfId="0" applyFont="1" applyAlignment="1">
      <alignment horizontal="center"/>
    </xf>
    <xf numFmtId="164" fontId="37" fillId="22" borderId="2" xfId="2" applyNumberFormat="1" applyFont="1" applyFill="1" applyBorder="1" applyAlignment="1" applyProtection="1">
      <alignment horizontal="center" vertical="center" shrinkToFit="1"/>
      <protection locked="0"/>
    </xf>
    <xf numFmtId="164" fontId="37" fillId="22" borderId="4" xfId="2" applyNumberFormat="1" applyFont="1" applyFill="1" applyBorder="1" applyAlignment="1" applyProtection="1">
      <alignment horizontal="center" vertical="center" shrinkToFit="1"/>
      <protection locked="0"/>
    </xf>
    <xf numFmtId="0" fontId="38" fillId="21" borderId="1" xfId="0" applyFont="1" applyFill="1" applyBorder="1" applyAlignment="1">
      <alignment vertical="center" wrapText="1"/>
    </xf>
    <xf numFmtId="0" fontId="38" fillId="21" borderId="3" xfId="0" applyFont="1" applyFill="1" applyBorder="1" applyAlignment="1">
      <alignment vertical="center" wrapText="1"/>
    </xf>
    <xf numFmtId="164" fontId="37" fillId="0" borderId="2" xfId="2" applyNumberFormat="1" applyFont="1" applyBorder="1" applyAlignment="1" applyProtection="1">
      <alignment horizontal="center" vertical="center" shrinkToFit="1"/>
      <protection locked="0"/>
    </xf>
    <xf numFmtId="164" fontId="37" fillId="0" borderId="11" xfId="2" applyNumberFormat="1" applyFont="1" applyBorder="1" applyAlignment="1" applyProtection="1">
      <alignment horizontal="center" vertical="center" shrinkToFit="1"/>
      <protection locked="0"/>
    </xf>
    <xf numFmtId="164" fontId="37" fillId="0" borderId="4" xfId="2" applyNumberFormat="1" applyFont="1" applyBorder="1" applyAlignment="1" applyProtection="1">
      <alignment horizontal="center" vertical="center" shrinkToFit="1"/>
      <protection locked="0"/>
    </xf>
    <xf numFmtId="164" fontId="37" fillId="0" borderId="13" xfId="2" applyNumberFormat="1" applyFont="1" applyBorder="1" applyAlignment="1" applyProtection="1">
      <alignment horizontal="center" vertical="center" shrinkToFit="1"/>
      <protection locked="0"/>
    </xf>
    <xf numFmtId="0" fontId="43" fillId="0" borderId="0" xfId="0" applyFont="1"/>
    <xf numFmtId="0" fontId="44" fillId="0" borderId="0" xfId="0" applyFont="1"/>
    <xf numFmtId="0" fontId="0" fillId="14" borderId="2" xfId="0" applyFill="1" applyBorder="1"/>
    <xf numFmtId="0" fontId="16" fillId="0" borderId="14" xfId="0" applyFont="1" applyBorder="1" applyAlignment="1">
      <alignment wrapText="1"/>
    </xf>
    <xf numFmtId="0" fontId="7" fillId="0" borderId="16" xfId="0" applyFont="1" applyBorder="1" applyAlignment="1">
      <alignment wrapText="1"/>
    </xf>
    <xf numFmtId="0" fontId="16" fillId="0" borderId="1" xfId="0" applyFont="1" applyBorder="1"/>
    <xf numFmtId="0" fontId="7" fillId="0" borderId="11" xfId="0" applyFont="1" applyBorder="1"/>
    <xf numFmtId="0" fontId="16" fillId="7" borderId="1" xfId="0" applyFont="1" applyFill="1" applyBorder="1"/>
    <xf numFmtId="0" fontId="16" fillId="15" borderId="1" xfId="0" applyFont="1" applyFill="1" applyBorder="1"/>
    <xf numFmtId="165" fontId="7" fillId="0" borderId="11" xfId="0" applyNumberFormat="1" applyFont="1" applyBorder="1"/>
    <xf numFmtId="0" fontId="16" fillId="0" borderId="3" xfId="0" applyFont="1" applyBorder="1"/>
    <xf numFmtId="0" fontId="16" fillId="0" borderId="13" xfId="0" applyFont="1" applyBorder="1"/>
    <xf numFmtId="164" fontId="37" fillId="22" borderId="40" xfId="2" applyNumberFormat="1" applyFont="1" applyFill="1" applyBorder="1" applyAlignment="1" applyProtection="1">
      <alignment horizontal="center" vertical="center" shrinkToFit="1"/>
      <protection locked="0"/>
    </xf>
    <xf numFmtId="0" fontId="0" fillId="0" borderId="24" xfId="0" applyBorder="1" applyProtection="1">
      <protection hidden="1"/>
    </xf>
    <xf numFmtId="0" fontId="0" fillId="0" borderId="25" xfId="0" applyBorder="1" applyProtection="1">
      <protection hidden="1"/>
    </xf>
    <xf numFmtId="0" fontId="0" fillId="0" borderId="26" xfId="0" applyBorder="1" applyProtection="1">
      <protection hidden="1"/>
    </xf>
    <xf numFmtId="0" fontId="0" fillId="0" borderId="38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Continuous"/>
      <protection hidden="1"/>
    </xf>
    <xf numFmtId="49" fontId="4" fillId="0" borderId="0" xfId="0" applyNumberFormat="1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right"/>
      <protection hidden="1"/>
    </xf>
    <xf numFmtId="0" fontId="55" fillId="0" borderId="0" xfId="0" applyFont="1" applyProtection="1">
      <protection hidden="1"/>
    </xf>
    <xf numFmtId="0" fontId="0" fillId="0" borderId="0" xfId="0" applyAlignment="1" applyProtection="1">
      <alignment horizontal="left"/>
      <protection hidden="1"/>
    </xf>
    <xf numFmtId="0" fontId="8" fillId="5" borderId="0" xfId="0" applyFont="1" applyFill="1" applyAlignment="1" applyProtection="1">
      <alignment horizontal="center"/>
      <protection hidden="1"/>
    </xf>
    <xf numFmtId="0" fontId="8" fillId="4" borderId="0" xfId="0" applyFont="1" applyFill="1" applyAlignment="1" applyProtection="1">
      <alignment horizontal="center"/>
      <protection hidden="1"/>
    </xf>
    <xf numFmtId="0" fontId="4" fillId="0" borderId="0" xfId="0" applyFont="1" applyAlignment="1" applyProtection="1">
      <alignment horizontal="left"/>
      <protection hidden="1"/>
    </xf>
    <xf numFmtId="0" fontId="18" fillId="0" borderId="0" xfId="0" applyFont="1" applyAlignment="1" applyProtection="1">
      <alignment horizontal="left"/>
      <protection hidden="1"/>
    </xf>
    <xf numFmtId="166" fontId="4" fillId="0" borderId="0" xfId="0" applyNumberFormat="1" applyFont="1" applyAlignment="1" applyProtection="1">
      <alignment horizontal="center"/>
      <protection hidden="1"/>
    </xf>
    <xf numFmtId="1" fontId="0" fillId="24" borderId="2" xfId="0" applyNumberFormat="1" applyFill="1" applyBorder="1" applyAlignment="1" applyProtection="1">
      <alignment horizontal="center"/>
      <protection hidden="1"/>
    </xf>
    <xf numFmtId="0" fontId="0" fillId="24" borderId="2" xfId="0" applyFill="1" applyBorder="1" applyAlignment="1" applyProtection="1">
      <alignment horizontal="center"/>
      <protection hidden="1"/>
    </xf>
    <xf numFmtId="166" fontId="0" fillId="24" borderId="2" xfId="0" applyNumberFormat="1" applyFill="1" applyBorder="1" applyAlignment="1" applyProtection="1">
      <alignment horizontal="right"/>
      <protection hidden="1"/>
    </xf>
    <xf numFmtId="165" fontId="0" fillId="24" borderId="2" xfId="0" applyNumberFormat="1" applyFill="1" applyBorder="1" applyAlignment="1" applyProtection="1">
      <alignment horizontal="center"/>
      <protection hidden="1"/>
    </xf>
    <xf numFmtId="165" fontId="8" fillId="24" borderId="2" xfId="0" applyNumberFormat="1" applyFont="1" applyFill="1" applyBorder="1" applyAlignment="1" applyProtection="1">
      <alignment horizontal="center"/>
      <protection hidden="1"/>
    </xf>
    <xf numFmtId="167" fontId="8" fillId="24" borderId="2" xfId="0" applyNumberFormat="1" applyFont="1" applyFill="1" applyBorder="1" applyAlignment="1" applyProtection="1">
      <alignment horizontal="center"/>
      <protection hidden="1"/>
    </xf>
    <xf numFmtId="167" fontId="0" fillId="24" borderId="2" xfId="0" applyNumberFormat="1" applyFill="1" applyBorder="1" applyAlignment="1" applyProtection="1">
      <alignment horizontal="center"/>
      <protection hidden="1"/>
    </xf>
    <xf numFmtId="0" fontId="8" fillId="4" borderId="2" xfId="0" applyFont="1" applyFill="1" applyBorder="1" applyAlignment="1" applyProtection="1">
      <alignment horizontal="center"/>
      <protection hidden="1"/>
    </xf>
    <xf numFmtId="166" fontId="4" fillId="0" borderId="0" xfId="0" applyNumberFormat="1" applyFont="1" applyProtection="1">
      <protection hidden="1"/>
    </xf>
    <xf numFmtId="0" fontId="18" fillId="0" borderId="0" xfId="0" applyFont="1" applyProtection="1">
      <protection hidden="1"/>
    </xf>
    <xf numFmtId="166" fontId="8" fillId="4" borderId="2" xfId="0" applyNumberFormat="1" applyFont="1" applyFill="1" applyBorder="1" applyAlignment="1" applyProtection="1">
      <alignment horizontal="right"/>
      <protection hidden="1"/>
    </xf>
    <xf numFmtId="1" fontId="4" fillId="0" borderId="0" xfId="0" applyNumberFormat="1" applyFont="1" applyProtection="1">
      <protection hidden="1"/>
    </xf>
    <xf numFmtId="1" fontId="56" fillId="0" borderId="0" xfId="0" applyNumberFormat="1" applyFont="1" applyProtection="1">
      <protection hidden="1"/>
    </xf>
    <xf numFmtId="0" fontId="8" fillId="0" borderId="0" xfId="0" applyFont="1" applyAlignment="1" applyProtection="1">
      <alignment horizontal="left"/>
      <protection hidden="1"/>
    </xf>
    <xf numFmtId="2" fontId="4" fillId="0" borderId="0" xfId="0" applyNumberFormat="1" applyFont="1" applyAlignment="1" applyProtection="1">
      <alignment horizontal="center"/>
      <protection hidden="1"/>
    </xf>
    <xf numFmtId="2" fontId="56" fillId="0" borderId="0" xfId="0" applyNumberFormat="1" applyFont="1" applyProtection="1">
      <protection hidden="1"/>
    </xf>
    <xf numFmtId="0" fontId="8" fillId="4" borderId="2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centerContinuous"/>
      <protection hidden="1"/>
    </xf>
    <xf numFmtId="166" fontId="0" fillId="4" borderId="2" xfId="0" applyNumberFormat="1" applyFill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38" xfId="0" applyBorder="1" applyAlignment="1" applyProtection="1">
      <alignment horizontal="left"/>
      <protection hidden="1"/>
    </xf>
    <xf numFmtId="166" fontId="0" fillId="24" borderId="2" xfId="0" applyNumberFormat="1" applyFill="1" applyBorder="1" applyProtection="1">
      <protection hidden="1"/>
    </xf>
    <xf numFmtId="168" fontId="0" fillId="0" borderId="0" xfId="0" applyNumberFormat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left"/>
      <protection hidden="1"/>
    </xf>
    <xf numFmtId="169" fontId="0" fillId="0" borderId="0" xfId="0" applyNumberFormat="1" applyAlignment="1" applyProtection="1">
      <alignment horizontal="right"/>
      <protection hidden="1"/>
    </xf>
    <xf numFmtId="1" fontId="0" fillId="0" borderId="0" xfId="0" applyNumberFormat="1" applyAlignment="1" applyProtection="1">
      <alignment horizontal="right"/>
      <protection hidden="1"/>
    </xf>
    <xf numFmtId="166" fontId="8" fillId="4" borderId="2" xfId="0" applyNumberFormat="1" applyFont="1" applyFill="1" applyBorder="1" applyProtection="1">
      <protection hidden="1"/>
    </xf>
    <xf numFmtId="166" fontId="8" fillId="0" borderId="0" xfId="0" applyNumberFormat="1" applyFont="1" applyAlignment="1" applyProtection="1">
      <alignment horizontal="right"/>
      <protection hidden="1"/>
    </xf>
    <xf numFmtId="166" fontId="4" fillId="0" borderId="0" xfId="0" applyNumberFormat="1" applyFont="1" applyAlignment="1" applyProtection="1">
      <alignment horizontal="right"/>
      <protection hidden="1"/>
    </xf>
    <xf numFmtId="1" fontId="0" fillId="0" borderId="0" xfId="0" applyNumberFormat="1" applyProtection="1">
      <protection hidden="1"/>
    </xf>
    <xf numFmtId="0" fontId="0" fillId="0" borderId="33" xfId="0" applyBorder="1" applyProtection="1">
      <protection hidden="1"/>
    </xf>
    <xf numFmtId="0" fontId="0" fillId="0" borderId="9" xfId="0" applyBorder="1" applyProtection="1">
      <protection hidden="1"/>
    </xf>
    <xf numFmtId="169" fontId="0" fillId="0" borderId="9" xfId="0" applyNumberFormat="1" applyBorder="1" applyProtection="1">
      <protection hidden="1"/>
    </xf>
    <xf numFmtId="1" fontId="0" fillId="0" borderId="9" xfId="0" applyNumberFormat="1" applyBorder="1" applyAlignment="1" applyProtection="1">
      <alignment horizontal="right"/>
      <protection hidden="1"/>
    </xf>
    <xf numFmtId="0" fontId="0" fillId="0" borderId="9" xfId="0" applyBorder="1" applyAlignment="1" applyProtection="1">
      <alignment horizontal="left"/>
      <protection hidden="1"/>
    </xf>
    <xf numFmtId="0" fontId="0" fillId="0" borderId="10" xfId="0" applyBorder="1" applyProtection="1">
      <protection hidden="1"/>
    </xf>
    <xf numFmtId="166" fontId="22" fillId="5" borderId="2" xfId="0" applyNumberFormat="1" applyFont="1" applyFill="1" applyBorder="1" applyAlignment="1" applyProtection="1">
      <alignment horizontal="center"/>
      <protection locked="0"/>
    </xf>
    <xf numFmtId="166" fontId="22" fillId="14" borderId="2" xfId="0" applyNumberFormat="1" applyFont="1" applyFill="1" applyBorder="1" applyAlignment="1" applyProtection="1">
      <alignment horizontal="center"/>
      <protection locked="0"/>
    </xf>
    <xf numFmtId="166" fontId="8" fillId="7" borderId="2" xfId="0" applyNumberFormat="1" applyFont="1" applyFill="1" applyBorder="1" applyProtection="1">
      <protection hidden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38" xfId="0" applyBorder="1"/>
    <xf numFmtId="0" fontId="0" fillId="0" borderId="8" xfId="0" applyBorder="1"/>
    <xf numFmtId="0" fontId="4" fillId="0" borderId="0" xfId="0" applyFont="1" applyAlignment="1">
      <alignment horizontal="centerContinuous"/>
    </xf>
    <xf numFmtId="49" fontId="4" fillId="0" borderId="0" xfId="0" applyNumberFormat="1" applyFont="1" applyAlignment="1">
      <alignment horizontal="center"/>
    </xf>
    <xf numFmtId="0" fontId="7" fillId="0" borderId="0" xfId="0" applyFont="1" applyAlignment="1">
      <alignment horizontal="right"/>
    </xf>
    <xf numFmtId="0" fontId="57" fillId="0" borderId="0" xfId="0" applyFont="1"/>
    <xf numFmtId="0" fontId="55" fillId="0" borderId="0" xfId="0" applyFont="1"/>
    <xf numFmtId="4" fontId="4" fillId="0" borderId="11" xfId="0" applyNumberFormat="1" applyFont="1" applyBorder="1" applyAlignment="1">
      <alignment horizontal="center"/>
    </xf>
    <xf numFmtId="0" fontId="4" fillId="5" borderId="2" xfId="0" applyFont="1" applyFill="1" applyBorder="1" applyAlignment="1" applyProtection="1">
      <alignment horizontal="center"/>
      <protection hidden="1"/>
    </xf>
    <xf numFmtId="166" fontId="4" fillId="5" borderId="2" xfId="0" applyNumberFormat="1" applyFont="1" applyFill="1" applyBorder="1" applyAlignment="1" applyProtection="1">
      <alignment horizontal="center"/>
      <protection hidden="1"/>
    </xf>
    <xf numFmtId="169" fontId="0" fillId="0" borderId="0" xfId="0" applyNumberFormat="1" applyProtection="1">
      <protection hidden="1"/>
    </xf>
    <xf numFmtId="0" fontId="8" fillId="0" borderId="0" xfId="0" applyFont="1" applyAlignment="1">
      <alignment horizontal="center"/>
    </xf>
    <xf numFmtId="0" fontId="42" fillId="0" borderId="0" xfId="0" applyFont="1"/>
    <xf numFmtId="0" fontId="42" fillId="0" borderId="0" xfId="0" applyFont="1" applyAlignment="1">
      <alignment horizontal="center"/>
    </xf>
    <xf numFmtId="0" fontId="39" fillId="11" borderId="38" xfId="0" applyFont="1" applyFill="1" applyBorder="1" applyAlignment="1">
      <alignment wrapText="1"/>
    </xf>
    <xf numFmtId="0" fontId="36" fillId="21" borderId="1" xfId="0" applyFont="1" applyFill="1" applyBorder="1" applyAlignment="1">
      <alignment horizontal="center" vertical="center" wrapText="1"/>
    </xf>
    <xf numFmtId="0" fontId="36" fillId="21" borderId="2" xfId="0" applyFont="1" applyFill="1" applyBorder="1" applyAlignment="1">
      <alignment horizontal="center" vertical="center" wrapText="1"/>
    </xf>
    <xf numFmtId="0" fontId="36" fillId="21" borderId="11" xfId="0" applyFont="1" applyFill="1" applyBorder="1" applyAlignment="1">
      <alignment horizontal="center" vertical="center" wrapText="1"/>
    </xf>
    <xf numFmtId="0" fontId="36" fillId="21" borderId="1" xfId="0" applyFont="1" applyFill="1" applyBorder="1" applyAlignment="1">
      <alignment horizontal="left" vertical="center" wrapText="1"/>
    </xf>
    <xf numFmtId="20" fontId="23" fillId="0" borderId="0" xfId="0" applyNumberFormat="1" applyFont="1"/>
    <xf numFmtId="0" fontId="8" fillId="0" borderId="31" xfId="0" applyFont="1" applyBorder="1" applyAlignment="1">
      <alignment horizontal="center"/>
    </xf>
    <xf numFmtId="0" fontId="38" fillId="21" borderId="0" xfId="0" applyFont="1" applyFill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34" xfId="0" applyBorder="1" applyProtection="1">
      <protection locked="0"/>
    </xf>
    <xf numFmtId="4" fontId="0" fillId="0" borderId="29" xfId="0" applyNumberForma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2" fontId="0" fillId="0" borderId="2" xfId="0" applyNumberFormat="1" applyBorder="1" applyProtection="1">
      <protection locked="0"/>
    </xf>
    <xf numFmtId="4" fontId="0" fillId="0" borderId="0" xfId="0" applyNumberFormat="1" applyAlignment="1" applyProtection="1">
      <alignment horizontal="center"/>
      <protection locked="0"/>
    </xf>
    <xf numFmtId="0" fontId="0" fillId="17" borderId="0" xfId="0" applyFill="1" applyProtection="1">
      <protection locked="0"/>
    </xf>
    <xf numFmtId="0" fontId="0" fillId="22" borderId="0" xfId="0" applyFill="1" applyProtection="1">
      <protection locked="0"/>
    </xf>
    <xf numFmtId="2" fontId="0" fillId="11" borderId="0" xfId="0" applyNumberFormat="1" applyFill="1" applyProtection="1">
      <protection locked="0"/>
    </xf>
    <xf numFmtId="0" fontId="0" fillId="16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5" borderId="0" xfId="0" applyFill="1" applyProtection="1">
      <protection locked="0"/>
    </xf>
    <xf numFmtId="0" fontId="41" fillId="17" borderId="27" xfId="0" applyFont="1" applyFill="1" applyBorder="1" applyAlignment="1">
      <alignment vertical="center"/>
    </xf>
    <xf numFmtId="4" fontId="0" fillId="0" borderId="0" xfId="0" applyNumberFormat="1" applyAlignment="1">
      <alignment horizontal="center"/>
    </xf>
    <xf numFmtId="0" fontId="15" fillId="0" borderId="0" xfId="0" applyFont="1" applyAlignment="1">
      <alignment horizontal="center"/>
    </xf>
    <xf numFmtId="0" fontId="41" fillId="17" borderId="29" xfId="0" applyFont="1" applyFill="1" applyBorder="1"/>
    <xf numFmtId="0" fontId="0" fillId="17" borderId="29" xfId="0" applyFill="1" applyBorder="1"/>
    <xf numFmtId="0" fontId="0" fillId="22" borderId="38" xfId="0" applyFill="1" applyBorder="1"/>
    <xf numFmtId="0" fontId="0" fillId="22" borderId="0" xfId="0" applyFill="1"/>
    <xf numFmtId="0" fontId="0" fillId="22" borderId="8" xfId="0" applyFill="1" applyBorder="1"/>
    <xf numFmtId="2" fontId="0" fillId="11" borderId="38" xfId="0" applyNumberFormat="1" applyFill="1" applyBorder="1"/>
    <xf numFmtId="2" fontId="0" fillId="11" borderId="0" xfId="0" applyNumberFormat="1" applyFill="1"/>
    <xf numFmtId="0" fontId="17" fillId="0" borderId="9" xfId="0" applyFont="1" applyBorder="1" applyAlignment="1">
      <alignment horizontal="center"/>
    </xf>
    <xf numFmtId="0" fontId="0" fillId="16" borderId="38" xfId="0" applyFill="1" applyBorder="1"/>
    <xf numFmtId="0" fontId="0" fillId="16" borderId="0" xfId="0" applyFill="1"/>
    <xf numFmtId="0" fontId="0" fillId="16" borderId="8" xfId="0" applyFill="1" applyBorder="1"/>
    <xf numFmtId="0" fontId="0" fillId="10" borderId="38" xfId="0" applyFill="1" applyBorder="1"/>
    <xf numFmtId="0" fontId="0" fillId="10" borderId="0" xfId="0" applyFill="1"/>
    <xf numFmtId="0" fontId="0" fillId="10" borderId="8" xfId="0" applyFill="1" applyBorder="1"/>
    <xf numFmtId="0" fontId="0" fillId="15" borderId="38" xfId="0" applyFill="1" applyBorder="1"/>
    <xf numFmtId="0" fontId="0" fillId="15" borderId="0" xfId="0" applyFill="1"/>
    <xf numFmtId="0" fontId="0" fillId="15" borderId="8" xfId="0" applyFill="1" applyBorder="1"/>
    <xf numFmtId="0" fontId="8" fillId="16" borderId="38" xfId="0" applyFont="1" applyFill="1" applyBorder="1"/>
    <xf numFmtId="0" fontId="8" fillId="16" borderId="0" xfId="0" applyFont="1" applyFill="1"/>
    <xf numFmtId="0" fontId="8" fillId="16" borderId="8" xfId="0" applyFont="1" applyFill="1" applyBorder="1"/>
    <xf numFmtId="4" fontId="8" fillId="0" borderId="31" xfId="0" applyNumberFormat="1" applyFont="1" applyBorder="1" applyAlignment="1">
      <alignment horizontal="center"/>
    </xf>
    <xf numFmtId="0" fontId="8" fillId="10" borderId="38" xfId="0" applyFont="1" applyFill="1" applyBorder="1"/>
    <xf numFmtId="0" fontId="8" fillId="10" borderId="0" xfId="0" applyFont="1" applyFill="1"/>
    <xf numFmtId="0" fontId="8" fillId="10" borderId="8" xfId="0" applyFont="1" applyFill="1" applyBorder="1"/>
    <xf numFmtId="0" fontId="8" fillId="15" borderId="38" xfId="0" applyFont="1" applyFill="1" applyBorder="1"/>
    <xf numFmtId="0" fontId="8" fillId="15" borderId="0" xfId="0" applyFont="1" applyFill="1"/>
    <xf numFmtId="0" fontId="8" fillId="15" borderId="8" xfId="0" applyFont="1" applyFill="1" applyBorder="1"/>
    <xf numFmtId="0" fontId="8" fillId="22" borderId="38" xfId="0" applyFont="1" applyFill="1" applyBorder="1"/>
    <xf numFmtId="0" fontId="8" fillId="22" borderId="0" xfId="0" applyFont="1" applyFill="1"/>
    <xf numFmtId="0" fontId="8" fillId="22" borderId="8" xfId="0" applyFont="1" applyFill="1" applyBorder="1"/>
    <xf numFmtId="2" fontId="0" fillId="11" borderId="1" xfId="0" applyNumberFormat="1" applyFill="1" applyBorder="1"/>
    <xf numFmtId="2" fontId="0" fillId="11" borderId="2" xfId="0" applyNumberFormat="1" applyFill="1" applyBorder="1"/>
    <xf numFmtId="0" fontId="0" fillId="17" borderId="28" xfId="0" applyFill="1" applyBorder="1"/>
    <xf numFmtId="0" fontId="0" fillId="16" borderId="33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0" borderId="33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5" borderId="33" xfId="0" applyFill="1" applyBorder="1"/>
    <xf numFmtId="0" fontId="0" fillId="15" borderId="9" xfId="0" applyFill="1" applyBorder="1"/>
    <xf numFmtId="0" fontId="0" fillId="15" borderId="10" xfId="0" applyFill="1" applyBorder="1"/>
    <xf numFmtId="0" fontId="0" fillId="22" borderId="33" xfId="0" applyFill="1" applyBorder="1"/>
    <xf numFmtId="0" fontId="0" fillId="22" borderId="9" xfId="0" applyFill="1" applyBorder="1"/>
    <xf numFmtId="0" fontId="0" fillId="22" borderId="10" xfId="0" applyFill="1" applyBorder="1"/>
    <xf numFmtId="2" fontId="0" fillId="11" borderId="3" xfId="0" applyNumberFormat="1" applyFill="1" applyBorder="1"/>
    <xf numFmtId="2" fontId="0" fillId="11" borderId="4" xfId="0" applyNumberFormat="1" applyFill="1" applyBorder="1"/>
    <xf numFmtId="0" fontId="0" fillId="17" borderId="14" xfId="0" applyFill="1" applyBorder="1"/>
    <xf numFmtId="0" fontId="0" fillId="17" borderId="15" xfId="0" applyFill="1" applyBorder="1"/>
    <xf numFmtId="0" fontId="0" fillId="16" borderId="14" xfId="0" applyFill="1" applyBorder="1"/>
    <xf numFmtId="0" fontId="0" fillId="16" borderId="15" xfId="0" applyFill="1" applyBorder="1"/>
    <xf numFmtId="0" fontId="0" fillId="16" borderId="16" xfId="0" applyFill="1" applyBorder="1"/>
    <xf numFmtId="4" fontId="0" fillId="0" borderId="27" xfId="0" applyNumberFormat="1" applyBorder="1" applyAlignment="1">
      <alignment horizontal="center"/>
    </xf>
    <xf numFmtId="0" fontId="0" fillId="10" borderId="14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15" borderId="14" xfId="0" applyFill="1" applyBorder="1"/>
    <xf numFmtId="0" fontId="0" fillId="15" borderId="15" xfId="0" applyFill="1" applyBorder="1"/>
    <xf numFmtId="0" fontId="0" fillId="15" borderId="16" xfId="0" applyFill="1" applyBorder="1"/>
    <xf numFmtId="0" fontId="0" fillId="8" borderId="23" xfId="0" applyFill="1" applyBorder="1"/>
    <xf numFmtId="0" fontId="0" fillId="22" borderId="18" xfId="0" applyFill="1" applyBorder="1"/>
    <xf numFmtId="0" fontId="0" fillId="22" borderId="23" xfId="0" applyFill="1" applyBorder="1"/>
    <xf numFmtId="2" fontId="0" fillId="11" borderId="18" xfId="0" applyNumberFormat="1" applyFill="1" applyBorder="1"/>
    <xf numFmtId="0" fontId="0" fillId="7" borderId="0" xfId="0" applyFill="1"/>
    <xf numFmtId="0" fontId="0" fillId="25" borderId="0" xfId="0" applyFill="1"/>
    <xf numFmtId="0" fontId="45" fillId="25" borderId="2" xfId="0" applyFont="1" applyFill="1" applyBorder="1"/>
    <xf numFmtId="0" fontId="5" fillId="0" borderId="0" xfId="1" applyAlignment="1" applyProtection="1"/>
    <xf numFmtId="0" fontId="0" fillId="25" borderId="2" xfId="0" applyFill="1" applyBorder="1"/>
    <xf numFmtId="4" fontId="8" fillId="0" borderId="11" xfId="0" applyNumberFormat="1" applyFont="1" applyBorder="1" applyAlignment="1">
      <alignment horizontal="center"/>
    </xf>
    <xf numFmtId="0" fontId="8" fillId="0" borderId="0" xfId="0" applyFont="1" applyAlignment="1" applyProtection="1">
      <alignment horizontal="center" vertical="center"/>
      <protection hidden="1"/>
    </xf>
    <xf numFmtId="0" fontId="6" fillId="0" borderId="0" xfId="0" applyFont="1" applyProtection="1"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0" fontId="8" fillId="0" borderId="0" xfId="0" applyFont="1" applyProtection="1">
      <protection hidden="1"/>
    </xf>
    <xf numFmtId="0" fontId="0" fillId="0" borderId="0" xfId="0" applyAlignment="1" applyProtection="1">
      <alignment wrapText="1"/>
      <protection hidden="1"/>
    </xf>
    <xf numFmtId="0" fontId="5" fillId="0" borderId="0" xfId="1" applyAlignment="1" applyProtection="1">
      <protection hidden="1"/>
    </xf>
    <xf numFmtId="0" fontId="5" fillId="0" borderId="0" xfId="1" applyAlignment="1" applyProtection="1">
      <alignment horizontal="center" vertical="center" wrapText="1"/>
      <protection hidden="1"/>
    </xf>
    <xf numFmtId="0" fontId="63" fillId="0" borderId="0" xfId="0" applyFont="1" applyAlignment="1" applyProtection="1">
      <alignment horizontal="center" wrapText="1"/>
      <protection hidden="1"/>
    </xf>
    <xf numFmtId="0" fontId="59" fillId="19" borderId="0" xfId="0" applyFont="1" applyFill="1" applyProtection="1">
      <protection hidden="1"/>
    </xf>
    <xf numFmtId="3" fontId="24" fillId="0" borderId="0" xfId="0" applyNumberFormat="1" applyFont="1" applyAlignment="1" applyProtection="1">
      <alignment vertical="center" wrapText="1"/>
      <protection hidden="1"/>
    </xf>
    <xf numFmtId="0" fontId="24" fillId="0" borderId="0" xfId="0" applyFont="1" applyAlignment="1" applyProtection="1">
      <alignment vertical="top" wrapText="1"/>
      <protection hidden="1"/>
    </xf>
    <xf numFmtId="4" fontId="0" fillId="0" borderId="0" xfId="0" applyNumberFormat="1" applyProtection="1">
      <protection hidden="1"/>
    </xf>
    <xf numFmtId="0" fontId="9" fillId="0" borderId="0" xfId="0" applyFont="1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Protection="1">
      <protection hidden="1"/>
    </xf>
    <xf numFmtId="0" fontId="16" fillId="0" borderId="0" xfId="0" applyFont="1" applyAlignment="1" applyProtection="1">
      <alignment horizontal="left"/>
      <protection hidden="1"/>
    </xf>
    <xf numFmtId="0" fontId="16" fillId="0" borderId="0" xfId="0" applyFont="1" applyAlignment="1" applyProtection="1">
      <alignment horizontal="center"/>
      <protection hidden="1"/>
    </xf>
    <xf numFmtId="2" fontId="16" fillId="0" borderId="0" xfId="0" applyNumberFormat="1" applyFont="1" applyAlignment="1" applyProtection="1">
      <alignment horizontal="left"/>
      <protection hidden="1"/>
    </xf>
    <xf numFmtId="0" fontId="16" fillId="11" borderId="0" xfId="0" applyFont="1" applyFill="1" applyProtection="1">
      <protection hidden="1"/>
    </xf>
    <xf numFmtId="0" fontId="16" fillId="11" borderId="0" xfId="0" applyFont="1" applyFill="1" applyAlignment="1" applyProtection="1">
      <alignment horizontal="left"/>
      <protection hidden="1"/>
    </xf>
    <xf numFmtId="0" fontId="13" fillId="0" borderId="0" xfId="0" applyFont="1" applyProtection="1">
      <protection hidden="1"/>
    </xf>
    <xf numFmtId="0" fontId="13" fillId="0" borderId="0" xfId="0" applyFont="1" applyAlignment="1" applyProtection="1">
      <alignment horizontal="center"/>
      <protection hidden="1"/>
    </xf>
    <xf numFmtId="2" fontId="16" fillId="0" borderId="0" xfId="0" applyNumberFormat="1" applyFont="1" applyAlignment="1" applyProtection="1">
      <alignment horizontal="right" vertical="center"/>
      <protection hidden="1"/>
    </xf>
    <xf numFmtId="0" fontId="13" fillId="11" borderId="0" xfId="0" applyFont="1" applyFill="1" applyProtection="1">
      <protection hidden="1"/>
    </xf>
    <xf numFmtId="2" fontId="13" fillId="11" borderId="0" xfId="0" applyNumberFormat="1" applyFont="1" applyFill="1" applyAlignment="1" applyProtection="1">
      <alignment horizontal="center"/>
      <protection hidden="1"/>
    </xf>
    <xf numFmtId="9" fontId="13" fillId="11" borderId="0" xfId="0" applyNumberFormat="1" applyFont="1" applyFill="1" applyAlignment="1" applyProtection="1">
      <alignment horizontal="center"/>
      <protection hidden="1"/>
    </xf>
    <xf numFmtId="9" fontId="13" fillId="8" borderId="0" xfId="0" applyNumberFormat="1" applyFont="1" applyFill="1" applyProtection="1">
      <protection hidden="1"/>
    </xf>
    <xf numFmtId="2" fontId="13" fillId="0" borderId="0" xfId="0" applyNumberFormat="1" applyFont="1" applyAlignment="1" applyProtection="1">
      <alignment horizontal="center"/>
      <protection hidden="1"/>
    </xf>
    <xf numFmtId="9" fontId="13" fillId="0" borderId="0" xfId="0" applyNumberFormat="1" applyFont="1" applyAlignment="1" applyProtection="1">
      <alignment horizontal="center"/>
      <protection hidden="1"/>
    </xf>
    <xf numFmtId="9" fontId="13" fillId="8" borderId="0" xfId="0" applyNumberFormat="1" applyFont="1" applyFill="1" applyAlignment="1" applyProtection="1">
      <alignment horizontal="center"/>
      <protection hidden="1"/>
    </xf>
    <xf numFmtId="2" fontId="16" fillId="12" borderId="0" xfId="0" applyNumberFormat="1" applyFont="1" applyFill="1" applyAlignment="1" applyProtection="1">
      <alignment horizontal="right" vertical="center"/>
      <protection hidden="1"/>
    </xf>
    <xf numFmtId="0" fontId="0" fillId="12" borderId="0" xfId="0" applyFill="1" applyProtection="1"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2" fontId="28" fillId="0" borderId="0" xfId="0" applyNumberFormat="1" applyFont="1" applyAlignment="1" applyProtection="1">
      <alignment horizontal="right"/>
      <protection hidden="1"/>
    </xf>
    <xf numFmtId="0" fontId="28" fillId="0" borderId="0" xfId="0" applyFont="1" applyProtection="1">
      <protection hidden="1"/>
    </xf>
    <xf numFmtId="0" fontId="0" fillId="0" borderId="17" xfId="0" applyBorder="1" applyProtection="1">
      <protection hidden="1"/>
    </xf>
    <xf numFmtId="0" fontId="9" fillId="11" borderId="0" xfId="0" applyFont="1" applyFill="1" applyAlignment="1" applyProtection="1">
      <alignment horizontal="left"/>
      <protection hidden="1"/>
    </xf>
    <xf numFmtId="3" fontId="63" fillId="11" borderId="0" xfId="0" applyNumberFormat="1" applyFont="1" applyFill="1" applyAlignment="1" applyProtection="1">
      <alignment horizontal="right" vertical="top"/>
      <protection hidden="1"/>
    </xf>
    <xf numFmtId="0" fontId="9" fillId="0" borderId="0" xfId="0" applyFont="1" applyAlignment="1" applyProtection="1">
      <alignment horizontal="left"/>
      <protection hidden="1"/>
    </xf>
    <xf numFmtId="3" fontId="63" fillId="0" borderId="0" xfId="0" applyNumberFormat="1" applyFont="1" applyAlignment="1" applyProtection="1">
      <alignment horizontal="right" vertical="top"/>
      <protection hidden="1"/>
    </xf>
    <xf numFmtId="0" fontId="63" fillId="0" borderId="0" xfId="0" applyFont="1" applyProtection="1">
      <protection hidden="1"/>
    </xf>
    <xf numFmtId="0" fontId="63" fillId="11" borderId="0" xfId="0" applyFont="1" applyFill="1" applyProtection="1">
      <protection hidden="1"/>
    </xf>
    <xf numFmtId="0" fontId="9" fillId="0" borderId="0" xfId="0" applyFont="1" applyAlignment="1" applyProtection="1">
      <alignment horizontal="center"/>
      <protection hidden="1"/>
    </xf>
    <xf numFmtId="4" fontId="63" fillId="11" borderId="0" xfId="0" applyNumberFormat="1" applyFont="1" applyFill="1" applyProtection="1">
      <protection hidden="1"/>
    </xf>
    <xf numFmtId="4" fontId="63" fillId="0" borderId="0" xfId="0" applyNumberFormat="1" applyFont="1" applyProtection="1">
      <protection hidden="1"/>
    </xf>
    <xf numFmtId="4" fontId="63" fillId="0" borderId="0" xfId="0" applyNumberFormat="1" applyFont="1" applyAlignment="1" applyProtection="1">
      <alignment horizontal="left"/>
      <protection hidden="1"/>
    </xf>
    <xf numFmtId="4" fontId="63" fillId="11" borderId="0" xfId="0" applyNumberFormat="1" applyFont="1" applyFill="1" applyAlignment="1" applyProtection="1">
      <alignment horizontal="left"/>
      <protection hidden="1"/>
    </xf>
    <xf numFmtId="9" fontId="63" fillId="11" borderId="0" xfId="0" applyNumberFormat="1" applyFont="1" applyFill="1" applyAlignment="1" applyProtection="1">
      <alignment horizontal="right"/>
      <protection hidden="1"/>
    </xf>
    <xf numFmtId="0" fontId="63" fillId="11" borderId="0" xfId="0" applyFont="1" applyFill="1" applyAlignment="1" applyProtection="1">
      <alignment horizontal="right"/>
      <protection hidden="1"/>
    </xf>
    <xf numFmtId="1" fontId="63" fillId="0" borderId="0" xfId="0" applyNumberFormat="1" applyFont="1" applyProtection="1">
      <protection hidden="1"/>
    </xf>
    <xf numFmtId="1" fontId="9" fillId="0" borderId="0" xfId="0" applyNumberFormat="1" applyFont="1" applyProtection="1">
      <protection hidden="1"/>
    </xf>
    <xf numFmtId="0" fontId="9" fillId="11" borderId="0" xfId="0" applyFont="1" applyFill="1" applyProtection="1">
      <protection hidden="1"/>
    </xf>
    <xf numFmtId="1" fontId="63" fillId="11" borderId="0" xfId="0" applyNumberFormat="1" applyFont="1" applyFill="1" applyProtection="1">
      <protection hidden="1"/>
    </xf>
    <xf numFmtId="0" fontId="63" fillId="0" borderId="0" xfId="0" applyFont="1" applyAlignment="1" applyProtection="1">
      <alignment horizontal="right"/>
      <protection hidden="1"/>
    </xf>
    <xf numFmtId="1" fontId="63" fillId="0" borderId="0" xfId="0" applyNumberFormat="1" applyFont="1" applyAlignment="1" applyProtection="1">
      <alignment horizontal="right"/>
      <protection hidden="1"/>
    </xf>
    <xf numFmtId="1" fontId="63" fillId="11" borderId="0" xfId="0" applyNumberFormat="1" applyFont="1" applyFill="1" applyAlignment="1" applyProtection="1">
      <alignment horizontal="right"/>
      <protection hidden="1"/>
    </xf>
    <xf numFmtId="3" fontId="63" fillId="14" borderId="0" xfId="0" applyNumberFormat="1" applyFont="1" applyFill="1" applyAlignment="1" applyProtection="1">
      <alignment horizontal="left"/>
      <protection hidden="1"/>
    </xf>
    <xf numFmtId="3" fontId="63" fillId="14" borderId="0" xfId="0" applyNumberFormat="1" applyFont="1" applyFill="1" applyAlignment="1" applyProtection="1">
      <alignment horizontal="right"/>
      <protection hidden="1"/>
    </xf>
    <xf numFmtId="1" fontId="3" fillId="12" borderId="2" xfId="0" applyNumberFormat="1" applyFont="1" applyFill="1" applyBorder="1" applyAlignment="1">
      <alignment horizontal="center"/>
    </xf>
    <xf numFmtId="1" fontId="3" fillId="12" borderId="11" xfId="0" applyNumberFormat="1" applyFont="1" applyFill="1" applyBorder="1" applyAlignment="1">
      <alignment horizontal="center"/>
    </xf>
    <xf numFmtId="1" fontId="32" fillId="11" borderId="2" xfId="0" applyNumberFormat="1" applyFont="1" applyFill="1" applyBorder="1" applyAlignment="1">
      <alignment horizontal="center"/>
    </xf>
    <xf numFmtId="1" fontId="3" fillId="11" borderId="2" xfId="0" applyNumberFormat="1" applyFont="1" applyFill="1" applyBorder="1" applyAlignment="1">
      <alignment horizontal="center"/>
    </xf>
    <xf numFmtId="1" fontId="3" fillId="11" borderId="11" xfId="0" applyNumberFormat="1" applyFont="1" applyFill="1" applyBorder="1" applyAlignment="1">
      <alignment horizontal="center"/>
    </xf>
    <xf numFmtId="0" fontId="21" fillId="0" borderId="0" xfId="0" applyFont="1" applyAlignment="1" applyProtection="1">
      <alignment horizontal="center" vertical="center"/>
      <protection hidden="1"/>
    </xf>
    <xf numFmtId="0" fontId="8" fillId="11" borderId="0" xfId="0" applyFont="1" applyFill="1" applyAlignment="1" applyProtection="1">
      <alignment horizontal="left"/>
      <protection hidden="1"/>
    </xf>
    <xf numFmtId="0" fontId="4" fillId="0" borderId="0" xfId="0" applyFont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0" fontId="20" fillId="0" borderId="0" xfId="0" applyFont="1" applyAlignment="1" applyProtection="1">
      <alignment vertical="top" wrapText="1"/>
      <protection hidden="1"/>
    </xf>
    <xf numFmtId="0" fontId="20" fillId="0" borderId="0" xfId="0" applyFont="1" applyAlignment="1" applyProtection="1">
      <alignment wrapText="1"/>
      <protection hidden="1"/>
    </xf>
    <xf numFmtId="1" fontId="8" fillId="0" borderId="0" xfId="0" applyNumberFormat="1" applyFont="1" applyAlignment="1" applyProtection="1">
      <alignment horizontal="center"/>
      <protection hidden="1"/>
    </xf>
    <xf numFmtId="0" fontId="0" fillId="0" borderId="0" xfId="0" applyAlignment="1" applyProtection="1">
      <alignment vertical="top" wrapText="1"/>
      <protection hidden="1"/>
    </xf>
    <xf numFmtId="4" fontId="4" fillId="11" borderId="0" xfId="0" applyNumberFormat="1" applyFont="1" applyFill="1" applyAlignment="1" applyProtection="1">
      <alignment horizontal="center"/>
      <protection hidden="1"/>
    </xf>
    <xf numFmtId="3" fontId="0" fillId="0" borderId="0" xfId="0" applyNumberFormat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2" fontId="8" fillId="0" borderId="0" xfId="0" applyNumberFormat="1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9" fontId="4" fillId="11" borderId="0" xfId="0" applyNumberFormat="1" applyFont="1" applyFill="1" applyAlignment="1" applyProtection="1">
      <alignment horizontal="center" vertical="center"/>
      <protection hidden="1"/>
    </xf>
    <xf numFmtId="3" fontId="4" fillId="14" borderId="0" xfId="0" applyNumberFormat="1" applyFont="1" applyFill="1" applyAlignment="1" applyProtection="1">
      <alignment horizontal="center" vertical="center"/>
      <protection hidden="1"/>
    </xf>
    <xf numFmtId="0" fontId="4" fillId="25" borderId="0" xfId="0" applyFont="1" applyFill="1" applyAlignment="1" applyProtection="1">
      <alignment horizontal="center" vertical="center"/>
      <protection hidden="1"/>
    </xf>
    <xf numFmtId="1" fontId="4" fillId="11" borderId="0" xfId="0" applyNumberFormat="1" applyFont="1" applyFill="1" applyAlignment="1" applyProtection="1">
      <alignment horizontal="center" vertical="center"/>
      <protection hidden="1"/>
    </xf>
    <xf numFmtId="2" fontId="16" fillId="11" borderId="0" xfId="0" applyNumberFormat="1" applyFont="1" applyFill="1" applyAlignment="1" applyProtection="1">
      <alignment horizontal="center" vertical="center"/>
      <protection hidden="1"/>
    </xf>
    <xf numFmtId="4" fontId="4" fillId="0" borderId="0" xfId="0" applyNumberFormat="1" applyFont="1" applyAlignment="1" applyProtection="1">
      <alignment horizontal="center" vertical="center"/>
      <protection hidden="1"/>
    </xf>
    <xf numFmtId="0" fontId="0" fillId="14" borderId="0" xfId="0" applyFill="1" applyAlignment="1" applyProtection="1">
      <alignment horizontal="center" vertical="center"/>
      <protection hidden="1"/>
    </xf>
    <xf numFmtId="0" fontId="8" fillId="11" borderId="0" xfId="0" applyFont="1" applyFill="1" applyAlignment="1" applyProtection="1">
      <alignment horizontal="center" vertical="center"/>
      <protection hidden="1"/>
    </xf>
    <xf numFmtId="0" fontId="16" fillId="11" borderId="0" xfId="0" applyFont="1" applyFill="1" applyAlignment="1" applyProtection="1">
      <alignment horizontal="center" vertical="center"/>
      <protection hidden="1"/>
    </xf>
    <xf numFmtId="4" fontId="4" fillId="11" borderId="0" xfId="0" applyNumberFormat="1" applyFont="1" applyFill="1" applyAlignment="1" applyProtection="1">
      <alignment horizontal="center" vertical="center"/>
      <protection hidden="1"/>
    </xf>
    <xf numFmtId="0" fontId="0" fillId="9" borderId="0" xfId="0" applyFill="1"/>
    <xf numFmtId="0" fontId="8" fillId="9" borderId="0" xfId="0" applyFont="1" applyFill="1" applyAlignment="1">
      <alignment wrapText="1"/>
    </xf>
    <xf numFmtId="0" fontId="8" fillId="9" borderId="0" xfId="0" applyFont="1" applyFill="1"/>
    <xf numFmtId="2" fontId="8" fillId="9" borderId="0" xfId="0" applyNumberFormat="1" applyFont="1" applyFill="1"/>
    <xf numFmtId="0" fontId="0" fillId="9" borderId="38" xfId="0" applyFill="1" applyBorder="1"/>
    <xf numFmtId="0" fontId="23" fillId="9" borderId="0" xfId="0" applyFont="1" applyFill="1"/>
    <xf numFmtId="0" fontId="0" fillId="9" borderId="33" xfId="0" applyFill="1" applyBorder="1"/>
    <xf numFmtId="0" fontId="0" fillId="9" borderId="9" xfId="0" applyFill="1" applyBorder="1"/>
    <xf numFmtId="0" fontId="23" fillId="9" borderId="9" xfId="0" applyFont="1" applyFill="1" applyBorder="1"/>
    <xf numFmtId="0" fontId="0" fillId="9" borderId="10" xfId="0" applyFill="1" applyBorder="1"/>
    <xf numFmtId="0" fontId="62" fillId="20" borderId="24" xfId="0" applyFont="1" applyFill="1" applyBorder="1" applyProtection="1">
      <protection hidden="1"/>
    </xf>
    <xf numFmtId="0" fontId="62" fillId="20" borderId="38" xfId="0" applyFont="1" applyFill="1" applyBorder="1" applyProtection="1">
      <protection hidden="1"/>
    </xf>
    <xf numFmtId="3" fontId="62" fillId="20" borderId="38" xfId="0" applyNumberFormat="1" applyFont="1" applyFill="1" applyBorder="1" applyProtection="1">
      <protection hidden="1"/>
    </xf>
    <xf numFmtId="0" fontId="62" fillId="20" borderId="33" xfId="0" applyFont="1" applyFill="1" applyBorder="1" applyProtection="1">
      <protection hidden="1"/>
    </xf>
    <xf numFmtId="0" fontId="31" fillId="9" borderId="36" xfId="0" applyFont="1" applyFill="1" applyBorder="1" applyAlignment="1">
      <alignment horizontal="center"/>
    </xf>
    <xf numFmtId="1" fontId="32" fillId="9" borderId="2" xfId="0" applyNumberFormat="1" applyFont="1" applyFill="1" applyBorder="1" applyAlignment="1">
      <alignment horizontal="center"/>
    </xf>
    <xf numFmtId="1" fontId="3" fillId="9" borderId="2" xfId="0" applyNumberFormat="1" applyFont="1" applyFill="1" applyBorder="1" applyAlignment="1">
      <alignment horizontal="center"/>
    </xf>
    <xf numFmtId="0" fontId="30" fillId="9" borderId="1" xfId="0" applyFont="1" applyFill="1" applyBorder="1"/>
    <xf numFmtId="0" fontId="32" fillId="9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9" borderId="11" xfId="0" applyFont="1" applyFill="1" applyBorder="1" applyAlignment="1">
      <alignment horizontal="center"/>
    </xf>
    <xf numFmtId="1" fontId="30" fillId="11" borderId="1" xfId="0" applyNumberFormat="1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2" fillId="18" borderId="11" xfId="0" applyFont="1" applyFill="1" applyBorder="1" applyAlignment="1">
      <alignment horizontal="center"/>
    </xf>
    <xf numFmtId="0" fontId="2" fillId="13" borderId="2" xfId="0" applyFont="1" applyFill="1" applyBorder="1" applyAlignment="1">
      <alignment horizontal="center"/>
    </xf>
    <xf numFmtId="0" fontId="2" fillId="13" borderId="1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3" fillId="18" borderId="12" xfId="0" applyFont="1" applyFill="1" applyBorder="1" applyAlignment="1">
      <alignment horizontal="center"/>
    </xf>
    <xf numFmtId="0" fontId="2" fillId="18" borderId="12" xfId="0" applyFont="1" applyFill="1" applyBorder="1" applyAlignment="1">
      <alignment horizontal="center"/>
    </xf>
    <xf numFmtId="1" fontId="8" fillId="9" borderId="11" xfId="0" applyNumberFormat="1" applyFont="1" applyFill="1" applyBorder="1"/>
    <xf numFmtId="0" fontId="8" fillId="9" borderId="1" xfId="0" applyFont="1" applyFill="1" applyBorder="1"/>
    <xf numFmtId="0" fontId="8" fillId="9" borderId="2" xfId="0" applyFont="1" applyFill="1" applyBorder="1"/>
    <xf numFmtId="0" fontId="8" fillId="9" borderId="11" xfId="0" applyFont="1" applyFill="1" applyBorder="1"/>
    <xf numFmtId="1" fontId="32" fillId="9" borderId="4" xfId="0" applyNumberFormat="1" applyFont="1" applyFill="1" applyBorder="1" applyAlignment="1">
      <alignment horizontal="center"/>
    </xf>
    <xf numFmtId="1" fontId="3" fillId="9" borderId="4" xfId="0" applyNumberFormat="1" applyFont="1" applyFill="1" applyBorder="1" applyAlignment="1">
      <alignment horizontal="center"/>
    </xf>
    <xf numFmtId="1" fontId="8" fillId="9" borderId="13" xfId="0" applyNumberFormat="1" applyFont="1" applyFill="1" applyBorder="1"/>
    <xf numFmtId="0" fontId="8" fillId="9" borderId="3" xfId="0" applyFont="1" applyFill="1" applyBorder="1"/>
    <xf numFmtId="0" fontId="8" fillId="9" borderId="4" xfId="0" applyFont="1" applyFill="1" applyBorder="1"/>
    <xf numFmtId="0" fontId="8" fillId="9" borderId="13" xfId="0" applyFont="1" applyFill="1" applyBorder="1"/>
    <xf numFmtId="0" fontId="31" fillId="9" borderId="37" xfId="0" applyFont="1" applyFill="1" applyBorder="1" applyAlignment="1">
      <alignment horizontal="center"/>
    </xf>
    <xf numFmtId="0" fontId="30" fillId="9" borderId="3" xfId="0" applyFont="1" applyFill="1" applyBorder="1"/>
    <xf numFmtId="0" fontId="32" fillId="9" borderId="4" xfId="0" applyFon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4" fillId="19" borderId="0" xfId="0" applyFont="1" applyFill="1" applyAlignment="1">
      <alignment horizontal="center"/>
    </xf>
    <xf numFmtId="0" fontId="64" fillId="0" borderId="0" xfId="0" applyFont="1" applyAlignment="1">
      <alignment vertical="center" wrapText="1"/>
    </xf>
    <xf numFmtId="3" fontId="4" fillId="0" borderId="0" xfId="0" applyNumberFormat="1" applyFont="1" applyAlignment="1" applyProtection="1">
      <alignment horizontal="center"/>
      <protection hidden="1"/>
    </xf>
    <xf numFmtId="0" fontId="62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8" fillId="0" borderId="0" xfId="0" applyFont="1" applyAlignment="1" applyProtection="1">
      <alignment wrapText="1"/>
      <protection hidden="1"/>
    </xf>
    <xf numFmtId="0" fontId="10" fillId="20" borderId="0" xfId="0" applyFont="1" applyFill="1" applyAlignment="1" applyProtection="1">
      <alignment vertical="center" wrapText="1" shrinkToFit="1"/>
      <protection hidden="1"/>
    </xf>
    <xf numFmtId="0" fontId="0" fillId="20" borderId="0" xfId="0" applyFill="1" applyProtection="1">
      <protection hidden="1"/>
    </xf>
    <xf numFmtId="0" fontId="0" fillId="20" borderId="0" xfId="0" applyFill="1" applyAlignment="1" applyProtection="1">
      <alignment horizontal="center"/>
      <protection hidden="1"/>
    </xf>
    <xf numFmtId="2" fontId="8" fillId="20" borderId="0" xfId="0" applyNumberFormat="1" applyFont="1" applyFill="1" applyAlignment="1" applyProtection="1">
      <alignment vertical="center" wrapText="1"/>
      <protection hidden="1"/>
    </xf>
    <xf numFmtId="2" fontId="4" fillId="20" borderId="0" xfId="0" applyNumberFormat="1" applyFont="1" applyFill="1" applyAlignment="1" applyProtection="1">
      <alignment vertical="center" wrapText="1"/>
      <protection hidden="1"/>
    </xf>
    <xf numFmtId="0" fontId="8" fillId="20" borderId="0" xfId="0" applyFont="1" applyFill="1" applyAlignment="1" applyProtection="1">
      <alignment vertical="center" wrapText="1"/>
      <protection hidden="1"/>
    </xf>
    <xf numFmtId="0" fontId="23" fillId="20" borderId="0" xfId="0" applyFont="1" applyFill="1" applyAlignment="1" applyProtection="1">
      <alignment vertical="center" wrapText="1"/>
      <protection hidden="1"/>
    </xf>
    <xf numFmtId="1" fontId="8" fillId="20" borderId="0" xfId="0" applyNumberFormat="1" applyFont="1" applyFill="1" applyAlignment="1" applyProtection="1">
      <alignment vertical="center" wrapText="1"/>
      <protection hidden="1"/>
    </xf>
    <xf numFmtId="0" fontId="10" fillId="6" borderId="0" xfId="0" applyFont="1" applyFill="1" applyAlignment="1" applyProtection="1">
      <alignment vertical="center" wrapText="1" shrinkToFit="1"/>
      <protection hidden="1"/>
    </xf>
    <xf numFmtId="0" fontId="27" fillId="0" borderId="0" xfId="0" applyFont="1" applyProtection="1">
      <protection hidden="1"/>
    </xf>
    <xf numFmtId="0" fontId="0" fillId="2" borderId="0" xfId="0" applyFill="1" applyProtection="1">
      <protection hidden="1"/>
    </xf>
    <xf numFmtId="165" fontId="12" fillId="3" borderId="0" xfId="0" applyNumberFormat="1" applyFont="1" applyFill="1" applyProtection="1">
      <protection hidden="1"/>
    </xf>
    <xf numFmtId="165" fontId="0" fillId="0" borderId="0" xfId="0" applyNumberFormat="1" applyProtection="1">
      <protection hidden="1"/>
    </xf>
    <xf numFmtId="2" fontId="4" fillId="11" borderId="0" xfId="0" applyNumberFormat="1" applyFont="1" applyFill="1" applyProtection="1">
      <protection hidden="1"/>
    </xf>
    <xf numFmtId="2" fontId="12" fillId="3" borderId="0" xfId="0" applyNumberFormat="1" applyFont="1" applyFill="1" applyProtection="1">
      <protection hidden="1"/>
    </xf>
    <xf numFmtId="165" fontId="8" fillId="0" borderId="0" xfId="0" applyNumberFormat="1" applyFont="1" applyProtection="1">
      <protection hidden="1"/>
    </xf>
    <xf numFmtId="2" fontId="23" fillId="9" borderId="0" xfId="0" applyNumberFormat="1" applyFont="1" applyFill="1" applyAlignment="1" applyProtection="1">
      <alignment horizontal="center"/>
      <protection hidden="1"/>
    </xf>
    <xf numFmtId="9" fontId="23" fillId="9" borderId="0" xfId="0" applyNumberFormat="1" applyFont="1" applyFill="1" applyAlignment="1" applyProtection="1">
      <alignment horizontal="center"/>
      <protection hidden="1"/>
    </xf>
    <xf numFmtId="0" fontId="27" fillId="7" borderId="0" xfId="0" applyFont="1" applyFill="1" applyProtection="1">
      <protection hidden="1"/>
    </xf>
    <xf numFmtId="0" fontId="27" fillId="6" borderId="0" xfId="0" applyFont="1" applyFill="1" applyProtection="1">
      <protection hidden="1"/>
    </xf>
    <xf numFmtId="0" fontId="35" fillId="0" borderId="0" xfId="0" applyFont="1" applyAlignment="1" applyProtection="1">
      <alignment vertical="center"/>
      <protection hidden="1"/>
    </xf>
    <xf numFmtId="0" fontId="11" fillId="2" borderId="0" xfId="0" applyFont="1" applyFill="1" applyProtection="1">
      <protection hidden="1"/>
    </xf>
    <xf numFmtId="165" fontId="11" fillId="3" borderId="0" xfId="0" applyNumberFormat="1" applyFont="1" applyFill="1" applyProtection="1">
      <protection hidden="1"/>
    </xf>
    <xf numFmtId="165" fontId="11" fillId="20" borderId="0" xfId="0" applyNumberFormat="1" applyFont="1" applyFill="1" applyProtection="1">
      <protection hidden="1"/>
    </xf>
    <xf numFmtId="2" fontId="11" fillId="20" borderId="0" xfId="0" applyNumberFormat="1" applyFont="1" applyFill="1" applyProtection="1">
      <protection hidden="1"/>
    </xf>
    <xf numFmtId="164" fontId="11" fillId="20" borderId="0" xfId="0" applyNumberFormat="1" applyFont="1" applyFill="1" applyAlignment="1" applyProtection="1">
      <alignment horizontal="center"/>
      <protection hidden="1"/>
    </xf>
    <xf numFmtId="2" fontId="11" fillId="20" borderId="0" xfId="0" applyNumberFormat="1" applyFont="1" applyFill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2" fontId="8" fillId="0" borderId="0" xfId="0" applyNumberFormat="1" applyFont="1" applyAlignment="1" applyProtection="1">
      <alignment horizontal="center" vertical="center"/>
      <protection hidden="1"/>
    </xf>
    <xf numFmtId="1" fontId="6" fillId="6" borderId="0" xfId="0" applyNumberFormat="1" applyFont="1" applyFill="1" applyAlignment="1" applyProtection="1">
      <alignment vertical="center" wrapText="1"/>
      <protection locked="0" hidden="1"/>
    </xf>
    <xf numFmtId="2" fontId="0" fillId="0" borderId="0" xfId="0" applyNumberFormat="1" applyAlignment="1" applyProtection="1">
      <alignment wrapText="1"/>
      <protection hidden="1"/>
    </xf>
    <xf numFmtId="1" fontId="8" fillId="0" borderId="0" xfId="0" applyNumberFormat="1" applyFont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wrapText="1"/>
      <protection hidden="1"/>
    </xf>
    <xf numFmtId="1" fontId="0" fillId="0" borderId="0" xfId="0" applyNumberFormat="1" applyAlignment="1" applyProtection="1">
      <alignment wrapText="1"/>
      <protection hidden="1"/>
    </xf>
    <xf numFmtId="0" fontId="6" fillId="20" borderId="0" xfId="0" applyFont="1" applyFill="1" applyProtection="1">
      <protection hidden="1"/>
    </xf>
    <xf numFmtId="2" fontId="0" fillId="20" borderId="0" xfId="0" applyNumberFormat="1" applyFill="1" applyProtection="1">
      <protection hidden="1"/>
    </xf>
    <xf numFmtId="1" fontId="0" fillId="20" borderId="0" xfId="0" applyNumberFormat="1" applyFill="1" applyProtection="1">
      <protection hidden="1"/>
    </xf>
    <xf numFmtId="2" fontId="8" fillId="0" borderId="0" xfId="0" applyNumberFormat="1" applyFont="1" applyProtection="1">
      <protection hidden="1"/>
    </xf>
    <xf numFmtId="0" fontId="62" fillId="0" borderId="38" xfId="0" applyFont="1" applyBorder="1" applyProtection="1">
      <protection hidden="1"/>
    </xf>
    <xf numFmtId="0" fontId="62" fillId="0" borderId="33" xfId="0" applyFont="1" applyBorder="1" applyProtection="1">
      <protection hidden="1"/>
    </xf>
    <xf numFmtId="2" fontId="0" fillId="0" borderId="0" xfId="0" applyNumberFormat="1"/>
    <xf numFmtId="3" fontId="4" fillId="25" borderId="0" xfId="0" applyNumberFormat="1" applyFont="1" applyFill="1" applyAlignment="1" applyProtection="1">
      <alignment horizontal="center" vertical="center"/>
      <protection hidden="1"/>
    </xf>
    <xf numFmtId="2" fontId="4" fillId="29" borderId="45" xfId="0" applyNumberFormat="1" applyFont="1" applyFill="1" applyBorder="1" applyProtection="1">
      <protection hidden="1"/>
    </xf>
    <xf numFmtId="0" fontId="4" fillId="29" borderId="45" xfId="0" applyFont="1" applyFill="1" applyBorder="1" applyProtection="1">
      <protection hidden="1"/>
    </xf>
    <xf numFmtId="0" fontId="4" fillId="29" borderId="46" xfId="0" applyFont="1" applyFill="1" applyBorder="1" applyProtection="1">
      <protection hidden="1"/>
    </xf>
    <xf numFmtId="164" fontId="30" fillId="11" borderId="1" xfId="0" applyNumberFormat="1" applyFont="1" applyFill="1" applyBorder="1"/>
    <xf numFmtId="164" fontId="32" fillId="11" borderId="2" xfId="0" applyNumberFormat="1" applyFont="1" applyFill="1" applyBorder="1" applyAlignment="1">
      <alignment horizontal="center"/>
    </xf>
    <xf numFmtId="164" fontId="3" fillId="11" borderId="2" xfId="0" applyNumberFormat="1" applyFont="1" applyFill="1" applyBorder="1" applyAlignment="1">
      <alignment horizontal="center"/>
    </xf>
    <xf numFmtId="164" fontId="3" fillId="11" borderId="11" xfId="0" applyNumberFormat="1" applyFont="1" applyFill="1" applyBorder="1" applyAlignment="1">
      <alignment horizontal="center"/>
    </xf>
    <xf numFmtId="164" fontId="3" fillId="12" borderId="1" xfId="0" applyNumberFormat="1" applyFont="1" applyFill="1" applyBorder="1" applyAlignment="1">
      <alignment horizontal="center"/>
    </xf>
    <xf numFmtId="164" fontId="3" fillId="12" borderId="2" xfId="0" applyNumberFormat="1" applyFont="1" applyFill="1" applyBorder="1" applyAlignment="1">
      <alignment horizontal="center"/>
    </xf>
    <xf numFmtId="164" fontId="3" fillId="12" borderId="11" xfId="0" applyNumberFormat="1" applyFont="1" applyFill="1" applyBorder="1" applyAlignment="1">
      <alignment horizontal="center"/>
    </xf>
    <xf numFmtId="164" fontId="30" fillId="18" borderId="1" xfId="0" applyNumberFormat="1" applyFont="1" applyFill="1" applyBorder="1"/>
    <xf numFmtId="164" fontId="32" fillId="18" borderId="2" xfId="0" applyNumberFormat="1" applyFont="1" applyFill="1" applyBorder="1" applyAlignment="1">
      <alignment horizontal="center"/>
    </xf>
    <xf numFmtId="164" fontId="3" fillId="18" borderId="2" xfId="0" applyNumberFormat="1" applyFont="1" applyFill="1" applyBorder="1" applyAlignment="1">
      <alignment horizontal="center"/>
    </xf>
    <xf numFmtId="164" fontId="3" fillId="18" borderId="11" xfId="0" applyNumberFormat="1" applyFont="1" applyFill="1" applyBorder="1" applyAlignment="1">
      <alignment horizontal="center"/>
    </xf>
    <xf numFmtId="164" fontId="3" fillId="11" borderId="12" xfId="0" applyNumberFormat="1" applyFont="1" applyFill="1" applyBorder="1" applyAlignment="1">
      <alignment horizontal="center"/>
    </xf>
    <xf numFmtId="164" fontId="30" fillId="13" borderId="1" xfId="0" applyNumberFormat="1" applyFont="1" applyFill="1" applyBorder="1"/>
    <xf numFmtId="164" fontId="32" fillId="13" borderId="2" xfId="0" applyNumberFormat="1" applyFont="1" applyFill="1" applyBorder="1" applyAlignment="1">
      <alignment horizontal="center"/>
    </xf>
    <xf numFmtId="164" fontId="3" fillId="13" borderId="2" xfId="0" applyNumberFormat="1" applyFont="1" applyFill="1" applyBorder="1" applyAlignment="1">
      <alignment horizontal="center"/>
    </xf>
    <xf numFmtId="164" fontId="3" fillId="13" borderId="11" xfId="0" applyNumberFormat="1" applyFont="1" applyFill="1" applyBorder="1" applyAlignment="1">
      <alignment horizontal="center"/>
    </xf>
    <xf numFmtId="164" fontId="47" fillId="13" borderId="1" xfId="0" applyNumberFormat="1" applyFont="1" applyFill="1" applyBorder="1"/>
    <xf numFmtId="164" fontId="47" fillId="13" borderId="2" xfId="0" applyNumberFormat="1" applyFont="1" applyFill="1" applyBorder="1" applyAlignment="1">
      <alignment horizontal="center"/>
    </xf>
    <xf numFmtId="164" fontId="47" fillId="13" borderId="11" xfId="0" applyNumberFormat="1" applyFont="1" applyFill="1" applyBorder="1" applyAlignment="1">
      <alignment horizontal="center"/>
    </xf>
    <xf numFmtId="164" fontId="8" fillId="13" borderId="11" xfId="0" applyNumberFormat="1" applyFont="1" applyFill="1" applyBorder="1"/>
    <xf numFmtId="164" fontId="30" fillId="13" borderId="3" xfId="0" applyNumberFormat="1" applyFont="1" applyFill="1" applyBorder="1"/>
    <xf numFmtId="164" fontId="32" fillId="13" borderId="4" xfId="0" applyNumberFormat="1" applyFont="1" applyFill="1" applyBorder="1" applyAlignment="1">
      <alignment horizontal="center"/>
    </xf>
    <xf numFmtId="164" fontId="3" fillId="13" borderId="4" xfId="0" applyNumberFormat="1" applyFont="1" applyFill="1" applyBorder="1" applyAlignment="1">
      <alignment horizontal="center"/>
    </xf>
    <xf numFmtId="164" fontId="8" fillId="13" borderId="13" xfId="0" applyNumberFormat="1" applyFont="1" applyFill="1" applyBorder="1"/>
    <xf numFmtId="2" fontId="0" fillId="26" borderId="0" xfId="0" applyNumberFormat="1" applyFill="1" applyProtection="1">
      <protection hidden="1"/>
    </xf>
    <xf numFmtId="165" fontId="0" fillId="30" borderId="0" xfId="0" applyNumberFormat="1" applyFill="1" applyProtection="1">
      <protection hidden="1"/>
    </xf>
    <xf numFmtId="165" fontId="0" fillId="22" borderId="0" xfId="0" applyNumberFormat="1" applyFill="1" applyProtection="1">
      <protection hidden="1"/>
    </xf>
    <xf numFmtId="2" fontId="0" fillId="11" borderId="45" xfId="0" applyNumberFormat="1" applyFill="1" applyBorder="1" applyProtection="1">
      <protection hidden="1"/>
    </xf>
    <xf numFmtId="2" fontId="0" fillId="11" borderId="46" xfId="0" applyNumberFormat="1" applyFill="1" applyBorder="1" applyProtection="1">
      <protection hidden="1"/>
    </xf>
    <xf numFmtId="0" fontId="72" fillId="19" borderId="44" xfId="0" applyFont="1" applyFill="1" applyBorder="1" applyProtection="1">
      <protection hidden="1"/>
    </xf>
    <xf numFmtId="2" fontId="0" fillId="11" borderId="47" xfId="0" applyNumberFormat="1" applyFill="1" applyBorder="1" applyProtection="1">
      <protection hidden="1"/>
    </xf>
    <xf numFmtId="0" fontId="8" fillId="2" borderId="0" xfId="0" applyFont="1" applyFill="1" applyAlignment="1" applyProtection="1">
      <alignment vertical="center" wrapText="1"/>
      <protection hidden="1"/>
    </xf>
    <xf numFmtId="0" fontId="0" fillId="0" borderId="0" xfId="0" applyAlignment="1" applyProtection="1">
      <alignment vertical="center" wrapText="1"/>
      <protection hidden="1"/>
    </xf>
    <xf numFmtId="0" fontId="0" fillId="19" borderId="1" xfId="0" applyFill="1" applyBorder="1" applyProtection="1">
      <protection hidden="1"/>
    </xf>
    <xf numFmtId="0" fontId="11" fillId="19" borderId="3" xfId="0" applyFont="1" applyFill="1" applyBorder="1" applyProtection="1">
      <protection hidden="1"/>
    </xf>
    <xf numFmtId="2" fontId="75" fillId="19" borderId="13" xfId="0" applyNumberFormat="1" applyFont="1" applyFill="1" applyBorder="1" applyProtection="1">
      <protection hidden="1"/>
    </xf>
    <xf numFmtId="1" fontId="75" fillId="19" borderId="11" xfId="0" applyNumberFormat="1" applyFont="1" applyFill="1" applyBorder="1" applyAlignment="1" applyProtection="1">
      <alignment horizontal="center"/>
      <protection hidden="1"/>
    </xf>
    <xf numFmtId="2" fontId="16" fillId="0" borderId="0" xfId="0" applyNumberFormat="1" applyFont="1" applyAlignment="1" applyProtection="1">
      <alignment horizontal="center"/>
      <protection hidden="1"/>
    </xf>
    <xf numFmtId="0" fontId="62" fillId="0" borderId="38" xfId="0" applyFont="1" applyBorder="1"/>
    <xf numFmtId="0" fontId="20" fillId="0" borderId="38" xfId="0" applyFont="1" applyBorder="1" applyAlignment="1">
      <alignment wrapText="1"/>
    </xf>
    <xf numFmtId="0" fontId="20" fillId="0" borderId="0" xfId="0" applyFont="1" applyAlignment="1">
      <alignment wrapText="1"/>
    </xf>
    <xf numFmtId="0" fontId="27" fillId="6" borderId="0" xfId="0" applyFont="1" applyFill="1"/>
    <xf numFmtId="0" fontId="35" fillId="0" borderId="0" xfId="0" applyFont="1" applyAlignment="1">
      <alignment vertical="center"/>
    </xf>
    <xf numFmtId="0" fontId="21" fillId="0" borderId="3" xfId="0" applyFont="1" applyBorder="1" applyAlignment="1">
      <alignment horizontal="left" vertical="center" wrapText="1" shrinkToFit="1"/>
    </xf>
    <xf numFmtId="0" fontId="62" fillId="0" borderId="33" xfId="0" applyFont="1" applyBorder="1"/>
    <xf numFmtId="0" fontId="0" fillId="0" borderId="0" xfId="0" applyAlignment="1">
      <alignment horizontal="center" wrapText="1"/>
    </xf>
    <xf numFmtId="0" fontId="0" fillId="19" borderId="0" xfId="0" applyFill="1" applyAlignment="1">
      <alignment horizontal="right" wrapText="1"/>
    </xf>
    <xf numFmtId="2" fontId="0" fillId="19" borderId="0" xfId="0" applyNumberFormat="1" applyFill="1" applyAlignment="1">
      <alignment horizontal="center" wrapText="1"/>
    </xf>
    <xf numFmtId="0" fontId="62" fillId="20" borderId="38" xfId="0" applyFont="1" applyFill="1" applyBorder="1"/>
    <xf numFmtId="0" fontId="0" fillId="19" borderId="0" xfId="0" applyFill="1" applyAlignment="1">
      <alignment wrapText="1"/>
    </xf>
    <xf numFmtId="0" fontId="0" fillId="19" borderId="0" xfId="0" applyFill="1" applyAlignment="1">
      <alignment horizontal="center" wrapText="1"/>
    </xf>
    <xf numFmtId="0" fontId="67" fillId="28" borderId="0" xfId="0" applyFont="1" applyFill="1" applyAlignment="1">
      <alignment vertical="center" wrapText="1"/>
    </xf>
    <xf numFmtId="0" fontId="67" fillId="19" borderId="0" xfId="0" applyFont="1" applyFill="1" applyAlignment="1">
      <alignment horizontal="center" vertical="center" wrapText="1"/>
    </xf>
    <xf numFmtId="0" fontId="67" fillId="19" borderId="0" xfId="0" applyFont="1" applyFill="1" applyAlignment="1">
      <alignment vertical="center" wrapText="1"/>
    </xf>
    <xf numFmtId="0" fontId="67" fillId="0" borderId="0" xfId="0" applyFont="1" applyAlignment="1">
      <alignment horizontal="left" vertical="center" wrapText="1"/>
    </xf>
    <xf numFmtId="0" fontId="67" fillId="0" borderId="0" xfId="0" applyFont="1" applyAlignment="1">
      <alignment horizontal="center" vertical="center" wrapText="1"/>
    </xf>
    <xf numFmtId="0" fontId="62" fillId="0" borderId="0" xfId="0" applyFont="1"/>
    <xf numFmtId="0" fontId="22" fillId="0" borderId="0" xfId="0" applyFont="1" applyAlignment="1">
      <alignment horizontal="left"/>
    </xf>
    <xf numFmtId="2" fontId="8" fillId="0" borderId="0" xfId="0" applyNumberFormat="1" applyFont="1" applyAlignment="1" applyProtection="1">
      <alignment wrapText="1"/>
      <protection hidden="1"/>
    </xf>
    <xf numFmtId="164" fontId="47" fillId="12" borderId="2" xfId="0" applyNumberFormat="1" applyFont="1" applyFill="1" applyBorder="1" applyAlignment="1">
      <alignment horizontal="center"/>
    </xf>
    <xf numFmtId="0" fontId="8" fillId="17" borderId="0" xfId="0" applyFont="1" applyFill="1" applyProtection="1">
      <protection locked="0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wrapText="1"/>
    </xf>
    <xf numFmtId="0" fontId="0" fillId="18" borderId="0" xfId="0" applyFill="1"/>
    <xf numFmtId="0" fontId="0" fillId="18" borderId="10" xfId="0" applyFill="1" applyBorder="1"/>
    <xf numFmtId="0" fontId="0" fillId="18" borderId="35" xfId="0" applyFill="1" applyBorder="1" applyAlignment="1">
      <alignment wrapText="1"/>
    </xf>
    <xf numFmtId="1" fontId="69" fillId="0" borderId="0" xfId="0" applyNumberFormat="1" applyFont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locked="0"/>
    </xf>
    <xf numFmtId="167" fontId="0" fillId="0" borderId="0" xfId="0" applyNumberFormat="1" applyAlignment="1" applyProtection="1">
      <alignment horizontal="left"/>
      <protection locked="0"/>
    </xf>
    <xf numFmtId="0" fontId="0" fillId="17" borderId="25" xfId="0" applyFill="1" applyBorder="1" applyAlignment="1">
      <alignment horizontal="left"/>
    </xf>
    <xf numFmtId="0" fontId="0" fillId="17" borderId="0" xfId="0" applyFill="1" applyAlignment="1">
      <alignment horizontal="left"/>
    </xf>
    <xf numFmtId="0" fontId="0" fillId="17" borderId="9" xfId="0" applyFill="1" applyBorder="1" applyAlignment="1">
      <alignment horizontal="left"/>
    </xf>
    <xf numFmtId="0" fontId="0" fillId="17" borderId="15" xfId="0" applyFill="1" applyBorder="1" applyAlignment="1">
      <alignment horizontal="left"/>
    </xf>
    <xf numFmtId="0" fontId="0" fillId="17" borderId="0" xfId="0" applyFill="1" applyAlignment="1" applyProtection="1">
      <alignment horizontal="left"/>
      <protection locked="0"/>
    </xf>
    <xf numFmtId="0" fontId="0" fillId="17" borderId="27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17" borderId="28" xfId="0" applyFill="1" applyBorder="1" applyAlignment="1">
      <alignment horizontal="left"/>
    </xf>
    <xf numFmtId="0" fontId="0" fillId="18" borderId="2" xfId="0" applyFill="1" applyBorder="1"/>
    <xf numFmtId="2" fontId="0" fillId="18" borderId="2" xfId="0" applyNumberFormat="1" applyFill="1" applyBorder="1"/>
    <xf numFmtId="0" fontId="8" fillId="18" borderId="2" xfId="0" applyFont="1" applyFill="1" applyBorder="1"/>
    <xf numFmtId="0" fontId="0" fillId="18" borderId="16" xfId="0" applyFill="1" applyBorder="1"/>
    <xf numFmtId="2" fontId="0" fillId="18" borderId="1" xfId="0" applyNumberFormat="1" applyFill="1" applyBorder="1"/>
    <xf numFmtId="0" fontId="0" fillId="18" borderId="11" xfId="0" applyFill="1" applyBorder="1"/>
    <xf numFmtId="1" fontId="0" fillId="18" borderId="1" xfId="0" applyNumberFormat="1" applyFill="1" applyBorder="1"/>
    <xf numFmtId="1" fontId="0" fillId="18" borderId="3" xfId="0" applyNumberFormat="1" applyFill="1" applyBorder="1"/>
    <xf numFmtId="0" fontId="0" fillId="18" borderId="4" xfId="0" applyFill="1" applyBorder="1"/>
    <xf numFmtId="0" fontId="0" fillId="18" borderId="13" xfId="0" applyFill="1" applyBorder="1"/>
    <xf numFmtId="0" fontId="0" fillId="18" borderId="1" xfId="0" applyFill="1" applyBorder="1"/>
    <xf numFmtId="0" fontId="0" fillId="18" borderId="3" xfId="0" applyFill="1" applyBorder="1"/>
    <xf numFmtId="2" fontId="0" fillId="18" borderId="4" xfId="0" applyNumberFormat="1" applyFill="1" applyBorder="1"/>
    <xf numFmtId="1" fontId="4" fillId="25" borderId="0" xfId="0" applyNumberFormat="1" applyFont="1" applyFill="1" applyAlignment="1" applyProtection="1">
      <alignment horizontal="center" vertical="center"/>
      <protection hidden="1"/>
    </xf>
    <xf numFmtId="0" fontId="0" fillId="0" borderId="27" xfId="0" applyBorder="1"/>
    <xf numFmtId="0" fontId="0" fillId="0" borderId="29" xfId="0" applyBorder="1"/>
    <xf numFmtId="0" fontId="0" fillId="0" borderId="28" xfId="0" applyBorder="1"/>
    <xf numFmtId="0" fontId="0" fillId="0" borderId="48" xfId="0" applyBorder="1"/>
    <xf numFmtId="0" fontId="0" fillId="0" borderId="14" xfId="0" applyBorder="1"/>
    <xf numFmtId="0" fontId="8" fillId="0" borderId="16" xfId="0" applyFont="1" applyBorder="1"/>
    <xf numFmtId="0" fontId="0" fillId="0" borderId="3" xfId="0" applyBorder="1"/>
    <xf numFmtId="0" fontId="8" fillId="0" borderId="13" xfId="0" applyFont="1" applyBorder="1"/>
    <xf numFmtId="0" fontId="9" fillId="9" borderId="14" xfId="0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 wrapText="1"/>
    </xf>
    <xf numFmtId="0" fontId="9" fillId="9" borderId="16" xfId="0" applyFont="1" applyFill="1" applyBorder="1" applyAlignment="1">
      <alignment horizontal="center" vertical="center" wrapText="1"/>
    </xf>
    <xf numFmtId="2" fontId="8" fillId="18" borderId="1" xfId="0" applyNumberFormat="1" applyFont="1" applyFill="1" applyBorder="1"/>
    <xf numFmtId="1" fontId="0" fillId="7" borderId="0" xfId="0" applyNumberFormat="1" applyFill="1"/>
    <xf numFmtId="1" fontId="0" fillId="0" borderId="0" xfId="0" applyNumberFormat="1" applyAlignment="1">
      <alignment horizontal="left"/>
    </xf>
    <xf numFmtId="0" fontId="0" fillId="7" borderId="0" xfId="0" applyFill="1" applyProtection="1">
      <protection hidden="1"/>
    </xf>
    <xf numFmtId="2" fontId="0" fillId="7" borderId="0" xfId="0" applyNumberFormat="1" applyFill="1" applyProtection="1">
      <protection hidden="1"/>
    </xf>
    <xf numFmtId="167" fontId="0" fillId="0" borderId="0" xfId="0" applyNumberFormat="1" applyAlignment="1" applyProtection="1">
      <alignment horizontal="center" vertical="center"/>
      <protection hidden="1"/>
    </xf>
    <xf numFmtId="0" fontId="0" fillId="27" borderId="0" xfId="0" applyFill="1" applyAlignment="1" applyProtection="1">
      <alignment horizontal="center"/>
      <protection hidden="1"/>
    </xf>
    <xf numFmtId="1" fontId="0" fillId="7" borderId="0" xfId="0" applyNumberFormat="1" applyFill="1" applyProtection="1">
      <protection hidden="1"/>
    </xf>
    <xf numFmtId="0" fontId="8" fillId="7" borderId="0" xfId="0" applyFont="1" applyFill="1" applyProtection="1">
      <protection hidden="1"/>
    </xf>
    <xf numFmtId="167" fontId="0" fillId="7" borderId="0" xfId="0" applyNumberFormat="1" applyFill="1" applyProtection="1">
      <protection hidden="1"/>
    </xf>
    <xf numFmtId="165" fontId="0" fillId="7" borderId="0" xfId="0" applyNumberFormat="1" applyFill="1" applyProtection="1">
      <protection hidden="1"/>
    </xf>
    <xf numFmtId="0" fontId="21" fillId="6" borderId="1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31" fillId="6" borderId="36" xfId="0" applyFont="1" applyFill="1" applyBorder="1" applyAlignment="1">
      <alignment horizontal="center"/>
    </xf>
    <xf numFmtId="1" fontId="30" fillId="6" borderId="1" xfId="0" applyNumberFormat="1" applyFont="1" applyFill="1" applyBorder="1"/>
    <xf numFmtId="1" fontId="32" fillId="6" borderId="2" xfId="0" applyNumberFormat="1" applyFont="1" applyFill="1" applyBorder="1" applyAlignment="1">
      <alignment horizontal="center"/>
    </xf>
    <xf numFmtId="1" fontId="3" fillId="6" borderId="2" xfId="0" applyNumberFormat="1" applyFont="1" applyFill="1" applyBorder="1" applyAlignment="1">
      <alignment horizontal="center"/>
    </xf>
    <xf numFmtId="1" fontId="3" fillId="6" borderId="11" xfId="0" applyNumberFormat="1" applyFont="1" applyFill="1" applyBorder="1" applyAlignment="1">
      <alignment horizontal="center"/>
    </xf>
    <xf numFmtId="1" fontId="3" fillId="6" borderId="1" xfId="0" applyNumberFormat="1" applyFont="1" applyFill="1" applyBorder="1" applyAlignment="1">
      <alignment horizontal="center"/>
    </xf>
    <xf numFmtId="0" fontId="30" fillId="6" borderId="1" xfId="0" applyFont="1" applyFill="1" applyBorder="1"/>
    <xf numFmtId="0" fontId="32" fillId="6" borderId="2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1" fontId="30" fillId="6" borderId="1" xfId="0" applyNumberFormat="1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1" fillId="6" borderId="3" xfId="0" applyFont="1" applyFill="1" applyBorder="1"/>
    <xf numFmtId="0" fontId="21" fillId="6" borderId="13" xfId="0" applyFont="1" applyFill="1" applyBorder="1"/>
    <xf numFmtId="1" fontId="8" fillId="6" borderId="11" xfId="0" applyNumberFormat="1" applyFont="1" applyFill="1" applyBorder="1"/>
    <xf numFmtId="0" fontId="21" fillId="13" borderId="1" xfId="0" applyFont="1" applyFill="1" applyBorder="1" applyAlignment="1">
      <alignment horizontal="center"/>
    </xf>
    <xf numFmtId="0" fontId="21" fillId="13" borderId="11" xfId="0" applyFont="1" applyFill="1" applyBorder="1" applyAlignment="1">
      <alignment horizontal="center"/>
    </xf>
    <xf numFmtId="0" fontId="31" fillId="13" borderId="36" xfId="0" applyFont="1" applyFill="1" applyBorder="1" applyAlignment="1">
      <alignment horizontal="center"/>
    </xf>
    <xf numFmtId="1" fontId="30" fillId="13" borderId="1" xfId="0" applyNumberFormat="1" applyFont="1" applyFill="1" applyBorder="1" applyAlignment="1">
      <alignment horizontal="center"/>
    </xf>
    <xf numFmtId="1" fontId="32" fillId="13" borderId="2" xfId="0" applyNumberFormat="1" applyFont="1" applyFill="1" applyBorder="1" applyAlignment="1">
      <alignment horizontal="center"/>
    </xf>
    <xf numFmtId="1" fontId="3" fillId="13" borderId="2" xfId="0" applyNumberFormat="1" applyFont="1" applyFill="1" applyBorder="1" applyAlignment="1">
      <alignment horizontal="center"/>
    </xf>
    <xf numFmtId="1" fontId="3" fillId="13" borderId="11" xfId="0" applyNumberFormat="1" applyFont="1" applyFill="1" applyBorder="1" applyAlignment="1">
      <alignment horizontal="center"/>
    </xf>
    <xf numFmtId="0" fontId="2" fillId="13" borderId="12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/>
    </xf>
    <xf numFmtId="0" fontId="21" fillId="11" borderId="11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8" fillId="6" borderId="0" xfId="0" applyFont="1" applyFill="1"/>
    <xf numFmtId="2" fontId="8" fillId="6" borderId="0" xfId="0" applyNumberFormat="1" applyFont="1" applyFill="1"/>
    <xf numFmtId="0" fontId="21" fillId="18" borderId="1" xfId="0" applyFont="1" applyFill="1" applyBorder="1" applyAlignment="1">
      <alignment horizontal="center"/>
    </xf>
    <xf numFmtId="0" fontId="21" fillId="18" borderId="11" xfId="0" applyFont="1" applyFill="1" applyBorder="1" applyAlignment="1">
      <alignment horizontal="center"/>
    </xf>
    <xf numFmtId="0" fontId="31" fillId="18" borderId="36" xfId="0" applyFont="1" applyFill="1" applyBorder="1" applyAlignment="1">
      <alignment horizontal="center"/>
    </xf>
    <xf numFmtId="1" fontId="30" fillId="18" borderId="1" xfId="0" applyNumberFormat="1" applyFont="1" applyFill="1" applyBorder="1" applyAlignment="1">
      <alignment horizontal="center"/>
    </xf>
    <xf numFmtId="1" fontId="32" fillId="18" borderId="2" xfId="0" applyNumberFormat="1" applyFont="1" applyFill="1" applyBorder="1" applyAlignment="1">
      <alignment horizontal="center"/>
    </xf>
    <xf numFmtId="1" fontId="3" fillId="18" borderId="2" xfId="0" applyNumberFormat="1" applyFont="1" applyFill="1" applyBorder="1" applyAlignment="1">
      <alignment horizontal="center"/>
    </xf>
    <xf numFmtId="1" fontId="3" fillId="18" borderId="11" xfId="0" applyNumberFormat="1" applyFont="1" applyFill="1" applyBorder="1" applyAlignment="1">
      <alignment horizontal="center"/>
    </xf>
    <xf numFmtId="0" fontId="48" fillId="13" borderId="2" xfId="0" applyFont="1" applyFill="1" applyBorder="1" applyAlignment="1">
      <alignment horizontal="center"/>
    </xf>
    <xf numFmtId="0" fontId="8" fillId="13" borderId="0" xfId="0" applyFont="1" applyFill="1"/>
    <xf numFmtId="0" fontId="21" fillId="12" borderId="1" xfId="0" applyFont="1" applyFill="1" applyBorder="1" applyAlignment="1">
      <alignment horizontal="center"/>
    </xf>
    <xf numFmtId="0" fontId="21" fillId="12" borderId="11" xfId="0" applyFont="1" applyFill="1" applyBorder="1" applyAlignment="1">
      <alignment horizontal="center"/>
    </xf>
    <xf numFmtId="0" fontId="31" fillId="12" borderId="36" xfId="0" applyFont="1" applyFill="1" applyBorder="1" applyAlignment="1">
      <alignment horizontal="center"/>
    </xf>
    <xf numFmtId="1" fontId="30" fillId="12" borderId="1" xfId="0" applyNumberFormat="1" applyFont="1" applyFill="1" applyBorder="1" applyAlignment="1">
      <alignment horizontal="center"/>
    </xf>
    <xf numFmtId="1" fontId="32" fillId="12" borderId="2" xfId="0" applyNumberFormat="1" applyFont="1" applyFill="1" applyBorder="1" applyAlignment="1">
      <alignment horizontal="center"/>
    </xf>
    <xf numFmtId="0" fontId="30" fillId="12" borderId="1" xfId="0" applyFont="1" applyFill="1" applyBorder="1"/>
    <xf numFmtId="0" fontId="32" fillId="12" borderId="2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11" xfId="0" applyFont="1" applyFill="1" applyBorder="1" applyAlignment="1">
      <alignment horizontal="center"/>
    </xf>
    <xf numFmtId="0" fontId="8" fillId="12" borderId="0" xfId="0" applyFont="1" applyFill="1"/>
    <xf numFmtId="0" fontId="31" fillId="11" borderId="36" xfId="0" applyFont="1" applyFill="1" applyBorder="1" applyAlignment="1">
      <alignment horizontal="center"/>
    </xf>
    <xf numFmtId="0" fontId="8" fillId="11" borderId="0" xfId="0" applyFont="1" applyFill="1"/>
    <xf numFmtId="0" fontId="8" fillId="18" borderId="0" xfId="0" applyFont="1" applyFill="1"/>
    <xf numFmtId="1" fontId="8" fillId="13" borderId="11" xfId="0" applyNumberFormat="1" applyFont="1" applyFill="1" applyBorder="1" applyAlignment="1">
      <alignment horizontal="center"/>
    </xf>
    <xf numFmtId="2" fontId="8" fillId="13" borderId="0" xfId="0" applyNumberFormat="1" applyFont="1" applyFill="1"/>
    <xf numFmtId="1" fontId="30" fillId="9" borderId="1" xfId="0" applyNumberFormat="1" applyFont="1" applyFill="1" applyBorder="1" applyAlignment="1">
      <alignment horizontal="center"/>
    </xf>
    <xf numFmtId="1" fontId="30" fillId="9" borderId="3" xfId="0" applyNumberFormat="1" applyFont="1" applyFill="1" applyBorder="1" applyAlignment="1">
      <alignment horizontal="center"/>
    </xf>
    <xf numFmtId="0" fontId="7" fillId="0" borderId="0" xfId="0" applyFont="1" applyAlignment="1" applyProtection="1">
      <alignment wrapText="1"/>
      <protection hidden="1"/>
    </xf>
    <xf numFmtId="2" fontId="9" fillId="0" borderId="0" xfId="0" applyNumberFormat="1" applyFont="1" applyAlignment="1" applyProtection="1">
      <alignment wrapText="1"/>
      <protection hidden="1"/>
    </xf>
    <xf numFmtId="1" fontId="30" fillId="6" borderId="45" xfId="0" applyNumberFormat="1" applyFont="1" applyFill="1" applyBorder="1" applyAlignment="1">
      <alignment horizontal="center"/>
    </xf>
    <xf numFmtId="0" fontId="0" fillId="0" borderId="9" xfId="0" applyBorder="1"/>
    <xf numFmtId="0" fontId="31" fillId="6" borderId="36" xfId="0" applyFont="1" applyFill="1" applyBorder="1" applyAlignment="1">
      <alignment horizontal="center" vertical="center"/>
    </xf>
    <xf numFmtId="1" fontId="32" fillId="6" borderId="2" xfId="0" applyNumberFormat="1" applyFont="1" applyFill="1" applyBorder="1" applyAlignment="1">
      <alignment horizontal="center" vertical="center"/>
    </xf>
    <xf numFmtId="1" fontId="3" fillId="6" borderId="2" xfId="0" applyNumberFormat="1" applyFont="1" applyFill="1" applyBorder="1" applyAlignment="1">
      <alignment horizontal="center" vertical="center"/>
    </xf>
    <xf numFmtId="1" fontId="3" fillId="6" borderId="11" xfId="0" applyNumberFormat="1" applyFont="1" applyFill="1" applyBorder="1" applyAlignment="1">
      <alignment horizontal="center" vertical="center"/>
    </xf>
    <xf numFmtId="1" fontId="30" fillId="6" borderId="1" xfId="0" applyNumberFormat="1" applyFont="1" applyFill="1" applyBorder="1" applyAlignment="1">
      <alignment horizontal="center" vertical="center"/>
    </xf>
    <xf numFmtId="0" fontId="31" fillId="7" borderId="36" xfId="0" applyFont="1" applyFill="1" applyBorder="1" applyAlignment="1">
      <alignment horizontal="center"/>
    </xf>
    <xf numFmtId="1" fontId="30" fillId="7" borderId="3" xfId="0" applyNumberFormat="1" applyFont="1" applyFill="1" applyBorder="1" applyAlignment="1">
      <alignment horizontal="center"/>
    </xf>
    <xf numFmtId="1" fontId="32" fillId="7" borderId="4" xfId="0" applyNumberFormat="1" applyFont="1" applyFill="1" applyBorder="1" applyAlignment="1">
      <alignment horizontal="center"/>
    </xf>
    <xf numFmtId="1" fontId="3" fillId="7" borderId="4" xfId="0" applyNumberFormat="1" applyFont="1" applyFill="1" applyBorder="1" applyAlignment="1">
      <alignment horizontal="center"/>
    </xf>
    <xf numFmtId="1" fontId="8" fillId="7" borderId="13" xfId="0" applyNumberFormat="1" applyFont="1" applyFill="1" applyBorder="1"/>
    <xf numFmtId="0" fontId="8" fillId="9" borderId="13" xfId="0" applyFont="1" applyFill="1" applyBorder="1" applyAlignment="1">
      <alignment horizontal="center"/>
    </xf>
    <xf numFmtId="0" fontId="9" fillId="9" borderId="44" xfId="0" applyFont="1" applyFill="1" applyBorder="1" applyAlignment="1">
      <alignment horizontal="center" vertical="center" wrapText="1"/>
    </xf>
    <xf numFmtId="1" fontId="30" fillId="6" borderId="45" xfId="0" applyNumberFormat="1" applyFont="1" applyFill="1" applyBorder="1" applyAlignment="1">
      <alignment horizontal="center" vertical="center"/>
    </xf>
    <xf numFmtId="1" fontId="30" fillId="18" borderId="45" xfId="0" applyNumberFormat="1" applyFont="1" applyFill="1" applyBorder="1" applyAlignment="1">
      <alignment horizontal="center"/>
    </xf>
    <xf numFmtId="1" fontId="30" fillId="13" borderId="45" xfId="0" applyNumberFormat="1" applyFont="1" applyFill="1" applyBorder="1" applyAlignment="1">
      <alignment horizontal="center"/>
    </xf>
    <xf numFmtId="1" fontId="30" fillId="12" borderId="45" xfId="0" applyNumberFormat="1" applyFont="1" applyFill="1" applyBorder="1" applyAlignment="1">
      <alignment horizontal="center"/>
    </xf>
    <xf numFmtId="1" fontId="30" fillId="11" borderId="45" xfId="0" applyNumberFormat="1" applyFont="1" applyFill="1" applyBorder="1" applyAlignment="1">
      <alignment horizontal="center"/>
    </xf>
    <xf numFmtId="1" fontId="30" fillId="9" borderId="45" xfId="0" applyNumberFormat="1" applyFont="1" applyFill="1" applyBorder="1" applyAlignment="1">
      <alignment horizontal="center"/>
    </xf>
    <xf numFmtId="1" fontId="30" fillId="7" borderId="46" xfId="0" applyNumberFormat="1" applyFont="1" applyFill="1" applyBorder="1" applyAlignment="1">
      <alignment horizontal="center"/>
    </xf>
    <xf numFmtId="0" fontId="30" fillId="11" borderId="45" xfId="0" applyFont="1" applyFill="1" applyBorder="1" applyAlignment="1">
      <alignment horizontal="center"/>
    </xf>
    <xf numFmtId="0" fontId="31" fillId="12" borderId="37" xfId="0" applyFont="1" applyFill="1" applyBorder="1" applyAlignment="1">
      <alignment horizontal="center"/>
    </xf>
    <xf numFmtId="1" fontId="30" fillId="12" borderId="46" xfId="0" applyNumberFormat="1" applyFont="1" applyFill="1" applyBorder="1" applyAlignment="1">
      <alignment horizontal="center"/>
    </xf>
    <xf numFmtId="1" fontId="31" fillId="6" borderId="1" xfId="0" applyNumberFormat="1" applyFont="1" applyFill="1" applyBorder="1" applyAlignment="1">
      <alignment horizontal="center"/>
    </xf>
    <xf numFmtId="1" fontId="31" fillId="12" borderId="4" xfId="0" applyNumberFormat="1" applyFont="1" applyFill="1" applyBorder="1" applyAlignment="1">
      <alignment horizontal="center"/>
    </xf>
    <xf numFmtId="1" fontId="48" fillId="12" borderId="13" xfId="0" applyNumberFormat="1" applyFont="1" applyFill="1" applyBorder="1" applyAlignment="1">
      <alignment horizontal="center"/>
    </xf>
    <xf numFmtId="0" fontId="4" fillId="9" borderId="35" xfId="0" applyFont="1" applyFill="1" applyBorder="1" applyAlignment="1">
      <alignment wrapText="1"/>
    </xf>
    <xf numFmtId="0" fontId="17" fillId="9" borderId="14" xfId="0" applyFont="1" applyFill="1" applyBorder="1" applyAlignment="1">
      <alignment horizontal="center" vertical="center" wrapText="1"/>
    </xf>
    <xf numFmtId="0" fontId="19" fillId="0" borderId="0" xfId="0" applyFont="1"/>
    <xf numFmtId="0" fontId="91" fillId="11" borderId="1" xfId="0" applyFont="1" applyFill="1" applyBorder="1" applyAlignment="1">
      <alignment horizontal="center"/>
    </xf>
    <xf numFmtId="1" fontId="91" fillId="6" borderId="1" xfId="0" applyNumberFormat="1" applyFont="1" applyFill="1" applyBorder="1" applyAlignment="1">
      <alignment horizontal="center" vertical="center"/>
    </xf>
    <xf numFmtId="1" fontId="91" fillId="18" borderId="1" xfId="0" applyNumberFormat="1" applyFont="1" applyFill="1" applyBorder="1" applyAlignment="1">
      <alignment horizontal="center"/>
    </xf>
    <xf numFmtId="1" fontId="91" fillId="6" borderId="1" xfId="0" applyNumberFormat="1" applyFont="1" applyFill="1" applyBorder="1" applyAlignment="1">
      <alignment horizontal="center"/>
    </xf>
    <xf numFmtId="1" fontId="91" fillId="13" borderId="1" xfId="0" applyNumberFormat="1" applyFont="1" applyFill="1" applyBorder="1" applyAlignment="1">
      <alignment horizontal="center"/>
    </xf>
    <xf numFmtId="1" fontId="91" fillId="12" borderId="3" xfId="0" applyNumberFormat="1" applyFont="1" applyFill="1" applyBorder="1" applyAlignment="1">
      <alignment horizontal="center"/>
    </xf>
    <xf numFmtId="0" fontId="91" fillId="11" borderId="2" xfId="0" applyFont="1" applyFill="1" applyBorder="1" applyAlignment="1">
      <alignment horizontal="center"/>
    </xf>
    <xf numFmtId="1" fontId="91" fillId="6" borderId="2" xfId="0" applyNumberFormat="1" applyFont="1" applyFill="1" applyBorder="1" applyAlignment="1">
      <alignment horizontal="center" vertical="center"/>
    </xf>
    <xf numFmtId="1" fontId="91" fillId="18" borderId="2" xfId="0" applyNumberFormat="1" applyFont="1" applyFill="1" applyBorder="1" applyAlignment="1">
      <alignment horizontal="center"/>
    </xf>
    <xf numFmtId="1" fontId="91" fillId="13" borderId="2" xfId="0" applyNumberFormat="1" applyFont="1" applyFill="1" applyBorder="1" applyAlignment="1">
      <alignment horizontal="center"/>
    </xf>
    <xf numFmtId="1" fontId="91" fillId="12" borderId="4" xfId="0" applyNumberFormat="1" applyFont="1" applyFill="1" applyBorder="1" applyAlignment="1">
      <alignment horizontal="center"/>
    </xf>
    <xf numFmtId="0" fontId="91" fillId="11" borderId="11" xfId="0" applyFont="1" applyFill="1" applyBorder="1" applyAlignment="1">
      <alignment horizontal="center"/>
    </xf>
    <xf numFmtId="1" fontId="91" fillId="6" borderId="11" xfId="0" applyNumberFormat="1" applyFont="1" applyFill="1" applyBorder="1" applyAlignment="1">
      <alignment horizontal="center" vertical="center"/>
    </xf>
    <xf numFmtId="1" fontId="91" fillId="18" borderId="11" xfId="0" applyNumberFormat="1" applyFont="1" applyFill="1" applyBorder="1" applyAlignment="1">
      <alignment horizontal="center"/>
    </xf>
    <xf numFmtId="1" fontId="91" fillId="6" borderId="45" xfId="0" applyNumberFormat="1" applyFont="1" applyFill="1" applyBorder="1" applyAlignment="1">
      <alignment horizontal="center"/>
    </xf>
    <xf numFmtId="1" fontId="91" fillId="13" borderId="11" xfId="0" applyNumberFormat="1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0" fillId="6" borderId="0" xfId="0" applyFill="1"/>
    <xf numFmtId="2" fontId="16" fillId="0" borderId="0" xfId="0" applyNumberFormat="1" applyFont="1" applyAlignment="1" applyProtection="1">
      <alignment horizontal="center" vertical="center"/>
      <protection hidden="1"/>
    </xf>
    <xf numFmtId="0" fontId="0" fillId="17" borderId="0" xfId="0" applyFill="1"/>
    <xf numFmtId="0" fontId="62" fillId="17" borderId="38" xfId="0" applyFont="1" applyFill="1" applyBorder="1"/>
    <xf numFmtId="0" fontId="20" fillId="17" borderId="0" xfId="0" applyFont="1" applyFill="1" applyAlignment="1">
      <alignment wrapText="1"/>
    </xf>
    <xf numFmtId="0" fontId="62" fillId="6" borderId="33" xfId="0" applyFont="1" applyFill="1" applyBorder="1"/>
    <xf numFmtId="0" fontId="63" fillId="6" borderId="0" xfId="0" applyFont="1" applyFill="1" applyAlignment="1">
      <alignment horizontal="center" vertical="center" wrapText="1"/>
    </xf>
    <xf numFmtId="0" fontId="69" fillId="0" borderId="0" xfId="0" applyFont="1"/>
    <xf numFmtId="0" fontId="8" fillId="7" borderId="13" xfId="0" applyFont="1" applyFill="1" applyBorder="1"/>
    <xf numFmtId="1" fontId="92" fillId="11" borderId="1" xfId="0" applyNumberFormat="1" applyFont="1" applyFill="1" applyBorder="1"/>
    <xf numFmtId="1" fontId="1" fillId="11" borderId="2" xfId="0" applyNumberFormat="1" applyFont="1" applyFill="1" applyBorder="1" applyAlignment="1">
      <alignment horizontal="center"/>
    </xf>
    <xf numFmtId="1" fontId="1" fillId="11" borderId="11" xfId="0" applyNumberFormat="1" applyFont="1" applyFill="1" applyBorder="1" applyAlignment="1">
      <alignment horizontal="center"/>
    </xf>
    <xf numFmtId="1" fontId="1" fillId="12" borderId="1" xfId="0" applyNumberFormat="1" applyFont="1" applyFill="1" applyBorder="1" applyAlignment="1">
      <alignment horizontal="center"/>
    </xf>
    <xf numFmtId="1" fontId="1" fillId="12" borderId="2" xfId="0" applyNumberFormat="1" applyFont="1" applyFill="1" applyBorder="1" applyAlignment="1">
      <alignment horizontal="center"/>
    </xf>
    <xf numFmtId="1" fontId="1" fillId="12" borderId="11" xfId="0" applyNumberFormat="1" applyFont="1" applyFill="1" applyBorder="1" applyAlignment="1">
      <alignment horizontal="center"/>
    </xf>
    <xf numFmtId="1" fontId="92" fillId="18" borderId="1" xfId="0" applyNumberFormat="1" applyFont="1" applyFill="1" applyBorder="1"/>
    <xf numFmtId="1" fontId="1" fillId="18" borderId="2" xfId="0" applyNumberFormat="1" applyFont="1" applyFill="1" applyBorder="1" applyAlignment="1">
      <alignment horizontal="center"/>
    </xf>
    <xf numFmtId="1" fontId="1" fillId="18" borderId="11" xfId="0" applyNumberFormat="1" applyFont="1" applyFill="1" applyBorder="1" applyAlignment="1">
      <alignment horizontal="center"/>
    </xf>
    <xf numFmtId="1" fontId="92" fillId="13" borderId="1" xfId="0" applyNumberFormat="1" applyFont="1" applyFill="1" applyBorder="1"/>
    <xf numFmtId="1" fontId="1" fillId="13" borderId="2" xfId="0" applyNumberFormat="1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13" borderId="1" xfId="0" applyNumberFormat="1" applyFont="1" applyFill="1" applyBorder="1"/>
    <xf numFmtId="1" fontId="69" fillId="12" borderId="11" xfId="0" applyNumberFormat="1" applyFont="1" applyFill="1" applyBorder="1"/>
    <xf numFmtId="1" fontId="69" fillId="12" borderId="1" xfId="0" applyNumberFormat="1" applyFont="1" applyFill="1" applyBorder="1"/>
    <xf numFmtId="1" fontId="69" fillId="12" borderId="2" xfId="0" applyNumberFormat="1" applyFont="1" applyFill="1" applyBorder="1"/>
    <xf numFmtId="1" fontId="69" fillId="12" borderId="3" xfId="0" applyNumberFormat="1" applyFont="1" applyFill="1" applyBorder="1"/>
    <xf numFmtId="1" fontId="69" fillId="12" borderId="4" xfId="0" applyNumberFormat="1" applyFont="1" applyFill="1" applyBorder="1"/>
    <xf numFmtId="1" fontId="69" fillId="12" borderId="13" xfId="0" applyNumberFormat="1" applyFont="1" applyFill="1" applyBorder="1"/>
    <xf numFmtId="1" fontId="69" fillId="13" borderId="11" xfId="0" applyNumberFormat="1" applyFont="1" applyFill="1" applyBorder="1"/>
    <xf numFmtId="1" fontId="92" fillId="13" borderId="3" xfId="0" applyNumberFormat="1" applyFont="1" applyFill="1" applyBorder="1"/>
    <xf numFmtId="1" fontId="1" fillId="13" borderId="4" xfId="0" applyNumberFormat="1" applyFont="1" applyFill="1" applyBorder="1" applyAlignment="1">
      <alignment horizontal="center"/>
    </xf>
    <xf numFmtId="1" fontId="69" fillId="13" borderId="13" xfId="0" applyNumberFormat="1" applyFont="1" applyFill="1" applyBorder="1"/>
    <xf numFmtId="0" fontId="71" fillId="31" borderId="1" xfId="0" applyFont="1" applyFill="1" applyBorder="1" applyAlignment="1">
      <alignment vertical="center" wrapText="1" shrinkToFit="1"/>
    </xf>
    <xf numFmtId="4" fontId="21" fillId="31" borderId="11" xfId="0" applyNumberFormat="1" applyFont="1" applyFill="1" applyBorder="1" applyAlignment="1" applyProtection="1">
      <alignment horizontal="center" vertical="center"/>
      <protection hidden="1"/>
    </xf>
    <xf numFmtId="0" fontId="71" fillId="31" borderId="1" xfId="0" applyFont="1" applyFill="1" applyBorder="1" applyAlignment="1" applyProtection="1">
      <alignment vertical="center" wrapText="1" shrinkToFit="1"/>
      <protection hidden="1"/>
    </xf>
    <xf numFmtId="0" fontId="71" fillId="31" borderId="1" xfId="0" applyFont="1" applyFill="1" applyBorder="1" applyAlignment="1" applyProtection="1">
      <alignment horizontal="left" vertical="center" wrapText="1" shrinkToFit="1"/>
      <protection hidden="1"/>
    </xf>
    <xf numFmtId="1" fontId="21" fillId="31" borderId="11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48" xfId="0" applyFont="1" applyBorder="1" applyAlignment="1" applyProtection="1">
      <alignment wrapText="1"/>
      <protection locked="0"/>
    </xf>
    <xf numFmtId="0" fontId="8" fillId="0" borderId="48" xfId="0" applyFont="1" applyBorder="1" applyAlignment="1" applyProtection="1">
      <alignment horizontal="center" wrapText="1"/>
      <protection locked="0"/>
    </xf>
    <xf numFmtId="0" fontId="63" fillId="0" borderId="0" xfId="0" applyFont="1" applyAlignment="1" applyProtection="1">
      <alignment horizontal="left" wrapText="1"/>
      <protection hidden="1"/>
    </xf>
    <xf numFmtId="0" fontId="63" fillId="0" borderId="0" xfId="0" applyFont="1" applyAlignment="1" applyProtection="1">
      <alignment vertical="top" wrapText="1"/>
      <protection hidden="1"/>
    </xf>
    <xf numFmtId="0" fontId="17" fillId="5" borderId="17" xfId="0" applyFont="1" applyFill="1" applyBorder="1" applyAlignment="1">
      <alignment horizontal="left" wrapText="1"/>
    </xf>
    <xf numFmtId="0" fontId="17" fillId="27" borderId="22" xfId="0" applyFont="1" applyFill="1" applyBorder="1" applyAlignment="1">
      <alignment horizontal="left" vertical="center" wrapText="1"/>
    </xf>
    <xf numFmtId="0" fontId="20" fillId="6" borderId="0" xfId="0" applyFont="1" applyFill="1" applyAlignment="1">
      <alignment wrapText="1"/>
    </xf>
    <xf numFmtId="0" fontId="7" fillId="6" borderId="0" xfId="0" applyFont="1" applyFill="1"/>
    <xf numFmtId="9" fontId="0" fillId="0" borderId="0" xfId="0" applyNumberFormat="1" applyProtection="1">
      <protection hidden="1"/>
    </xf>
    <xf numFmtId="1" fontId="8" fillId="0" borderId="0" xfId="0" applyNumberFormat="1" applyFont="1" applyAlignment="1" applyProtection="1">
      <alignment horizontal="left"/>
      <protection hidden="1"/>
    </xf>
    <xf numFmtId="4" fontId="88" fillId="6" borderId="0" xfId="0" applyNumberFormat="1" applyFont="1" applyFill="1" applyAlignment="1">
      <alignment horizontal="right" vertical="top" wrapText="1" shrinkToFit="1"/>
    </xf>
    <xf numFmtId="2" fontId="93" fillId="33" borderId="0" xfId="0" applyNumberFormat="1" applyFont="1" applyFill="1" applyAlignment="1">
      <alignment horizontal="right" vertical="top" wrapText="1" shrinkToFit="1"/>
    </xf>
    <xf numFmtId="0" fontId="66" fillId="0" borderId="0" xfId="0" applyFont="1" applyProtection="1">
      <protection hidden="1"/>
    </xf>
    <xf numFmtId="0" fontId="0" fillId="19" borderId="0" xfId="0" applyFill="1"/>
    <xf numFmtId="0" fontId="0" fillId="12" borderId="0" xfId="0" applyFill="1"/>
    <xf numFmtId="3" fontId="21" fillId="6" borderId="11" xfId="0" applyNumberFormat="1" applyFont="1" applyFill="1" applyBorder="1" applyAlignment="1" applyProtection="1">
      <alignment horizontal="center" vertical="center"/>
      <protection locked="0" hidden="1"/>
    </xf>
    <xf numFmtId="0" fontId="86" fillId="6" borderId="14" xfId="0" applyFont="1" applyFill="1" applyBorder="1" applyAlignment="1">
      <alignment horizontal="left" vertical="center" wrapText="1"/>
    </xf>
    <xf numFmtId="3" fontId="21" fillId="14" borderId="11" xfId="0" applyNumberFormat="1" applyFont="1" applyFill="1" applyBorder="1" applyAlignment="1" applyProtection="1">
      <alignment horizontal="center" vertical="center"/>
      <protection locked="0" hidden="1"/>
    </xf>
    <xf numFmtId="0" fontId="86" fillId="6" borderId="1" xfId="0" applyFont="1" applyFill="1" applyBorder="1" applyAlignment="1">
      <alignment horizontal="left" vertical="center" wrapText="1" shrinkToFit="1"/>
    </xf>
    <xf numFmtId="0" fontId="68" fillId="20" borderId="1" xfId="0" applyFont="1" applyFill="1" applyBorder="1" applyAlignment="1">
      <alignment vertical="center" wrapText="1" shrinkToFit="1"/>
    </xf>
    <xf numFmtId="3" fontId="21" fillId="20" borderId="11" xfId="0" applyNumberFormat="1" applyFont="1" applyFill="1" applyBorder="1" applyAlignment="1" applyProtection="1">
      <alignment horizontal="center" vertical="center"/>
      <protection hidden="1"/>
    </xf>
    <xf numFmtId="1" fontId="68" fillId="6" borderId="11" xfId="0" applyNumberFormat="1" applyFont="1" applyFill="1" applyBorder="1" applyAlignment="1" applyProtection="1">
      <alignment horizontal="center" vertical="center" wrapText="1"/>
      <protection locked="0" hidden="1"/>
    </xf>
    <xf numFmtId="1" fontId="68" fillId="6" borderId="13" xfId="0" applyNumberFormat="1" applyFont="1" applyFill="1" applyBorder="1" applyAlignment="1" applyProtection="1">
      <alignment horizontal="center" vertical="center" wrapText="1"/>
      <protection locked="0" hidden="1"/>
    </xf>
    <xf numFmtId="0" fontId="70" fillId="25" borderId="16" xfId="0" applyFont="1" applyFill="1" applyBorder="1" applyAlignment="1" applyProtection="1">
      <alignment horizontal="center" vertical="center" wrapText="1"/>
      <protection locked="0" hidden="1"/>
    </xf>
    <xf numFmtId="0" fontId="71" fillId="6" borderId="1" xfId="0" applyFont="1" applyFill="1" applyBorder="1" applyAlignment="1" applyProtection="1">
      <alignment vertical="center" wrapText="1" shrinkToFit="1"/>
      <protection hidden="1"/>
    </xf>
    <xf numFmtId="0" fontId="0" fillId="26" borderId="34" xfId="0" applyFill="1" applyBorder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9" borderId="25" xfId="0" applyFont="1" applyFill="1" applyBorder="1"/>
    <xf numFmtId="0" fontId="6" fillId="9" borderId="26" xfId="0" applyFont="1" applyFill="1" applyBorder="1"/>
    <xf numFmtId="0" fontId="71" fillId="6" borderId="1" xfId="0" applyFont="1" applyFill="1" applyBorder="1" applyAlignment="1">
      <alignment vertical="center" wrapText="1" shrinkToFit="1"/>
    </xf>
    <xf numFmtId="170" fontId="71" fillId="6" borderId="11" xfId="0" applyNumberFormat="1" applyFont="1" applyFill="1" applyBorder="1" applyAlignment="1" applyProtection="1">
      <alignment horizontal="center" vertical="center"/>
      <protection hidden="1"/>
    </xf>
    <xf numFmtId="170" fontId="71" fillId="0" borderId="11" xfId="0" applyNumberFormat="1" applyFont="1" applyBorder="1" applyAlignment="1" applyProtection="1">
      <alignment horizontal="center" vertical="center"/>
      <protection hidden="1"/>
    </xf>
    <xf numFmtId="170" fontId="21" fillId="6" borderId="11" xfId="0" applyNumberFormat="1" applyFont="1" applyFill="1" applyBorder="1" applyAlignment="1" applyProtection="1">
      <alignment horizontal="center" vertical="center"/>
      <protection locked="0" hidden="1"/>
    </xf>
    <xf numFmtId="0" fontId="71" fillId="6" borderId="0" xfId="0" applyFont="1" applyFill="1" applyAlignment="1">
      <alignment horizontal="left" vertical="center" wrapText="1"/>
    </xf>
    <xf numFmtId="164" fontId="71" fillId="6" borderId="0" xfId="0" applyNumberFormat="1" applyFont="1" applyFill="1" applyAlignment="1">
      <alignment horizontal="left" wrapText="1"/>
    </xf>
    <xf numFmtId="0" fontId="16" fillId="6" borderId="0" xfId="0" applyFont="1" applyFill="1" applyAlignment="1">
      <alignment horizontal="center" wrapText="1"/>
    </xf>
    <xf numFmtId="0" fontId="16" fillId="6" borderId="0" xfId="0" applyFont="1" applyFill="1" applyAlignment="1">
      <alignment horizontal="center" vertical="center" wrapText="1"/>
    </xf>
    <xf numFmtId="0" fontId="62" fillId="6" borderId="38" xfId="0" applyFont="1" applyFill="1" applyBorder="1"/>
    <xf numFmtId="0" fontId="71" fillId="6" borderId="0" xfId="0" applyFont="1" applyFill="1" applyAlignment="1">
      <alignment horizontal="left" wrapText="1"/>
    </xf>
    <xf numFmtId="164" fontId="49" fillId="33" borderId="12" xfId="0" applyNumberFormat="1" applyFont="1" applyFill="1" applyBorder="1" applyAlignment="1">
      <alignment horizontal="center"/>
    </xf>
    <xf numFmtId="164" fontId="48" fillId="19" borderId="2" xfId="0" applyNumberFormat="1" applyFont="1" applyFill="1" applyBorder="1" applyAlignment="1">
      <alignment horizontal="center"/>
    </xf>
    <xf numFmtId="164" fontId="48" fillId="34" borderId="2" xfId="0" applyNumberFormat="1" applyFont="1" applyFill="1" applyBorder="1" applyAlignment="1">
      <alignment horizontal="center"/>
    </xf>
    <xf numFmtId="164" fontId="48" fillId="7" borderId="11" xfId="0" applyNumberFormat="1" applyFont="1" applyFill="1" applyBorder="1" applyAlignment="1">
      <alignment horizontal="center"/>
    </xf>
    <xf numFmtId="164" fontId="48" fillId="11" borderId="2" xfId="0" applyNumberFormat="1" applyFont="1" applyFill="1" applyBorder="1" applyAlignment="1">
      <alignment horizontal="center"/>
    </xf>
    <xf numFmtId="1" fontId="0" fillId="18" borderId="51" xfId="0" applyNumberFormat="1" applyFill="1" applyBorder="1"/>
    <xf numFmtId="1" fontId="0" fillId="18" borderId="19" xfId="0" applyNumberFormat="1" applyFill="1" applyBorder="1"/>
    <xf numFmtId="1" fontId="0" fillId="0" borderId="0" xfId="0" applyNumberFormat="1"/>
    <xf numFmtId="1" fontId="17" fillId="6" borderId="0" xfId="0" applyNumberFormat="1" applyFont="1" applyFill="1" applyAlignment="1">
      <alignment horizontal="center" vertical="center" wrapText="1"/>
    </xf>
    <xf numFmtId="164" fontId="17" fillId="6" borderId="0" xfId="0" applyNumberFormat="1" applyFont="1" applyFill="1" applyAlignment="1">
      <alignment horizontal="center" wrapText="1"/>
    </xf>
    <xf numFmtId="0" fontId="0" fillId="18" borderId="51" xfId="0" applyFill="1" applyBorder="1"/>
    <xf numFmtId="1" fontId="46" fillId="33" borderId="12" xfId="0" applyNumberFormat="1" applyFont="1" applyFill="1" applyBorder="1" applyAlignment="1">
      <alignment horizontal="center"/>
    </xf>
    <xf numFmtId="1" fontId="48" fillId="19" borderId="2" xfId="0" applyNumberFormat="1" applyFont="1" applyFill="1" applyBorder="1" applyAlignment="1">
      <alignment horizontal="center"/>
    </xf>
    <xf numFmtId="1" fontId="48" fillId="34" borderId="2" xfId="0" applyNumberFormat="1" applyFont="1" applyFill="1" applyBorder="1" applyAlignment="1">
      <alignment horizontal="center"/>
    </xf>
    <xf numFmtId="1" fontId="48" fillId="7" borderId="11" xfId="0" applyNumberFormat="1" applyFont="1" applyFill="1" applyBorder="1" applyAlignment="1">
      <alignment horizontal="center"/>
    </xf>
    <xf numFmtId="1" fontId="48" fillId="18" borderId="2" xfId="0" applyNumberFormat="1" applyFont="1" applyFill="1" applyBorder="1" applyAlignment="1">
      <alignment horizontal="center"/>
    </xf>
    <xf numFmtId="1" fontId="46" fillId="33" borderId="1" xfId="0" applyNumberFormat="1" applyFont="1" applyFill="1" applyBorder="1" applyAlignment="1">
      <alignment horizontal="center"/>
    </xf>
    <xf numFmtId="0" fontId="42" fillId="0" borderId="0" xfId="0" applyFont="1" applyProtection="1">
      <protection locked="0"/>
    </xf>
    <xf numFmtId="2" fontId="0" fillId="0" borderId="5" xfId="0" applyNumberFormat="1" applyBorder="1" applyProtection="1">
      <protection locked="0"/>
    </xf>
    <xf numFmtId="2" fontId="0" fillId="11" borderId="5" xfId="0" applyNumberFormat="1" applyFill="1" applyBorder="1"/>
    <xf numFmtId="2" fontId="0" fillId="11" borderId="52" xfId="0" applyNumberFormat="1" applyFill="1" applyBorder="1"/>
    <xf numFmtId="2" fontId="0" fillId="11" borderId="23" xfId="0" applyNumberFormat="1" applyFill="1" applyBorder="1"/>
    <xf numFmtId="0" fontId="0" fillId="0" borderId="0" xfId="0" applyAlignment="1" applyProtection="1">
      <alignment vertical="top"/>
      <protection locked="0"/>
    </xf>
    <xf numFmtId="0" fontId="8" fillId="0" borderId="0" xfId="0" applyFont="1" applyProtection="1">
      <protection locked="0"/>
    </xf>
    <xf numFmtId="0" fontId="8" fillId="17" borderId="0" xfId="0" quotePrefix="1" applyFont="1" applyFill="1" applyAlignment="1" applyProtection="1">
      <alignment horizontal="left"/>
      <protection locked="0"/>
    </xf>
    <xf numFmtId="0" fontId="21" fillId="6" borderId="1" xfId="0" applyFont="1" applyFill="1" applyBorder="1" applyAlignment="1">
      <alignment horizontal="left" vertical="center" wrapText="1" shrinkToFit="1"/>
    </xf>
    <xf numFmtId="0" fontId="94" fillId="0" borderId="57" xfId="0" applyFont="1" applyBorder="1" applyAlignment="1" applyProtection="1">
      <alignment wrapText="1"/>
      <protection locked="0"/>
    </xf>
    <xf numFmtId="0" fontId="60" fillId="0" borderId="59" xfId="0" applyFont="1" applyBorder="1" applyProtection="1">
      <protection locked="0"/>
    </xf>
    <xf numFmtId="0" fontId="0" fillId="7" borderId="48" xfId="0" applyFill="1" applyBorder="1"/>
    <xf numFmtId="0" fontId="101" fillId="0" borderId="0" xfId="0" applyFont="1" applyProtection="1">
      <protection hidden="1"/>
    </xf>
    <xf numFmtId="0" fontId="23" fillId="6" borderId="0" xfId="0" applyFont="1" applyFill="1"/>
    <xf numFmtId="0" fontId="16" fillId="6" borderId="0" xfId="0" applyFont="1" applyFill="1"/>
    <xf numFmtId="0" fontId="6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2" fontId="0" fillId="6" borderId="0" xfId="0" applyNumberFormat="1" applyFill="1" applyProtection="1">
      <protection hidden="1"/>
    </xf>
    <xf numFmtId="0" fontId="0" fillId="6" borderId="0" xfId="0" applyFill="1" applyAlignment="1" applyProtection="1">
      <alignment horizontal="center"/>
      <protection hidden="1"/>
    </xf>
    <xf numFmtId="1" fontId="0" fillId="6" borderId="0" xfId="0" applyNumberFormat="1" applyFill="1" applyProtection="1">
      <protection hidden="1"/>
    </xf>
    <xf numFmtId="1" fontId="0" fillId="6" borderId="0" xfId="0" applyNumberFormat="1" applyFill="1"/>
    <xf numFmtId="2" fontId="0" fillId="6" borderId="0" xfId="0" applyNumberFormat="1" applyFill="1"/>
    <xf numFmtId="0" fontId="4" fillId="6" borderId="0" xfId="0" applyFont="1" applyFill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9" fillId="6" borderId="0" xfId="0" applyFont="1" applyFill="1" applyProtection="1">
      <protection hidden="1"/>
    </xf>
    <xf numFmtId="0" fontId="62" fillId="6" borderId="0" xfId="0" applyFont="1" applyFill="1"/>
    <xf numFmtId="0" fontId="0" fillId="6" borderId="0" xfId="0" applyFill="1" applyAlignment="1">
      <alignment wrapText="1"/>
    </xf>
    <xf numFmtId="0" fontId="0" fillId="6" borderId="0" xfId="0" applyFill="1" applyAlignment="1">
      <alignment horizontal="center" wrapText="1"/>
    </xf>
    <xf numFmtId="0" fontId="22" fillId="6" borderId="0" xfId="0" applyFont="1" applyFill="1" applyAlignment="1">
      <alignment horizontal="left"/>
    </xf>
    <xf numFmtId="0" fontId="52" fillId="0" borderId="0" xfId="0" applyFont="1" applyProtection="1">
      <protection hidden="1"/>
    </xf>
    <xf numFmtId="0" fontId="50" fillId="0" borderId="0" xfId="0" applyFont="1" applyProtection="1">
      <protection hidden="1"/>
    </xf>
    <xf numFmtId="0" fontId="50" fillId="0" borderId="0" xfId="0" applyFont="1" applyAlignment="1" applyProtection="1">
      <alignment horizontal="right"/>
      <protection hidden="1"/>
    </xf>
    <xf numFmtId="0" fontId="53" fillId="0" borderId="0" xfId="0" applyFont="1" applyProtection="1">
      <protection hidden="1"/>
    </xf>
    <xf numFmtId="1" fontId="48" fillId="0" borderId="0" xfId="0" applyNumberFormat="1" applyFont="1" applyAlignment="1" applyProtection="1">
      <alignment horizontal="center" vertical="center"/>
      <protection hidden="1"/>
    </xf>
    <xf numFmtId="10" fontId="9" fillId="0" borderId="0" xfId="0" applyNumberFormat="1" applyFont="1" applyAlignment="1" applyProtection="1">
      <alignment horizontal="center" vertical="center"/>
      <protection hidden="1"/>
    </xf>
    <xf numFmtId="9" fontId="9" fillId="0" borderId="0" xfId="0" applyNumberFormat="1" applyFont="1" applyAlignment="1" applyProtection="1">
      <alignment horizontal="left" vertical="center"/>
      <protection hidden="1"/>
    </xf>
    <xf numFmtId="164" fontId="9" fillId="0" borderId="0" xfId="0" applyNumberFormat="1" applyFont="1" applyAlignment="1" applyProtection="1">
      <alignment vertical="center"/>
      <protection hidden="1"/>
    </xf>
    <xf numFmtId="49" fontId="16" fillId="0" borderId="0" xfId="0" applyNumberFormat="1" applyFont="1" applyAlignment="1" applyProtection="1">
      <alignment vertical="center"/>
      <protection hidden="1"/>
    </xf>
    <xf numFmtId="49" fontId="9" fillId="0" borderId="0" xfId="0" applyNumberFormat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" fontId="46" fillId="0" borderId="0" xfId="0" applyNumberFormat="1" applyFont="1" applyAlignment="1" applyProtection="1">
      <alignment horizontal="center" vertical="center"/>
      <protection hidden="1"/>
    </xf>
    <xf numFmtId="10" fontId="85" fillId="0" borderId="0" xfId="0" applyNumberFormat="1" applyFont="1" applyAlignment="1" applyProtection="1">
      <alignment horizontal="center" vertical="center"/>
      <protection hidden="1"/>
    </xf>
    <xf numFmtId="1" fontId="46" fillId="0" borderId="0" xfId="0" applyNumberFormat="1" applyFont="1" applyAlignment="1" applyProtection="1">
      <alignment horizontal="center"/>
      <protection hidden="1"/>
    </xf>
    <xf numFmtId="9" fontId="85" fillId="0" borderId="0" xfId="0" applyNumberFormat="1" applyFont="1" applyAlignment="1" applyProtection="1">
      <alignment horizontal="left" vertical="center"/>
      <protection hidden="1"/>
    </xf>
    <xf numFmtId="0" fontId="51" fillId="0" borderId="0" xfId="0" applyFont="1" applyProtection="1">
      <protection hidden="1"/>
    </xf>
    <xf numFmtId="0" fontId="0" fillId="0" borderId="14" xfId="0" applyBorder="1" applyAlignment="1" applyProtection="1">
      <alignment wrapText="1"/>
      <protection hidden="1"/>
    </xf>
    <xf numFmtId="1" fontId="84" fillId="0" borderId="15" xfId="0" applyNumberFormat="1" applyFont="1" applyBorder="1" applyAlignment="1" applyProtection="1">
      <alignment horizontal="center" wrapText="1"/>
      <protection hidden="1"/>
    </xf>
    <xf numFmtId="0" fontId="79" fillId="0" borderId="15" xfId="0" applyFont="1" applyBorder="1" applyAlignment="1" applyProtection="1">
      <alignment horizontal="center" wrapText="1"/>
      <protection hidden="1"/>
    </xf>
    <xf numFmtId="1" fontId="83" fillId="0" borderId="15" xfId="0" applyNumberFormat="1" applyFont="1" applyBorder="1" applyAlignment="1" applyProtection="1">
      <alignment horizontal="center" vertical="center" wrapText="1"/>
      <protection hidden="1"/>
    </xf>
    <xf numFmtId="49" fontId="43" fillId="0" borderId="16" xfId="0" applyNumberFormat="1" applyFont="1" applyBorder="1" applyAlignment="1" applyProtection="1">
      <alignment horizontal="center" wrapText="1"/>
      <protection hidden="1"/>
    </xf>
    <xf numFmtId="49" fontId="27" fillId="0" borderId="0" xfId="0" applyNumberFormat="1" applyFont="1" applyAlignment="1" applyProtection="1">
      <alignment horizontal="left" wrapText="1"/>
      <protection hidden="1"/>
    </xf>
    <xf numFmtId="164" fontId="43" fillId="0" borderId="0" xfId="0" applyNumberFormat="1" applyFont="1" applyAlignment="1" applyProtection="1">
      <alignment horizontal="center" wrapText="1"/>
      <protection hidden="1"/>
    </xf>
    <xf numFmtId="0" fontId="52" fillId="0" borderId="0" xfId="0" applyFont="1" applyAlignment="1" applyProtection="1">
      <alignment horizontal="center" wrapText="1"/>
      <protection hidden="1"/>
    </xf>
    <xf numFmtId="0" fontId="52" fillId="0" borderId="0" xfId="0" applyFont="1" applyAlignment="1" applyProtection="1">
      <alignment wrapText="1"/>
      <protection hidden="1"/>
    </xf>
    <xf numFmtId="0" fontId="43" fillId="0" borderId="0" xfId="0" applyFont="1" applyAlignment="1" applyProtection="1">
      <alignment horizontal="center" wrapText="1"/>
      <protection hidden="1"/>
    </xf>
    <xf numFmtId="0" fontId="53" fillId="0" borderId="0" xfId="0" applyFont="1" applyAlignment="1" applyProtection="1">
      <alignment horizontal="center" wrapText="1"/>
      <protection hidden="1"/>
    </xf>
    <xf numFmtId="0" fontId="50" fillId="0" borderId="0" xfId="0" applyFont="1" applyAlignment="1" applyProtection="1">
      <alignment horizontal="right" vertical="center" wrapText="1"/>
      <protection hidden="1"/>
    </xf>
    <xf numFmtId="0" fontId="53" fillId="0" borderId="0" xfId="0" applyFont="1" applyAlignment="1" applyProtection="1">
      <alignment horizontal="right" vertical="center" wrapText="1"/>
      <protection hidden="1"/>
    </xf>
    <xf numFmtId="0" fontId="0" fillId="0" borderId="1" xfId="0" applyBorder="1" applyAlignment="1" applyProtection="1">
      <alignment wrapText="1"/>
      <protection hidden="1"/>
    </xf>
    <xf numFmtId="1" fontId="80" fillId="0" borderId="2" xfId="0" applyNumberFormat="1" applyFont="1" applyBorder="1" applyAlignment="1" applyProtection="1">
      <alignment horizontal="center" vertical="center"/>
      <protection locked="0"/>
    </xf>
    <xf numFmtId="2" fontId="80" fillId="0" borderId="2" xfId="0" applyNumberFormat="1" applyFont="1" applyBorder="1" applyAlignment="1" applyProtection="1">
      <alignment horizontal="center" vertical="center"/>
      <protection locked="0"/>
    </xf>
    <xf numFmtId="1" fontId="61" fillId="0" borderId="2" xfId="0" applyNumberFormat="1" applyFont="1" applyBorder="1" applyAlignment="1" applyProtection="1">
      <alignment horizontal="center" vertical="center" wrapText="1"/>
      <protection locked="0"/>
    </xf>
    <xf numFmtId="49" fontId="9" fillId="0" borderId="11" xfId="0" applyNumberFormat="1" applyFont="1" applyBorder="1" applyAlignment="1" applyProtection="1">
      <alignment horizontal="center" vertical="center"/>
      <protection locked="0"/>
    </xf>
    <xf numFmtId="49" fontId="8" fillId="0" borderId="0" xfId="0" applyNumberFormat="1" applyFont="1" applyAlignment="1" applyProtection="1">
      <alignment horizontal="center" wrapText="1"/>
      <protection hidden="1"/>
    </xf>
    <xf numFmtId="0" fontId="0" fillId="0" borderId="1" xfId="0" applyBorder="1" applyProtection="1">
      <protection hidden="1"/>
    </xf>
    <xf numFmtId="1" fontId="50" fillId="0" borderId="2" xfId="0" applyNumberFormat="1" applyFont="1" applyBorder="1" applyAlignment="1" applyProtection="1">
      <alignment horizontal="center" vertical="center"/>
      <protection locked="0"/>
    </xf>
    <xf numFmtId="49" fontId="8" fillId="0" borderId="0" xfId="0" applyNumberFormat="1" applyFont="1" applyAlignment="1" applyProtection="1">
      <alignment horizontal="center" vertical="center"/>
      <protection hidden="1"/>
    </xf>
    <xf numFmtId="164" fontId="43" fillId="0" borderId="0" xfId="0" applyNumberFormat="1" applyFont="1" applyAlignment="1" applyProtection="1">
      <alignment vertical="center"/>
      <protection hidden="1"/>
    </xf>
    <xf numFmtId="2" fontId="52" fillId="0" borderId="0" xfId="0" applyNumberFormat="1" applyFont="1" applyAlignment="1" applyProtection="1">
      <alignment horizontal="center"/>
      <protection hidden="1"/>
    </xf>
    <xf numFmtId="2" fontId="52" fillId="0" borderId="0" xfId="0" applyNumberFormat="1" applyFont="1" applyProtection="1">
      <protection hidden="1"/>
    </xf>
    <xf numFmtId="2" fontId="43" fillId="0" borderId="0" xfId="0" applyNumberFormat="1" applyFont="1" applyAlignment="1" applyProtection="1">
      <alignment horizontal="right"/>
      <protection hidden="1"/>
    </xf>
    <xf numFmtId="0" fontId="53" fillId="0" borderId="0" xfId="0" applyFont="1" applyAlignment="1" applyProtection="1">
      <alignment horizontal="center"/>
      <protection hidden="1"/>
    </xf>
    <xf numFmtId="2" fontId="50" fillId="0" borderId="0" xfId="0" applyNumberFormat="1" applyFont="1" applyAlignment="1" applyProtection="1">
      <alignment horizontal="right"/>
      <protection hidden="1"/>
    </xf>
    <xf numFmtId="2" fontId="53" fillId="0" borderId="0" xfId="0" applyNumberFormat="1" applyFont="1" applyProtection="1">
      <protection hidden="1"/>
    </xf>
    <xf numFmtId="2" fontId="50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1" fontId="50" fillId="0" borderId="2" xfId="0" applyNumberFormat="1" applyFont="1" applyBorder="1" applyAlignment="1" applyProtection="1">
      <alignment horizontal="center"/>
      <protection locked="0"/>
    </xf>
    <xf numFmtId="49" fontId="8" fillId="0" borderId="0" xfId="0" applyNumberFormat="1" applyFont="1" applyAlignment="1" applyProtection="1">
      <alignment horizontal="center"/>
      <protection hidden="1"/>
    </xf>
    <xf numFmtId="164" fontId="43" fillId="0" borderId="0" xfId="0" applyNumberFormat="1" applyFont="1" applyAlignment="1" applyProtection="1">
      <alignment horizontal="right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1" fontId="80" fillId="0" borderId="2" xfId="0" applyNumberFormat="1" applyFon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hidden="1"/>
    </xf>
    <xf numFmtId="164" fontId="5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" fontId="80" fillId="0" borderId="20" xfId="0" applyNumberFormat="1" applyFont="1" applyBorder="1" applyAlignment="1" applyProtection="1">
      <alignment horizontal="center" vertical="center"/>
      <protection locked="0"/>
    </xf>
    <xf numFmtId="2" fontId="80" fillId="0" borderId="20" xfId="0" applyNumberFormat="1" applyFont="1" applyBorder="1" applyAlignment="1" applyProtection="1">
      <alignment horizontal="center" vertical="center"/>
      <protection locked="0"/>
    </xf>
    <xf numFmtId="1" fontId="97" fillId="0" borderId="2" xfId="0" applyNumberFormat="1" applyFont="1" applyBorder="1" applyAlignment="1" applyProtection="1">
      <alignment horizontal="center"/>
      <protection hidden="1"/>
    </xf>
    <xf numFmtId="49" fontId="9" fillId="0" borderId="21" xfId="0" applyNumberFormat="1" applyFont="1" applyBorder="1" applyAlignment="1" applyProtection="1">
      <alignment horizontal="center" vertical="center"/>
      <protection locked="0"/>
    </xf>
    <xf numFmtId="49" fontId="98" fillId="0" borderId="2" xfId="0" applyNumberFormat="1" applyFont="1" applyBorder="1" applyAlignment="1" applyProtection="1">
      <alignment horizontal="center"/>
      <protection hidden="1"/>
    </xf>
    <xf numFmtId="164" fontId="16" fillId="0" borderId="2" xfId="0" applyNumberFormat="1" applyFont="1" applyBorder="1" applyAlignment="1" applyProtection="1">
      <alignment horizontal="right"/>
      <protection hidden="1"/>
    </xf>
    <xf numFmtId="0" fontId="98" fillId="0" borderId="2" xfId="0" applyFont="1" applyBorder="1" applyAlignment="1" applyProtection="1">
      <alignment horizontal="center"/>
      <protection hidden="1"/>
    </xf>
    <xf numFmtId="0" fontId="98" fillId="0" borderId="2" xfId="0" applyFont="1" applyBorder="1" applyProtection="1">
      <protection hidden="1"/>
    </xf>
    <xf numFmtId="0" fontId="17" fillId="0" borderId="2" xfId="0" applyFont="1" applyBorder="1" applyProtection="1">
      <protection hidden="1"/>
    </xf>
    <xf numFmtId="0" fontId="99" fillId="0" borderId="2" xfId="0" applyFont="1" applyBorder="1" applyAlignment="1" applyProtection="1">
      <alignment horizontal="center"/>
      <protection hidden="1"/>
    </xf>
    <xf numFmtId="0" fontId="17" fillId="0" borderId="2" xfId="0" applyFont="1" applyBorder="1" applyAlignment="1" applyProtection="1">
      <alignment horizontal="right"/>
      <protection hidden="1"/>
    </xf>
    <xf numFmtId="0" fontId="16" fillId="0" borderId="2" xfId="0" applyFont="1" applyBorder="1" applyProtection="1">
      <protection hidden="1"/>
    </xf>
    <xf numFmtId="0" fontId="50" fillId="0" borderId="0" xfId="0" applyFont="1" applyAlignment="1" applyProtection="1">
      <alignment horizontal="center" vertical="center"/>
      <protection hidden="1"/>
    </xf>
    <xf numFmtId="0" fontId="53" fillId="0" borderId="0" xfId="0" applyFont="1" applyAlignment="1" applyProtection="1">
      <alignment horizontal="center" vertical="center"/>
      <protection hidden="1"/>
    </xf>
    <xf numFmtId="164" fontId="17" fillId="0" borderId="2" xfId="0" applyNumberFormat="1" applyFont="1" applyBorder="1" applyProtection="1">
      <protection hidden="1"/>
    </xf>
    <xf numFmtId="1" fontId="81" fillId="0" borderId="0" xfId="0" applyNumberFormat="1" applyFont="1" applyAlignment="1" applyProtection="1">
      <alignment horizontal="center"/>
      <protection hidden="1"/>
    </xf>
    <xf numFmtId="0" fontId="82" fillId="0" borderId="0" xfId="0" applyFont="1" applyAlignment="1" applyProtection="1">
      <alignment horizontal="center"/>
      <protection hidden="1"/>
    </xf>
    <xf numFmtId="1" fontId="80" fillId="0" borderId="0" xfId="0" applyNumberFormat="1" applyFont="1" applyAlignment="1" applyProtection="1">
      <alignment horizontal="center"/>
      <protection hidden="1"/>
    </xf>
    <xf numFmtId="49" fontId="81" fillId="0" borderId="0" xfId="0" applyNumberFormat="1" applyFont="1" applyAlignment="1" applyProtection="1">
      <alignment horizontal="center"/>
      <protection hidden="1"/>
    </xf>
    <xf numFmtId="49" fontId="52" fillId="0" borderId="0" xfId="0" applyNumberFormat="1" applyFont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/>
      <protection hidden="1"/>
    </xf>
    <xf numFmtId="0" fontId="54" fillId="0" borderId="0" xfId="0" applyFont="1" applyAlignment="1" applyProtection="1">
      <alignment horizontal="center"/>
      <protection hidden="1"/>
    </xf>
    <xf numFmtId="49" fontId="9" fillId="32" borderId="11" xfId="0" applyNumberFormat="1" applyFont="1" applyFill="1" applyBorder="1" applyAlignment="1" applyProtection="1">
      <alignment horizontal="center" vertical="center"/>
      <protection locked="0"/>
    </xf>
    <xf numFmtId="0" fontId="96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16" fillId="11" borderId="0" xfId="0" applyFont="1" applyFill="1" applyAlignment="1" applyProtection="1">
      <alignment horizontal="left" vertical="center"/>
      <protection hidden="1"/>
    </xf>
    <xf numFmtId="1" fontId="13" fillId="11" borderId="0" xfId="0" applyNumberFormat="1" applyFont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left" vertical="top" wrapText="1"/>
      <protection hidden="1"/>
    </xf>
    <xf numFmtId="171" fontId="13" fillId="11" borderId="0" xfId="0" applyNumberFormat="1" applyFont="1" applyFill="1" applyAlignment="1" applyProtection="1">
      <alignment horizontal="center"/>
      <protection hidden="1"/>
    </xf>
    <xf numFmtId="1" fontId="13" fillId="0" borderId="0" xfId="0" applyNumberFormat="1" applyFont="1" applyAlignment="1" applyProtection="1">
      <alignment horizontal="center"/>
      <protection hidden="1"/>
    </xf>
    <xf numFmtId="3" fontId="24" fillId="0" borderId="0" xfId="0" applyNumberFormat="1" applyFont="1" applyAlignment="1" applyProtection="1">
      <alignment horizontal="center" vertical="center" wrapText="1"/>
      <protection hidden="1"/>
    </xf>
    <xf numFmtId="0" fontId="8" fillId="11" borderId="0" xfId="0" applyFont="1" applyFill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left"/>
      <protection hidden="1"/>
    </xf>
    <xf numFmtId="171" fontId="13" fillId="0" borderId="0" xfId="0" applyNumberFormat="1" applyFont="1" applyAlignment="1" applyProtection="1">
      <alignment horizontal="center"/>
      <protection hidden="1"/>
    </xf>
    <xf numFmtId="0" fontId="16" fillId="0" borderId="0" xfId="0" applyFont="1" applyAlignment="1" applyProtection="1">
      <alignment horizontal="center"/>
      <protection hidden="1"/>
    </xf>
    <xf numFmtId="0" fontId="0" fillId="14" borderId="0" xfId="0" applyFill="1" applyAlignment="1" applyProtection="1">
      <alignment horizontal="left" vertical="center"/>
      <protection hidden="1"/>
    </xf>
    <xf numFmtId="0" fontId="22" fillId="0" borderId="0" xfId="0" applyFont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/>
      <protection hidden="1"/>
    </xf>
    <xf numFmtId="3" fontId="8" fillId="9" borderId="0" xfId="0" applyNumberFormat="1" applyFont="1" applyFill="1" applyAlignment="1" applyProtection="1">
      <alignment horizontal="left" vertical="center"/>
      <protection hidden="1"/>
    </xf>
    <xf numFmtId="0" fontId="100" fillId="0" borderId="0" xfId="0" applyFont="1" applyAlignment="1" applyProtection="1">
      <alignment horizontal="center" vertical="center"/>
      <protection hidden="1"/>
    </xf>
    <xf numFmtId="0" fontId="95" fillId="0" borderId="0" xfId="0" applyFont="1" applyAlignment="1" applyProtection="1">
      <alignment horizontal="right"/>
      <protection hidden="1"/>
    </xf>
    <xf numFmtId="0" fontId="63" fillId="0" borderId="0" xfId="0" applyFont="1" applyAlignment="1" applyProtection="1">
      <alignment horizontal="center"/>
      <protection hidden="1"/>
    </xf>
    <xf numFmtId="4" fontId="4" fillId="11" borderId="0" xfId="0" applyNumberFormat="1" applyFont="1" applyFill="1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8" fillId="25" borderId="0" xfId="0" applyFont="1" applyFill="1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left"/>
      <protection hidden="1"/>
    </xf>
    <xf numFmtId="0" fontId="17" fillId="0" borderId="0" xfId="0" applyFont="1" applyAlignment="1" applyProtection="1">
      <alignment horizontal="center"/>
      <protection hidden="1"/>
    </xf>
    <xf numFmtId="0" fontId="8" fillId="11" borderId="0" xfId="0" applyFont="1" applyFill="1" applyAlignment="1" applyProtection="1">
      <alignment horizontal="left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77" fillId="19" borderId="0" xfId="0" applyFont="1" applyFill="1" applyAlignment="1">
      <alignment horizontal="center" vertical="center" wrapText="1"/>
    </xf>
    <xf numFmtId="0" fontId="0" fillId="17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67" fillId="19" borderId="9" xfId="0" applyFont="1" applyFill="1" applyBorder="1" applyAlignment="1">
      <alignment horizontal="center" vertical="center" wrapText="1"/>
    </xf>
    <xf numFmtId="0" fontId="0" fillId="0" borderId="9" xfId="0" applyBorder="1"/>
    <xf numFmtId="0" fontId="23" fillId="6" borderId="0" xfId="0" applyFont="1" applyFill="1" applyAlignment="1">
      <alignment horizontal="left" vertical="top" wrapText="1" shrinkToFit="1"/>
    </xf>
    <xf numFmtId="0" fontId="7" fillId="0" borderId="0" xfId="0" applyFont="1"/>
    <xf numFmtId="0" fontId="74" fillId="12" borderId="44" xfId="0" applyFont="1" applyFill="1" applyBorder="1" applyAlignment="1" applyProtection="1">
      <alignment horizontal="center" vertical="center" wrapText="1"/>
      <protection hidden="1"/>
    </xf>
    <xf numFmtId="0" fontId="0" fillId="0" borderId="7" xfId="0" applyBorder="1" applyProtection="1"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16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top" wrapText="1"/>
      <protection hidden="1"/>
    </xf>
    <xf numFmtId="0" fontId="73" fillId="19" borderId="27" xfId="0" applyFont="1" applyFill="1" applyBorder="1" applyAlignment="1" applyProtection="1">
      <alignment horizontal="center" wrapText="1"/>
      <protection hidden="1"/>
    </xf>
    <xf numFmtId="0" fontId="0" fillId="0" borderId="29" xfId="0" applyBorder="1" applyProtection="1">
      <protection hidden="1"/>
    </xf>
    <xf numFmtId="2" fontId="87" fillId="19" borderId="0" xfId="0" applyNumberFormat="1" applyFont="1" applyFill="1" applyAlignment="1" applyProtection="1">
      <alignment horizontal="center"/>
      <protection hidden="1"/>
    </xf>
    <xf numFmtId="0" fontId="0" fillId="20" borderId="0" xfId="0" applyFill="1" applyAlignment="1" applyProtection="1">
      <alignment horizontal="center"/>
      <protection hidden="1"/>
    </xf>
    <xf numFmtId="0" fontId="8" fillId="2" borderId="0" xfId="0" applyFont="1" applyFill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horizontal="center" vertical="center" wrapText="1"/>
      <protection hidden="1"/>
    </xf>
    <xf numFmtId="0" fontId="65" fillId="0" borderId="0" xfId="0" applyFont="1" applyAlignment="1" applyProtection="1">
      <alignment horizontal="center" vertical="center"/>
      <protection hidden="1"/>
    </xf>
    <xf numFmtId="3" fontId="9" fillId="10" borderId="0" xfId="0" applyNumberFormat="1" applyFont="1" applyFill="1" applyAlignment="1" applyProtection="1">
      <alignment horizontal="left"/>
      <protection hidden="1"/>
    </xf>
    <xf numFmtId="0" fontId="20" fillId="0" borderId="0" xfId="0" applyFont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horizontal="left"/>
      <protection hidden="1"/>
    </xf>
    <xf numFmtId="0" fontId="16" fillId="0" borderId="0" xfId="0" applyFont="1" applyAlignment="1" applyProtection="1">
      <alignment horizontal="left"/>
      <protection hidden="1"/>
    </xf>
    <xf numFmtId="0" fontId="14" fillId="0" borderId="0" xfId="0" applyFont="1" applyAlignment="1" applyProtection="1">
      <alignment horizont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9" fillId="14" borderId="0" xfId="0" applyFont="1" applyFill="1" applyAlignment="1" applyProtection="1">
      <alignment horizontal="left"/>
      <protection hidden="1"/>
    </xf>
    <xf numFmtId="0" fontId="63" fillId="0" borderId="0" xfId="0" applyFont="1" applyAlignment="1" applyProtection="1">
      <alignment horizontal="left"/>
      <protection hidden="1"/>
    </xf>
    <xf numFmtId="4" fontId="63" fillId="11" borderId="0" xfId="0" applyNumberFormat="1" applyFont="1" applyFill="1" applyAlignment="1" applyProtection="1">
      <alignment horizontal="left"/>
      <protection hidden="1"/>
    </xf>
    <xf numFmtId="0" fontId="21" fillId="0" borderId="0" xfId="0" applyFont="1" applyAlignment="1" applyProtection="1">
      <alignment horizontal="center" vertical="center" wrapText="1"/>
      <protection hidden="1"/>
    </xf>
    <xf numFmtId="0" fontId="9" fillId="11" borderId="0" xfId="0" applyFont="1" applyFill="1" applyAlignment="1" applyProtection="1">
      <alignment horizontal="left"/>
      <protection hidden="1"/>
    </xf>
    <xf numFmtId="0" fontId="8" fillId="18" borderId="44" xfId="0" applyFont="1" applyFill="1" applyBorder="1" applyAlignment="1">
      <alignment horizontal="center"/>
    </xf>
    <xf numFmtId="0" fontId="0" fillId="0" borderId="43" xfId="0" applyBorder="1"/>
    <xf numFmtId="0" fontId="0" fillId="0" borderId="7" xfId="0" applyBorder="1"/>
    <xf numFmtId="2" fontId="8" fillId="18" borderId="14" xfId="0" applyNumberFormat="1" applyFont="1" applyFill="1" applyBorder="1" applyAlignment="1">
      <alignment horizontal="center"/>
    </xf>
    <xf numFmtId="0" fontId="0" fillId="0" borderId="54" xfId="0" applyBorder="1"/>
    <xf numFmtId="1" fontId="22" fillId="7" borderId="48" xfId="0" applyNumberFormat="1" applyFont="1" applyFill="1" applyBorder="1" applyAlignment="1">
      <alignment horizontal="center" vertical="center"/>
    </xf>
    <xf numFmtId="0" fontId="0" fillId="0" borderId="28" xfId="0" applyBorder="1"/>
    <xf numFmtId="0" fontId="0" fillId="0" borderId="2" xfId="0" applyBorder="1" applyAlignment="1">
      <alignment horizontal="center"/>
    </xf>
    <xf numFmtId="0" fontId="0" fillId="0" borderId="12" xfId="0" applyBorder="1"/>
    <xf numFmtId="0" fontId="0" fillId="14" borderId="2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19" fillId="0" borderId="25" xfId="0" applyFont="1" applyBorder="1" applyAlignment="1">
      <alignment horizontal="center" vertical="top"/>
    </xf>
    <xf numFmtId="0" fontId="0" fillId="0" borderId="25" xfId="0" applyBorder="1"/>
    <xf numFmtId="0" fontId="0" fillId="0" borderId="0" xfId="0"/>
    <xf numFmtId="0" fontId="0" fillId="7" borderId="2" xfId="0" applyFill="1" applyBorder="1" applyAlignment="1">
      <alignment horizontal="center"/>
    </xf>
    <xf numFmtId="0" fontId="0" fillId="11" borderId="2" xfId="0" quotePrefix="1" applyFill="1" applyBorder="1" applyAlignment="1">
      <alignment horizontal="center"/>
    </xf>
    <xf numFmtId="0" fontId="6" fillId="9" borderId="27" xfId="0" applyFont="1" applyFill="1" applyBorder="1" applyAlignment="1">
      <alignment horizontal="center" wrapText="1"/>
    </xf>
    <xf numFmtId="0" fontId="0" fillId="0" borderId="26" xfId="0" applyBorder="1"/>
    <xf numFmtId="0" fontId="21" fillId="7" borderId="14" xfId="0" applyFont="1" applyFill="1" applyBorder="1" applyAlignment="1">
      <alignment wrapText="1"/>
    </xf>
    <xf numFmtId="0" fontId="0" fillId="0" borderId="53" xfId="0" applyBorder="1"/>
    <xf numFmtId="0" fontId="0" fillId="0" borderId="55" xfId="0" applyBorder="1"/>
    <xf numFmtId="0" fontId="0" fillId="0" borderId="56" xfId="0" applyBorder="1"/>
    <xf numFmtId="0" fontId="23" fillId="25" borderId="2" xfId="0" applyFont="1" applyFill="1" applyBorder="1" applyAlignment="1">
      <alignment horizontal="center"/>
    </xf>
    <xf numFmtId="0" fontId="16" fillId="0" borderId="0" xfId="0" applyFont="1" applyAlignment="1">
      <alignment wrapText="1"/>
    </xf>
    <xf numFmtId="0" fontId="9" fillId="0" borderId="0" xfId="0" applyFont="1" applyAlignment="1">
      <alignment vertical="center" wrapText="1"/>
    </xf>
    <xf numFmtId="0" fontId="8" fillId="0" borderId="48" xfId="0" applyFont="1" applyBorder="1" applyAlignment="1">
      <alignment horizontal="center" vertical="center"/>
    </xf>
    <xf numFmtId="0" fontId="0" fillId="0" borderId="29" xfId="0" applyBorder="1"/>
    <xf numFmtId="0" fontId="68" fillId="19" borderId="0" xfId="0" applyFont="1" applyFill="1" applyAlignment="1">
      <alignment horizontal="center" vertical="top" wrapText="1"/>
    </xf>
    <xf numFmtId="0" fontId="0" fillId="25" borderId="2" xfId="0" applyFill="1" applyBorder="1" applyAlignment="1">
      <alignment horizontal="center"/>
    </xf>
    <xf numFmtId="0" fontId="9" fillId="0" borderId="0" xfId="0" applyFont="1" applyAlignment="1">
      <alignment wrapText="1"/>
    </xf>
    <xf numFmtId="0" fontId="23" fillId="0" borderId="0" xfId="0" applyFont="1"/>
    <xf numFmtId="0" fontId="42" fillId="19" borderId="0" xfId="0" applyFont="1" applyFill="1" applyAlignment="1">
      <alignment horizontal="center" vertical="top" wrapText="1"/>
    </xf>
    <xf numFmtId="0" fontId="8" fillId="9" borderId="57" xfId="0" applyFont="1" applyFill="1" applyBorder="1" applyAlignment="1">
      <alignment horizontal="center" wrapText="1"/>
    </xf>
    <xf numFmtId="0" fontId="0" fillId="0" borderId="31" xfId="0" applyBorder="1"/>
    <xf numFmtId="0" fontId="0" fillId="0" borderId="50" xfId="0" applyBorder="1"/>
    <xf numFmtId="0" fontId="15" fillId="0" borderId="27" xfId="0" applyFont="1" applyBorder="1" applyAlignment="1">
      <alignment horizontal="center"/>
    </xf>
    <xf numFmtId="0" fontId="0" fillId="0" borderId="38" xfId="0" applyBorder="1"/>
    <xf numFmtId="0" fontId="0" fillId="0" borderId="8" xfId="0" applyBorder="1"/>
    <xf numFmtId="0" fontId="6" fillId="0" borderId="9" xfId="0" applyFont="1" applyBorder="1" applyAlignment="1">
      <alignment horizontal="left"/>
    </xf>
    <xf numFmtId="0" fontId="20" fillId="0" borderId="27" xfId="0" applyFont="1" applyBorder="1" applyAlignment="1">
      <alignment horizontal="center" vertical="center"/>
    </xf>
    <xf numFmtId="0" fontId="89" fillId="0" borderId="9" xfId="0" applyFont="1" applyBorder="1" applyAlignment="1">
      <alignment horizontal="left"/>
    </xf>
    <xf numFmtId="0" fontId="6" fillId="9" borderId="30" xfId="0" applyFont="1" applyFill="1" applyBorder="1" applyAlignment="1">
      <alignment horizontal="left"/>
    </xf>
    <xf numFmtId="0" fontId="90" fillId="0" borderId="27" xfId="0" applyFont="1" applyBorder="1" applyAlignment="1">
      <alignment horizontal="center" vertical="center"/>
    </xf>
    <xf numFmtId="0" fontId="78" fillId="0" borderId="0" xfId="0" applyFont="1" applyAlignment="1" applyProtection="1">
      <alignment horizontal="left" vertical="top" wrapText="1"/>
      <protection hidden="1"/>
    </xf>
    <xf numFmtId="0" fontId="39" fillId="11" borderId="0" xfId="0" applyFont="1" applyFill="1" applyAlignment="1">
      <alignment horizontal="left" wrapText="1"/>
    </xf>
    <xf numFmtId="0" fontId="36" fillId="21" borderId="1" xfId="0" applyFont="1" applyFill="1" applyBorder="1" applyAlignment="1">
      <alignment horizontal="center" vertical="center" wrapText="1"/>
    </xf>
    <xf numFmtId="0" fontId="0" fillId="0" borderId="58" xfId="0" applyBorder="1"/>
    <xf numFmtId="0" fontId="5" fillId="0" borderId="0" xfId="1" applyAlignment="1" applyProtection="1">
      <alignment horizontal="center"/>
    </xf>
    <xf numFmtId="167" fontId="8" fillId="0" borderId="2" xfId="0" applyNumberFormat="1" applyFont="1" applyBorder="1" applyAlignment="1" applyProtection="1">
      <alignment horizontal="center"/>
      <protection locked="0"/>
    </xf>
    <xf numFmtId="0" fontId="0" fillId="0" borderId="58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2" xfId="0" applyBorder="1" applyAlignment="1">
      <alignment horizontal="left"/>
    </xf>
    <xf numFmtId="0" fontId="39" fillId="11" borderId="0" xfId="0" applyFont="1" applyFill="1" applyAlignment="1">
      <alignment horizontal="left" vertical="top" wrapText="1"/>
    </xf>
    <xf numFmtId="0" fontId="8" fillId="0" borderId="48" xfId="0" applyFont="1" applyBorder="1" applyAlignment="1">
      <alignment horizontal="center"/>
    </xf>
    <xf numFmtId="0" fontId="0" fillId="0" borderId="32" xfId="0" applyBorder="1"/>
    <xf numFmtId="0" fontId="8" fillId="0" borderId="2" xfId="0" applyFont="1" applyBorder="1" applyAlignment="1" applyProtection="1">
      <alignment horizontal="center"/>
      <protection locked="0"/>
    </xf>
    <xf numFmtId="0" fontId="8" fillId="11" borderId="14" xfId="0" applyFont="1" applyFill="1" applyBorder="1" applyAlignment="1">
      <alignment horizontal="center"/>
    </xf>
    <xf numFmtId="0" fontId="8" fillId="0" borderId="48" xfId="0" applyFont="1" applyBorder="1" applyAlignment="1">
      <alignment horizontal="center" vertical="center" wrapText="1"/>
    </xf>
    <xf numFmtId="0" fontId="0" fillId="0" borderId="33" xfId="0" applyBorder="1"/>
    <xf numFmtId="0" fontId="0" fillId="0" borderId="10" xfId="0" applyBorder="1"/>
    <xf numFmtId="0" fontId="60" fillId="0" borderId="20" xfId="0" applyFont="1" applyBorder="1" applyAlignment="1">
      <alignment horizontal="center"/>
    </xf>
    <xf numFmtId="0" fontId="0" fillId="0" borderId="17" xfId="0" applyBorder="1"/>
    <xf numFmtId="0" fontId="0" fillId="0" borderId="49" xfId="0" applyBorder="1"/>
    <xf numFmtId="0" fontId="36" fillId="21" borderId="44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39" fillId="11" borderId="38" xfId="0" applyFont="1" applyFill="1" applyBorder="1" applyAlignment="1">
      <alignment horizontal="left" wrapText="1"/>
    </xf>
    <xf numFmtId="0" fontId="39" fillId="11" borderId="24" xfId="0" applyFont="1" applyFill="1" applyBorder="1" applyAlignment="1">
      <alignment horizontal="center" wrapText="1"/>
    </xf>
    <xf numFmtId="0" fontId="58" fillId="0" borderId="0" xfId="0" applyFont="1" applyAlignment="1">
      <alignment horizontal="center" wrapText="1"/>
    </xf>
    <xf numFmtId="0" fontId="5" fillId="11" borderId="25" xfId="1" applyFill="1" applyBorder="1" applyAlignment="1" applyProtection="1">
      <alignment horizontal="center" wrapText="1"/>
    </xf>
    <xf numFmtId="0" fontId="23" fillId="0" borderId="42" xfId="0" applyFont="1" applyBorder="1" applyAlignment="1">
      <alignment horizontal="center" wrapText="1"/>
    </xf>
    <xf numFmtId="0" fontId="0" fillId="0" borderId="42" xfId="0" applyBorder="1"/>
    <xf numFmtId="0" fontId="8" fillId="0" borderId="6" xfId="0" applyFont="1" applyBorder="1" applyAlignment="1">
      <alignment horizontal="left"/>
    </xf>
    <xf numFmtId="0" fontId="0" fillId="0" borderId="6" xfId="0" applyBorder="1"/>
    <xf numFmtId="0" fontId="5" fillId="11" borderId="0" xfId="1" applyFill="1" applyAlignment="1" applyProtection="1">
      <alignment horizontal="center" wrapText="1"/>
    </xf>
    <xf numFmtId="0" fontId="5" fillId="0" borderId="0" xfId="1" applyAlignment="1">
      <alignment horizontal="center" vertical="top" wrapText="1"/>
      <protection locked="0"/>
    </xf>
    <xf numFmtId="0" fontId="0" fillId="0" borderId="0" xfId="0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0" fontId="16" fillId="16" borderId="48" xfId="0" applyFont="1" applyFill="1" applyBorder="1" applyAlignment="1">
      <alignment horizontal="center"/>
    </xf>
    <xf numFmtId="0" fontId="17" fillId="15" borderId="48" xfId="0" applyFont="1" applyFill="1" applyBorder="1" applyAlignment="1">
      <alignment horizontal="center"/>
    </xf>
    <xf numFmtId="0" fontId="33" fillId="11" borderId="27" xfId="0" applyFont="1" applyFill="1" applyBorder="1" applyAlignment="1">
      <alignment horizontal="center"/>
    </xf>
    <xf numFmtId="0" fontId="15" fillId="16" borderId="48" xfId="0" applyFont="1" applyFill="1" applyBorder="1" applyAlignment="1">
      <alignment horizontal="center"/>
    </xf>
    <xf numFmtId="0" fontId="0" fillId="16" borderId="0" xfId="0" applyFill="1" applyProtection="1">
      <protection locked="0"/>
    </xf>
    <xf numFmtId="0" fontId="6" fillId="11" borderId="48" xfId="0" applyFont="1" applyFill="1" applyBorder="1" applyAlignment="1">
      <alignment horizontal="center" vertical="top" wrapText="1"/>
    </xf>
    <xf numFmtId="0" fontId="6" fillId="22" borderId="48" xfId="0" applyFont="1" applyFill="1" applyBorder="1" applyAlignment="1">
      <alignment horizontal="center" vertical="top" wrapText="1"/>
    </xf>
    <xf numFmtId="0" fontId="15" fillId="15" borderId="48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0" borderId="48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34" fillId="22" borderId="27" xfId="0" applyFont="1" applyFill="1" applyBorder="1"/>
    <xf numFmtId="0" fontId="16" fillId="10" borderId="48" xfId="0" applyFont="1" applyFill="1" applyBorder="1" applyAlignment="1">
      <alignment horizontal="center"/>
    </xf>
    <xf numFmtId="0" fontId="19" fillId="0" borderId="0" xfId="0" applyFont="1" applyAlignment="1">
      <alignment horizontal="left" vertical="top" wrapText="1"/>
    </xf>
    <xf numFmtId="0" fontId="4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48" xfId="0" applyBorder="1" applyAlignment="1">
      <alignment horizontal="center" vertical="center"/>
    </xf>
    <xf numFmtId="0" fontId="76" fillId="0" borderId="0" xfId="0" applyFont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center"/>
      <protection hidden="1"/>
    </xf>
    <xf numFmtId="0" fontId="4" fillId="0" borderId="41" xfId="0" applyFont="1" applyBorder="1" applyAlignment="1" applyProtection="1">
      <alignment horizontal="center"/>
      <protection hidden="1"/>
    </xf>
    <xf numFmtId="0" fontId="0" fillId="0" borderId="41" xfId="0" applyBorder="1" applyProtection="1">
      <protection hidden="1"/>
    </xf>
    <xf numFmtId="166" fontId="0" fillId="24" borderId="2" xfId="0" applyNumberFormat="1" applyFill="1" applyBorder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8" fillId="0" borderId="29" xfId="0" applyFont="1" applyBorder="1" applyAlignment="1" applyProtection="1">
      <alignment horizontal="center"/>
      <protection hidden="1"/>
    </xf>
    <xf numFmtId="0" fontId="0" fillId="0" borderId="8" xfId="0" applyBorder="1" applyProtection="1">
      <protection hidden="1"/>
    </xf>
    <xf numFmtId="0" fontId="0" fillId="0" borderId="29" xfId="0" applyBorder="1" applyAlignment="1" applyProtection="1">
      <alignment horizontal="center"/>
      <protection hidden="1"/>
    </xf>
    <xf numFmtId="165" fontId="0" fillId="24" borderId="2" xfId="0" applyNumberFormat="1" applyFill="1" applyBorder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24" borderId="2" xfId="0" applyFill="1" applyBorder="1" applyAlignment="1" applyProtection="1">
      <alignment horizontal="center"/>
      <protection hidden="1"/>
    </xf>
    <xf numFmtId="0" fontId="8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</cellXfs>
  <cellStyles count="6">
    <cellStyle name="Collegamento ipertestuale" xfId="1" builtinId="8"/>
    <cellStyle name="Normale" xfId="0" builtinId="0"/>
    <cellStyle name="Normale 2" xfId="2" xr:uid="{00000000-0005-0000-0000-000002000000}"/>
    <cellStyle name="Normale 3" xfId="3" xr:uid="{00000000-0005-0000-0000-000003000000}"/>
    <cellStyle name="Normale 4" xfId="4" xr:uid="{00000000-0005-0000-0000-000004000000}"/>
    <cellStyle name="Nota 2" xfId="5" xr:uid="{00000000-0005-0000-0000-000005000000}"/>
  </cellStyles>
  <dxfs count="62"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56"/>
      </font>
      <fill>
        <patternFill>
          <bgColor indexed="65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7030A0"/>
        </patternFill>
      </fill>
    </dxf>
    <dxf>
      <fill>
        <patternFill>
          <bgColor theme="4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4" tint="-0.2499465926084170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auto="1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rgb="FFFF0000"/>
      </font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59996337778862885"/>
      </font>
    </dxf>
    <dxf>
      <font>
        <color theme="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lor theme="9" tint="0.59996337778862885"/>
      </font>
    </dxf>
    <dxf>
      <font>
        <color theme="1"/>
      </font>
      <fill>
        <patternFill>
          <bgColor theme="0"/>
        </patternFill>
      </fill>
    </dxf>
    <dxf>
      <font>
        <condense val="0"/>
        <extend val="0"/>
        <color indexed="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Andamento annuale</a:t>
            </a:r>
          </a:p>
        </c:rich>
      </c:tx>
      <c:layout>
        <c:manualLayout>
          <c:xMode val="edge"/>
          <c:yMode val="edge"/>
          <c:x val="0.36455930055949382"/>
          <c:y val="0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566941231214989E-2"/>
          <c:y val="0.1063122902339147"/>
          <c:w val="0.65234361670628982"/>
          <c:h val="0.54004660429508056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4">
                    <a:tint val="94000"/>
                    <a:satMod val="103000"/>
                    <a:lumMod val="102000"/>
                  </a:schemeClr>
                </a:gs>
                <a:gs pos="50000">
                  <a:schemeClr val="accent4">
                    <a:shade val="100000"/>
                    <a:satMod val="110000"/>
                    <a:lumMod val="100000"/>
                  </a:schemeClr>
                </a:gs>
                <a:gs pos="100000">
                  <a:schemeClr val="accent4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STAMPA!$D$45:$D$56</c:f>
            </c:numRef>
          </c:val>
          <c:extLst>
            <c:ext xmlns:c16="http://schemas.microsoft.com/office/drawing/2014/chart" uri="{C3380CC4-5D6E-409C-BE32-E72D297353CC}">
              <c16:uniqueId val="{00000000-0A13-4A34-A740-39CC8D57E861}"/>
            </c:ext>
          </c:extLst>
        </c:ser>
        <c:ser>
          <c:idx val="2"/>
          <c:order val="1"/>
          <c:tx>
            <c:v>Energia erogata A.</c:v>
          </c:tx>
          <c:spPr>
            <a:gradFill rotWithShape="1">
              <a:gsLst>
                <a:gs pos="0">
                  <a:schemeClr val="accent6">
                    <a:tint val="94000"/>
                    <a:satMod val="103000"/>
                    <a:lumMod val="102000"/>
                  </a:schemeClr>
                </a:gs>
                <a:gs pos="50000">
                  <a:schemeClr val="accent6">
                    <a:shade val="100000"/>
                    <a:satMod val="110000"/>
                    <a:lumMod val="100000"/>
                  </a:schemeClr>
                </a:gs>
                <a:gs pos="100000">
                  <a:schemeClr val="accent6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STAMPA!$E$45:$E$56</c:f>
              <c:numCache>
                <c:formatCode>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13-4A34-A740-39CC8D57E861}"/>
            </c:ext>
          </c:extLst>
        </c:ser>
        <c:ser>
          <c:idx val="3"/>
          <c:order val="2"/>
          <c:tx>
            <c:v>Energia erogataA.</c:v>
          </c:tx>
          <c:spPr>
            <a:gradFill rotWithShape="1">
              <a:gsLst>
                <a:gs pos="0">
                  <a:schemeClr val="accent2">
                    <a:tint val="94000"/>
                    <a:satMod val="103000"/>
                    <a:lumMod val="102000"/>
                  </a:schemeClr>
                </a:gs>
                <a:gs pos="50000">
                  <a:schemeClr val="accent2">
                    <a:shade val="100000"/>
                    <a:satMod val="110000"/>
                    <a:lumMod val="100000"/>
                  </a:schemeClr>
                </a:gs>
                <a:gs pos="100000">
                  <a:schemeClr val="accent2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STAMPA!$F$45:$F$56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0A13-4A34-A740-39CC8D57E861}"/>
            </c:ext>
          </c:extLst>
        </c:ser>
        <c:ser>
          <c:idx val="4"/>
          <c:order val="3"/>
          <c:tx>
            <c:v>Energia consumata A.</c:v>
          </c:tx>
          <c:spPr>
            <a:gradFill rotWithShape="1">
              <a:gsLst>
                <a:gs pos="0">
                  <a:schemeClr val="accent4">
                    <a:tint val="94000"/>
                    <a:satMod val="103000"/>
                    <a:lumMod val="102000"/>
                  </a:schemeClr>
                </a:gs>
                <a:gs pos="50000">
                  <a:schemeClr val="accent4">
                    <a:shade val="100000"/>
                    <a:satMod val="110000"/>
                    <a:lumMod val="100000"/>
                  </a:schemeClr>
                </a:gs>
                <a:gs pos="100000">
                  <a:schemeClr val="accent4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STAMPA!$G$45:$G$56</c:f>
              <c:numCache>
                <c:formatCode>#,##0\ _€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13-4A34-A740-39CC8D57E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7"/>
        <c:axId val="1503008432"/>
        <c:axId val="1503006512"/>
      </c:barChart>
      <c:lineChart>
        <c:grouping val="percentStacked"/>
        <c:varyColors val="0"/>
        <c:ser>
          <c:idx val="5"/>
          <c:order val="4"/>
          <c:tx>
            <c:v>Capacità residua betteria %</c:v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  <a:round/>
              </a:ln>
            </c:spPr>
          </c:marker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STAMPA!$I$45:$I$56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13-4A34-A740-39CC8D57E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231600"/>
        <c:axId val="2014229680"/>
      </c:lineChart>
      <c:catAx>
        <c:axId val="1503008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Mese</a:t>
                </a:r>
              </a:p>
            </c:rich>
          </c:tx>
          <c:layout>
            <c:manualLayout>
              <c:xMode val="edge"/>
              <c:yMode val="edge"/>
              <c:x val="0.3446068221022564"/>
              <c:y val="0.7844903151221757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3006512"/>
        <c:crosses val="autoZero"/>
        <c:auto val="1"/>
        <c:lblAlgn val="ctr"/>
        <c:lblOffset val="100"/>
        <c:noMultiLvlLbl val="0"/>
      </c:catAx>
      <c:valAx>
        <c:axId val="150300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Energia  A</a:t>
                </a:r>
              </a:p>
            </c:rich>
          </c:tx>
          <c:layout>
            <c:manualLayout>
              <c:xMode val="edge"/>
              <c:yMode val="edge"/>
              <c:x val="0"/>
              <c:y val="0.3075809738349474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3008432"/>
        <c:crosses val="autoZero"/>
        <c:crossBetween val="between"/>
      </c:valAx>
      <c:catAx>
        <c:axId val="2014231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14229680"/>
        <c:crosses val="autoZero"/>
        <c:auto val="1"/>
        <c:lblAlgn val="ctr"/>
        <c:lblOffset val="100"/>
        <c:noMultiLvlLbl val="0"/>
      </c:catAx>
      <c:valAx>
        <c:axId val="201422968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4231600"/>
        <c:crosses val="max"/>
        <c:crossBetween val="between"/>
      </c:valAx>
    </c:plotArea>
    <c:legend>
      <c:legendPos val="b"/>
      <c:legendEntry>
        <c:idx val="1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Andamento annuale</a:t>
            </a:r>
          </a:p>
        </c:rich>
      </c:tx>
      <c:layout>
        <c:manualLayout>
          <c:xMode val="edge"/>
          <c:yMode val="edge"/>
          <c:x val="0.36455930055949382"/>
          <c:y val="0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566941231214989E-2"/>
          <c:y val="0.1063122902339147"/>
          <c:w val="0.65234361670628982"/>
          <c:h val="0.54004660429508056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4">
                    <a:tint val="94000"/>
                    <a:satMod val="103000"/>
                    <a:lumMod val="102000"/>
                  </a:schemeClr>
                </a:gs>
                <a:gs pos="50000">
                  <a:schemeClr val="accent4">
                    <a:shade val="100000"/>
                    <a:satMod val="110000"/>
                    <a:lumMod val="100000"/>
                  </a:schemeClr>
                </a:gs>
                <a:gs pos="100000">
                  <a:schemeClr val="accent4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STAMPA!$D$45:$D$56</c:f>
            </c:numRef>
          </c:val>
          <c:extLst>
            <c:ext xmlns:c16="http://schemas.microsoft.com/office/drawing/2014/chart" uri="{C3380CC4-5D6E-409C-BE32-E72D297353CC}">
              <c16:uniqueId val="{00000000-F31E-4CFD-830F-F7AF8F3E2E37}"/>
            </c:ext>
          </c:extLst>
        </c:ser>
        <c:ser>
          <c:idx val="2"/>
          <c:order val="1"/>
          <c:tx>
            <c:v>Energia erogata A.</c:v>
          </c:tx>
          <c:spPr>
            <a:gradFill rotWithShape="1">
              <a:gsLst>
                <a:gs pos="0">
                  <a:schemeClr val="accent6">
                    <a:tint val="94000"/>
                    <a:satMod val="103000"/>
                    <a:lumMod val="102000"/>
                  </a:schemeClr>
                </a:gs>
                <a:gs pos="50000">
                  <a:schemeClr val="accent6">
                    <a:shade val="100000"/>
                    <a:satMod val="110000"/>
                    <a:lumMod val="100000"/>
                  </a:schemeClr>
                </a:gs>
                <a:gs pos="100000">
                  <a:schemeClr val="accent6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STAMPA!$E$45:$E$56</c:f>
              <c:numCache>
                <c:formatCode>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1E-4CFD-830F-F7AF8F3E2E37}"/>
            </c:ext>
          </c:extLst>
        </c:ser>
        <c:ser>
          <c:idx val="3"/>
          <c:order val="2"/>
          <c:tx>
            <c:v>Energia erogataA.</c:v>
          </c:tx>
          <c:spPr>
            <a:gradFill rotWithShape="1">
              <a:gsLst>
                <a:gs pos="0">
                  <a:schemeClr val="accent2">
                    <a:tint val="94000"/>
                    <a:satMod val="103000"/>
                    <a:lumMod val="102000"/>
                  </a:schemeClr>
                </a:gs>
                <a:gs pos="50000">
                  <a:schemeClr val="accent2">
                    <a:shade val="100000"/>
                    <a:satMod val="110000"/>
                    <a:lumMod val="100000"/>
                  </a:schemeClr>
                </a:gs>
                <a:gs pos="100000">
                  <a:schemeClr val="accent2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STAMPA!$F$45:$F$56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F31E-4CFD-830F-F7AF8F3E2E37}"/>
            </c:ext>
          </c:extLst>
        </c:ser>
        <c:ser>
          <c:idx val="4"/>
          <c:order val="3"/>
          <c:tx>
            <c:v>Energia consumata A.</c:v>
          </c:tx>
          <c:spPr>
            <a:gradFill rotWithShape="1">
              <a:gsLst>
                <a:gs pos="0">
                  <a:schemeClr val="accent4">
                    <a:tint val="94000"/>
                    <a:satMod val="103000"/>
                    <a:lumMod val="102000"/>
                  </a:schemeClr>
                </a:gs>
                <a:gs pos="50000">
                  <a:schemeClr val="accent4">
                    <a:shade val="100000"/>
                    <a:satMod val="110000"/>
                    <a:lumMod val="100000"/>
                  </a:schemeClr>
                </a:gs>
                <a:gs pos="100000">
                  <a:schemeClr val="accent4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STAMPA!$G$45:$G$56</c:f>
              <c:numCache>
                <c:formatCode>#,##0\ _€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1E-4CFD-830F-F7AF8F3E2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7"/>
        <c:axId val="1503008432"/>
        <c:axId val="1503006512"/>
      </c:barChart>
      <c:lineChart>
        <c:grouping val="percentStacked"/>
        <c:varyColors val="0"/>
        <c:ser>
          <c:idx val="5"/>
          <c:order val="4"/>
          <c:tx>
            <c:v>Capacità residua betteria %</c:v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  <a:round/>
              </a:ln>
            </c:spPr>
          </c:marker>
          <c:cat>
            <c:strRef>
              <c:f>STAMPA!$B$45:$B$56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STAMPA!$I$45:$I$56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1E-4CFD-830F-F7AF8F3E2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231600"/>
        <c:axId val="2014229680"/>
      </c:lineChart>
      <c:catAx>
        <c:axId val="1503008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Mese</a:t>
                </a:r>
              </a:p>
            </c:rich>
          </c:tx>
          <c:layout>
            <c:manualLayout>
              <c:xMode val="edge"/>
              <c:yMode val="edge"/>
              <c:x val="0.3446068221022564"/>
              <c:y val="0.7844903151221757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3006512"/>
        <c:crosses val="autoZero"/>
        <c:auto val="1"/>
        <c:lblAlgn val="ctr"/>
        <c:lblOffset val="100"/>
        <c:noMultiLvlLbl val="0"/>
      </c:catAx>
      <c:valAx>
        <c:axId val="150300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Energia  A</a:t>
                </a:r>
              </a:p>
            </c:rich>
          </c:tx>
          <c:layout>
            <c:manualLayout>
              <c:xMode val="edge"/>
              <c:yMode val="edge"/>
              <c:x val="0"/>
              <c:y val="0.3075809738349474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3008432"/>
        <c:crosses val="autoZero"/>
        <c:crossBetween val="between"/>
      </c:valAx>
      <c:catAx>
        <c:axId val="2014231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14229680"/>
        <c:crosses val="autoZero"/>
        <c:auto val="1"/>
        <c:lblAlgn val="ctr"/>
        <c:lblOffset val="100"/>
        <c:noMultiLvlLbl val="0"/>
      </c:catAx>
      <c:valAx>
        <c:axId val="201422968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4231600"/>
        <c:crosses val="max"/>
        <c:crossBetween val="between"/>
      </c:valAx>
    </c:plotArea>
    <c:legend>
      <c:legendPos val="b"/>
      <c:legendEntry>
        <c:idx val="1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8017</xdr:colOff>
      <xdr:row>2</xdr:row>
      <xdr:rowOff>5864</xdr:rowOff>
    </xdr:from>
    <xdr:to>
      <xdr:col>1</xdr:col>
      <xdr:colOff>1507526</xdr:colOff>
      <xdr:row>2</xdr:row>
      <xdr:rowOff>508000</xdr:rowOff>
    </xdr:to>
    <xdr:pic>
      <xdr:nvPicPr>
        <xdr:cNvPr id="6" name="Immagin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7464" y="357141"/>
          <a:ext cx="1499509" cy="502136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37294</xdr:colOff>
      <xdr:row>2</xdr:row>
      <xdr:rowOff>146750</xdr:rowOff>
    </xdr:from>
    <xdr:to>
      <xdr:col>3</xdr:col>
      <xdr:colOff>0</xdr:colOff>
      <xdr:row>4</xdr:row>
      <xdr:rowOff>266700</xdr:rowOff>
    </xdr:to>
    <xdr:pic>
      <xdr:nvPicPr>
        <xdr:cNvPr id="1871" name="Immagine 2">
          <a:extLst>
            <a:ext uri="{FF2B5EF4-FFF2-40B4-BE49-F238E27FC236}">
              <a16:creationId xmlns:a16="http://schemas.microsoft.com/office/drawing/2014/main" id="{00000000-0008-0000-0200-00004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7294" y="146750"/>
          <a:ext cx="1364424" cy="457407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 editAs="oneCell">
    <xdr:from>
      <xdr:col>1</xdr:col>
      <xdr:colOff>43941</xdr:colOff>
      <xdr:row>66</xdr:row>
      <xdr:rowOff>143725</xdr:rowOff>
    </xdr:from>
    <xdr:to>
      <xdr:col>7</xdr:col>
      <xdr:colOff>1116561</xdr:colOff>
      <xdr:row>76</xdr:row>
      <xdr:rowOff>49609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0660" y="8349116"/>
          <a:ext cx="3830901" cy="1493384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15</xdr:col>
      <xdr:colOff>153526</xdr:colOff>
      <xdr:row>30</xdr:row>
      <xdr:rowOff>38716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6800" y="485775"/>
          <a:ext cx="8078327" cy="441069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325102</xdr:colOff>
      <xdr:row>31</xdr:row>
      <xdr:rowOff>53352</xdr:rowOff>
    </xdr:from>
    <xdr:to>
      <xdr:col>22</xdr:col>
      <xdr:colOff>250032</xdr:colOff>
      <xdr:row>72</xdr:row>
      <xdr:rowOff>3070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59227" y="5220665"/>
          <a:ext cx="9033210" cy="678390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107156</xdr:colOff>
      <xdr:row>64</xdr:row>
      <xdr:rowOff>64229</xdr:rowOff>
    </xdr:from>
    <xdr:to>
      <xdr:col>14</xdr:col>
      <xdr:colOff>253173</xdr:colOff>
      <xdr:row>83</xdr:row>
      <xdr:rowOff>19072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1281" y="10732229"/>
          <a:ext cx="4396548" cy="31219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</xdr:col>
      <xdr:colOff>488156</xdr:colOff>
      <xdr:row>40</xdr:row>
      <xdr:rowOff>125866</xdr:rowOff>
    </xdr:from>
    <xdr:to>
      <xdr:col>8</xdr:col>
      <xdr:colOff>147515</xdr:colOff>
      <xdr:row>63</xdr:row>
      <xdr:rowOff>93675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93406" y="6793366"/>
          <a:ext cx="2695454" cy="3801622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69</xdr:row>
      <xdr:rowOff>92644</xdr:rowOff>
    </xdr:from>
    <xdr:to>
      <xdr:col>7</xdr:col>
      <xdr:colOff>630186</xdr:colOff>
      <xdr:row>89</xdr:row>
      <xdr:rowOff>5629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37294</xdr:colOff>
      <xdr:row>2</xdr:row>
      <xdr:rowOff>146750</xdr:rowOff>
    </xdr:from>
    <xdr:to>
      <xdr:col>3</xdr:col>
      <xdr:colOff>721178</xdr:colOff>
      <xdr:row>4</xdr:row>
      <xdr:rowOff>266698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7294" y="146750"/>
          <a:ext cx="1333128" cy="4438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69</xdr:row>
      <xdr:rowOff>92644</xdr:rowOff>
    </xdr:from>
    <xdr:to>
      <xdr:col>7</xdr:col>
      <xdr:colOff>630186</xdr:colOff>
      <xdr:row>89</xdr:row>
      <xdr:rowOff>5629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37294</xdr:colOff>
      <xdr:row>2</xdr:row>
      <xdr:rowOff>146750</xdr:rowOff>
    </xdr:from>
    <xdr:to>
      <xdr:col>3</xdr:col>
      <xdr:colOff>721178</xdr:colOff>
      <xdr:row>4</xdr:row>
      <xdr:rowOff>266698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75419" y="413450"/>
          <a:ext cx="1331584" cy="443798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earth.google.com/web/@672165.35626889d,30.00000015y,0h,0t,0r/data=CgRCAggBMigKJgokCiAxcVgyY2VyWUc4dmdETEpscnEycTVuUDlDSjZtR0tzUSACOgMKATBCAggASggIx4aEgwEQAQ" TargetMode="External"/><Relationship Id="rId13" Type="http://schemas.openxmlformats.org/officeDocument/2006/relationships/hyperlink" Target="https://earth.google.com/web/@41.25128305,13.26726358,-38.19957095a,1734242.23933959d,30.00000092y,0h,0t,0r/data=CgRCAggCMigKJgokCiAxcVgyY2VyWUc4dmdETEpscnEycTVuUDlDSjZtR0tzUSACOgMKATBCAggASggIo5ef2AEQAQ" TargetMode="External"/><Relationship Id="rId3" Type="http://schemas.openxmlformats.org/officeDocument/2006/relationships/hyperlink" Target="https://www.ilovepdf.com/pdf_to_excel" TargetMode="External"/><Relationship Id="rId7" Type="http://schemas.openxmlformats.org/officeDocument/2006/relationships/hyperlink" Target="https://earth.google.com/web/@41.50529084,13.97437549,583.41226362a,2254730.72629362d,35y,0h,0t,0r/data=CgRCAggBMigKJgokCiAxcVgyY2VyWUc4dmdETEpscnEycTVuUDlDSjZtR0tzUSACOgMKATBCAggASggIuZTT_gYQAQ" TargetMode="External"/><Relationship Id="rId12" Type="http://schemas.openxmlformats.org/officeDocument/2006/relationships/hyperlink" Target="https://www.google.com/maps/d/edit?mid=1qX2cerYG8vgDLJlrq2q5nP9CJ6mGKsQ&amp;usp=sharing" TargetMode="External"/><Relationship Id="rId2" Type="http://schemas.openxmlformats.org/officeDocument/2006/relationships/hyperlink" Target="https://re.jrc.ec.europa.eu/pvg_tools/it/tools.html" TargetMode="External"/><Relationship Id="rId16" Type="http://schemas.openxmlformats.org/officeDocument/2006/relationships/comments" Target="../comments4.xml"/><Relationship Id="rId1" Type="http://schemas.openxmlformats.org/officeDocument/2006/relationships/hyperlink" Target="https://www.google.com/maps/@43.9222437,12.9074792,14.84z?authuser=0&amp;entry=ttu&amp;g_ep=EgoyMDI1MDYwNC4wIKXMDSoASAFQAw%3D%3D" TargetMode="External"/><Relationship Id="rId6" Type="http://schemas.openxmlformats.org/officeDocument/2006/relationships/hyperlink" Target="https://alba-tramonto.org/ricerca?location=pesaro" TargetMode="External"/><Relationship Id="rId11" Type="http://schemas.openxmlformats.org/officeDocument/2006/relationships/hyperlink" Target="https://earth.google.com/web/data=MkUKQwpBCiAxcVgyY2VyWUc4dmdETEpscnEycTVuUDlDSjZtR0tzURIbChk1YzRmYzdhNl81NTNEMzAyREJBRDk5Qjg5IAJCAggASggIx-zQxQYQAQ" TargetMode="External"/><Relationship Id="rId5" Type="http://schemas.openxmlformats.org/officeDocument/2006/relationships/hyperlink" Target="https://www.google.com/maps/d/edit?mid=1qX2cerYG8vgDLJlrq2q5nP9CJ6mGKsQ&amp;ll=35.53430848828954%2C14.336122517646665&amp;z=3" TargetMode="External"/><Relationship Id="rId15" Type="http://schemas.openxmlformats.org/officeDocument/2006/relationships/vmlDrawing" Target="../drawings/vmlDrawing4.vml"/><Relationship Id="rId10" Type="http://schemas.openxmlformats.org/officeDocument/2006/relationships/hyperlink" Target="https://www.google.com/maps/@39.1394535,11.80585,6.03z/data=!4m2!6m1!1s1qX2cerYG8vgDLJlrq2q5nP9CJ6mGKsQ?authuser=0&amp;entry=ttu&amp;g_ep=EgoyMDI1MTAyMC4wIKXMDSoASAFQAw%3D%3D" TargetMode="External"/><Relationship Id="rId4" Type="http://schemas.openxmlformats.org/officeDocument/2006/relationships/hyperlink" Target="https://earth.google.com/earth/d/1nq0eWWeL3l3WV4QaaA5Hizyp5FVXOJvk?usp=sharing" TargetMode="External"/><Relationship Id="rId9" Type="http://schemas.openxmlformats.org/officeDocument/2006/relationships/hyperlink" Target="https://re.jrc.ec.europa.eu/pvg_tools/it/tools.html" TargetMode="External"/><Relationship Id="rId14" Type="http://schemas.openxmlformats.org/officeDocument/2006/relationships/hyperlink" Target="https://earth.google.com/web/@41.93228406,11.20328221,97.60401069a,668819.36953828d,30.00000092y,0h,0t,0r/data=CgRCAggBMigKJgokCiAxcVgyY2VyWUc4dmdETEpscnEycTVuUDlDSjZtR0tzUSACOgMKATBCAggASggIxYO8mAMQAQ?authuser=0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search?q=radiazione+solare+liu+jordan&amp;sourceid=chrome&amp;ie=UTF-8&amp;aep=48&amp;cud=0&amp;qsubts=1772355822048&amp;source=chrome.crn.obic&amp;mstk=AUtExfC8uruuWgBMLo61gdczlFaIyo-g8808VtalP4H0NvKGDY6E5uxW9juoJHMP71DUuEhOloOekri5amgk6ZORIYHSvxpZganQoNUtTarFBJrkbhGVwVkXuOUQrDXi2i8r0UVGrDiyiAn-PlLVL_oEqCLCogOqMugAahVP9K29pa5RXu3G2GkCBY9F7En-JSydVSUVIc8zwSZ5-XJgyugNqKuQNR47FU3H2iXVCWe1tldX12Xiw2qRKRaRMwaesW7tPYyKsgRjpt_Enw&amp;csuir=1&amp;mtid=-wCkadn7CNu8i-gPvKfa8A0&amp;lns_mode=cvst&amp;udm=50" TargetMode="External"/><Relationship Id="rId1" Type="http://schemas.openxmlformats.org/officeDocument/2006/relationships/hyperlink" Target="https://www.google.com/search?q=radiazione+solare+liu+jordan&amp;sourceid=chrome&amp;ie=UTF-8&amp;aep=48&amp;cud=0&amp;qsubts=1772355822048&amp;source=chrome.crn.obic&amp;mstk=AUtExfDhnXnztuexv3urkn4rFOe4JLD2HzH0ssJWpp7BhtLij4-PPzdumLehu_NYrVi0e_vLrPrDvPfSxmdAOKkOgge8tEGoIgX4rnHhEsAL52ucRahFi1Z9USDIy7PP_IkJXaCYEfW0AgABaFF7DZBB0UYnYFcgHohawtvuFnBQp4hhbNrF4H5EwbwSkUuRRscPm19qKGd_lK_pK2SqheNJt8u9gE8PKSQ9ycHZAKirDQIQDMk3s0MzRxMIJfwLkR2Cz05T7hFAMvEOqg&amp;csuir=1&amp;mtid=-wCkadn7CNu8i-gPvKfa8A0&amp;lns_mode=cvst&amp;udm=50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indexed="10"/>
  </sheetPr>
  <dimension ref="A1:AP154"/>
  <sheetViews>
    <sheetView showRuler="0" topLeftCell="A3" zoomScale="107" zoomScaleNormal="107" zoomScaleSheetLayoutView="75" workbookViewId="0">
      <selection activeCell="S8" sqref="S8"/>
    </sheetView>
  </sheetViews>
  <sheetFormatPr defaultColWidth="9.140625" defaultRowHeight="15.75"/>
  <cols>
    <col min="1" max="1" width="1.42578125" style="473" customWidth="1"/>
    <col min="2" max="2" width="37.28515625" style="15" customWidth="1"/>
    <col min="3" max="3" width="43.140625" style="462" customWidth="1"/>
    <col min="4" max="4" width="13.85546875" style="474" hidden="1" customWidth="1"/>
    <col min="5" max="5" width="1.85546875" style="474" hidden="1" customWidth="1"/>
    <col min="6" max="6" width="23.28515625" style="3" hidden="1" customWidth="1"/>
    <col min="7" max="7" width="14.28515625" hidden="1" customWidth="1"/>
    <col min="8" max="8" width="15.85546875" hidden="1" customWidth="1"/>
    <col min="9" max="13" width="9.140625" hidden="1" customWidth="1"/>
    <col min="14" max="16" width="12.140625" hidden="1" customWidth="1"/>
    <col min="17" max="18" width="9.140625" hidden="1" customWidth="1"/>
    <col min="19" max="19" width="9.140625" customWidth="1"/>
    <col min="21" max="26" width="13" customWidth="1"/>
  </cols>
  <sheetData>
    <row r="1" spans="1:27" hidden="1"/>
    <row r="2" spans="1:27" ht="10.15" customHeight="1">
      <c r="B2" t="s">
        <v>22</v>
      </c>
    </row>
    <row r="3" spans="1:27" ht="72.75" customHeight="1" thickBot="1">
      <c r="A3" s="455"/>
      <c r="B3" s="686" t="s">
        <v>93</v>
      </c>
      <c r="C3" s="685" t="b">
        <f>IF(C4="","-",IF(C4="CL_299","CL 299
 fanale non più in produzione",IF(C4="CL_301","                                 CL_301   
Lanterna marina con portata nominale  fino 7 NM. 
Composta da 9 LED ad alta intensità. 
Divergenza  (FWHM) &gt;4°.
Corpo  in alluminio smaltato.",IF(C4="CL_401","                                 CL_401   
Lanterna marina con portata nominale  fino 8 NM. 
Composta da 9 LED ad alta intensità. 
Divergenza  (FWHM) &gt;4°.
Corpo  in alluminio smaltato ",IF(C4="CL_299 _H","CL 299_H
 fanale non più in produzione",IF(C4="CL_301_H","                                 CL_301_H   
Lanterna marina con portata nominale  fino 6 NM. 
Composta da 9 LED ad alta intensità. 
Divergenza  (FWHM) &gt;8°.
Corpo  in alluminio smaltato. ",IF(C4="CL_401_H","                                 CL_401_H   
Lanterna marina con portata nominale  fino 7 NM. 
Composta da 9 LED ad alta intensità. 
Divergenza  (FWHM) &gt;8°.
Corpo  in alluminio smaltato.  ",IF(C4="CL_201","                                     CL_201
Lanterna marina con portata nominale  fino 4 NM. 
Composta da 1 LED ad alta intensità. 
Divergenza  (FWHM) &gt;8°.
Corpo  in alluminio smaltato. "))))))))</f>
        <v>0</v>
      </c>
      <c r="D3" s="456"/>
      <c r="E3" s="457"/>
      <c r="F3" s="880">
        <f>IF(C13="no dati","Calcolo impossibile,      la portata luminosa richiesta non è  raggiungibile da questo fanale con  questo colore della luce.    CORREGGERE ",IF(D18=0,DATI!H29,IF(D18=1,DATI!H30,IF(D18=3,DATI!H31,IF(D18=7,DATI!H32,IF(D18=15,DATI!H33,IF(D18=31,DATI!H34,IF(D18=63,DATI!H35,IF(J18=126,"INSERISCI UN MODELLO DI LANTERNA",IF(J18=125,"INSERISCI LA LOCALITA",IF(J18=123,"INSERISCI IL COLORE DELLA LUCE",IF(J18=119,"INSERISCI LA CARATTERISTICA DI LAMPEGGIO",IF(J18=111,"INSERISCI IL DATO DELLE MN RICHIESTE",IF(J18=63,"INSERISCI COMPRESO o NON COMPRESO PER IL TELEMONITORAGGIO",IF(J18=95,"INSERISCI  COMPRESO o NON COMPRESO PER IL SINCRONISMO GPS",IF(D18=7,DATI!H36,IF(D18=127,I24," ")))))))))))))))))</f>
        <v>1</v>
      </c>
    </row>
    <row r="4" spans="1:27" ht="19.899999999999999" customHeight="1">
      <c r="A4" s="455"/>
      <c r="B4" s="697" t="s">
        <v>94</v>
      </c>
      <c r="C4" s="704" t="str">
        <f>IF(AA4="",S4,AA4)</f>
        <v>CL_302</v>
      </c>
      <c r="D4" s="457">
        <f>IF(C4="",0,1)</f>
        <v>1</v>
      </c>
      <c r="E4" s="457"/>
      <c r="F4" s="881"/>
      <c r="G4" s="46"/>
      <c r="I4" s="2">
        <v>1</v>
      </c>
      <c r="J4">
        <f>IF(C4="",0,1)</f>
        <v>1</v>
      </c>
      <c r="K4">
        <v>126</v>
      </c>
      <c r="M4">
        <v>0</v>
      </c>
      <c r="S4" t="s">
        <v>95</v>
      </c>
    </row>
    <row r="5" spans="1:27" ht="19.899999999999999" customHeight="1">
      <c r="A5" s="455">
        <v>1</v>
      </c>
      <c r="B5" s="746" t="s">
        <v>96</v>
      </c>
      <c r="C5" s="696" t="str">
        <f>S5</f>
        <v>Italia_Ancona</v>
      </c>
      <c r="D5" s="457">
        <f>IF(C5="",0,1)</f>
        <v>1</v>
      </c>
      <c r="E5" s="457"/>
      <c r="F5" s="881"/>
      <c r="I5">
        <v>2</v>
      </c>
      <c r="J5">
        <f>IF(C5="",0,2)</f>
        <v>2</v>
      </c>
      <c r="K5">
        <v>125</v>
      </c>
      <c r="M5">
        <v>1</v>
      </c>
      <c r="S5" s="477" t="s">
        <v>93</v>
      </c>
    </row>
    <row r="6" spans="1:27" ht="19.899999999999999" customHeight="1">
      <c r="A6" s="455">
        <v>1</v>
      </c>
      <c r="B6" s="746" t="s">
        <v>97</v>
      </c>
      <c r="C6" s="696" t="str">
        <f>S6</f>
        <v>Rossa</v>
      </c>
      <c r="D6" s="457">
        <f>IF(C6="",0,1)</f>
        <v>1</v>
      </c>
      <c r="E6" s="457"/>
      <c r="F6" s="881"/>
      <c r="G6" s="458"/>
      <c r="I6">
        <v>4</v>
      </c>
      <c r="J6">
        <f>IF(C6="",0,4)</f>
        <v>4</v>
      </c>
      <c r="K6">
        <v>123</v>
      </c>
      <c r="M6">
        <v>3</v>
      </c>
      <c r="S6" t="s">
        <v>98</v>
      </c>
    </row>
    <row r="7" spans="1:27" ht="19.899999999999999" hidden="1" customHeight="1">
      <c r="A7" s="455"/>
      <c r="B7" s="700" t="s">
        <v>99</v>
      </c>
      <c r="C7" s="701" t="str">
        <f>C8</f>
        <v>0,5 - 0,8 = P.  1,3 sec.</v>
      </c>
      <c r="D7" s="457"/>
      <c r="E7" s="457"/>
      <c r="F7" s="881"/>
      <c r="G7" s="459"/>
      <c r="K7">
        <v>119</v>
      </c>
    </row>
    <row r="8" spans="1:27" ht="19.899999999999999" customHeight="1">
      <c r="A8" s="455">
        <v>1</v>
      </c>
      <c r="B8" s="711" t="s">
        <v>100</v>
      </c>
      <c r="C8" s="698" t="str">
        <f>S8</f>
        <v>0,5 - 0,8 = P.  1,3 sec.</v>
      </c>
      <c r="D8" s="457">
        <f>IF(C8="",0,1)</f>
        <v>1</v>
      </c>
      <c r="E8" s="457"/>
      <c r="F8" s="881"/>
      <c r="G8" s="459"/>
      <c r="I8">
        <v>5</v>
      </c>
      <c r="J8">
        <f>IF(C8="",0,8)</f>
        <v>8</v>
      </c>
      <c r="M8">
        <v>7</v>
      </c>
      <c r="S8" t="s">
        <v>101</v>
      </c>
    </row>
    <row r="9" spans="1:27" ht="19.899999999999999" customHeight="1">
      <c r="A9" s="455"/>
      <c r="B9" s="676" t="s">
        <v>102</v>
      </c>
      <c r="C9" s="677">
        <f>IF(C8="000","1",IFERROR(VLOOKUP(C7,CARATTERISTICHE!E6:I261,4,FALSE),0))</f>
        <v>0.5</v>
      </c>
      <c r="D9" s="457"/>
      <c r="E9" s="457"/>
      <c r="F9" s="881"/>
      <c r="G9" s="459"/>
    </row>
    <row r="10" spans="1:27" ht="19.899999999999999" customHeight="1">
      <c r="A10" s="455"/>
      <c r="B10" s="676" t="s">
        <v>103</v>
      </c>
      <c r="C10" s="677">
        <f>IF(C8="000","1",IFERROR(VLOOKUP(C7,CARATTERISTICHE!E6:I261,5,FALSE),0))</f>
        <v>0.8</v>
      </c>
      <c r="D10" s="457"/>
      <c r="E10" s="457"/>
      <c r="F10" s="881"/>
      <c r="G10" s="459"/>
    </row>
    <row r="11" spans="1:27" ht="19.899999999999999" customHeight="1" thickBot="1">
      <c r="A11" s="455"/>
      <c r="B11" s="711" t="s">
        <v>104</v>
      </c>
      <c r="C11" s="712">
        <f>IFERROR(100/(C9+C10)*C9,100)</f>
        <v>38.46153846153846</v>
      </c>
      <c r="D11" s="457"/>
      <c r="E11" s="457"/>
      <c r="F11" s="881"/>
      <c r="G11" s="459"/>
    </row>
    <row r="12" spans="1:27" ht="19.899999999999999" customHeight="1" thickBot="1">
      <c r="A12" s="455">
        <v>1</v>
      </c>
      <c r="B12" s="699" t="s">
        <v>105</v>
      </c>
      <c r="C12" s="714">
        <f>IF(AA12="",S12+0,AA12)</f>
        <v>3</v>
      </c>
      <c r="D12" s="457">
        <f>IF(C12="",0,1)</f>
        <v>1</v>
      </c>
      <c r="E12" s="457">
        <f>S12+0</f>
        <v>3</v>
      </c>
      <c r="F12" s="881"/>
      <c r="I12">
        <v>5</v>
      </c>
      <c r="J12">
        <f>IF(C12="",0,16)</f>
        <v>16</v>
      </c>
      <c r="K12">
        <v>111</v>
      </c>
      <c r="M12">
        <v>15</v>
      </c>
      <c r="O12" s="232"/>
      <c r="S12" t="s">
        <v>106</v>
      </c>
      <c r="AA12" s="749"/>
    </row>
    <row r="13" spans="1:27" ht="19.899999999999999" customHeight="1">
      <c r="A13" s="455"/>
      <c r="B13" s="705" t="s">
        <v>107</v>
      </c>
      <c r="C13" s="713">
        <f>IFERROR(VLOOKUP(C12,'x inserimento dati fissi'!B4:V21,DATI!C6,FALSE),0)</f>
        <v>0</v>
      </c>
      <c r="D13" s="457"/>
      <c r="E13" s="457"/>
      <c r="F13" s="881"/>
    </row>
    <row r="14" spans="1:27" ht="19.899999999999999" customHeight="1">
      <c r="A14" s="455"/>
      <c r="B14" s="679"/>
      <c r="C14" s="680">
        <f>IF(C4=""," ",1)</f>
        <v>1</v>
      </c>
      <c r="D14" s="457"/>
      <c r="E14" s="457"/>
      <c r="F14" s="881"/>
    </row>
    <row r="15" spans="1:27" ht="19.899999999999999" customHeight="1">
      <c r="A15" s="455"/>
      <c r="B15" s="678" t="s">
        <v>108</v>
      </c>
      <c r="C15" s="680">
        <f>IFERROR(VLOOKUP(C4,'x inserimento dati fissi'!B25:F34,3,FALSE),0)</f>
        <v>0</v>
      </c>
      <c r="D15" s="457"/>
      <c r="E15" s="457"/>
      <c r="F15" s="881"/>
    </row>
    <row r="16" spans="1:27" ht="19.899999999999999" customHeight="1">
      <c r="A16" s="455"/>
      <c r="B16" s="699" t="s">
        <v>109</v>
      </c>
      <c r="C16" s="702" t="str">
        <f>S16</f>
        <v>NON COMPRESO</v>
      </c>
      <c r="D16" s="457">
        <f>IF(C16="",0,1)</f>
        <v>1</v>
      </c>
      <c r="E16" s="457"/>
      <c r="F16" s="881"/>
      <c r="J16">
        <f>IF(C16="",0,32)</f>
        <v>32</v>
      </c>
      <c r="K16">
        <v>95</v>
      </c>
      <c r="M16">
        <v>31</v>
      </c>
      <c r="S16" t="s">
        <v>110</v>
      </c>
    </row>
    <row r="17" spans="1:42" ht="19.899999999999999" customHeight="1" thickBot="1">
      <c r="A17" s="455"/>
      <c r="B17" s="460" t="s">
        <v>111</v>
      </c>
      <c r="C17" s="703" t="s">
        <v>110</v>
      </c>
      <c r="D17" s="457">
        <f>IF(C17="",0,1)</f>
        <v>1</v>
      </c>
      <c r="E17" s="457"/>
      <c r="F17" s="691">
        <f>C11</f>
        <v>38.46153846153846</v>
      </c>
      <c r="J17">
        <f>IF(C17="",0,64)</f>
        <v>64</v>
      </c>
      <c r="K17">
        <v>63</v>
      </c>
      <c r="M17">
        <v>63</v>
      </c>
      <c r="S17" s="229"/>
    </row>
    <row r="18" spans="1:42" s="644" customFormat="1" ht="20.100000000000001" customHeight="1" thickBot="1">
      <c r="A18" s="649"/>
      <c r="B18" s="716" t="str">
        <f>B11 &amp; "      " &amp; TEXT(C11, "0,0")</f>
        <v xml:space="preserve"> duty cycle      38,5</v>
      </c>
      <c r="C18" s="720" t="str">
        <f>_xlfn.CONCAT(B13,"    ",C13)</f>
        <v>Consumo dei LED  ( MA )    0</v>
      </c>
      <c r="D18" s="650">
        <f>J18</f>
        <v>127</v>
      </c>
      <c r="E18" s="650"/>
      <c r="F18" s="692" t="str">
        <f>IF(D16+D17=2,IFERROR(DATI!O27," "),"")</f>
        <v xml:space="preserve"> </v>
      </c>
      <c r="I18" s="644">
        <f>I4+I5+I6+I7+I12+I16+I17</f>
        <v>12</v>
      </c>
      <c r="J18" s="644">
        <f>J4+J5+J6+J8+J12+J16+J17</f>
        <v>127</v>
      </c>
    </row>
    <row r="19" spans="1:42" s="644" customFormat="1" ht="20.100000000000001" customHeight="1">
      <c r="A19" s="719"/>
      <c r="B19" s="716" t="str">
        <f>_xlfn.CONCAT(B15,"",C15)</f>
        <v>Capacità  batteria     Ah0</v>
      </c>
      <c r="C19" s="720" t="e">
        <f>_xlfn.CONCAT(B22,"  ",C22)</f>
        <v>#N/A</v>
      </c>
      <c r="D19" s="650"/>
      <c r="E19" s="650"/>
      <c r="F19" s="692"/>
    </row>
    <row r="20" spans="1:42" s="644" customFormat="1" ht="20.100000000000001" customHeight="1">
      <c r="A20" s="719"/>
      <c r="B20" s="716" t="e">
        <f>_xlfn.CONCAT(B21,"    ",C21)</f>
        <v>#N/A</v>
      </c>
      <c r="C20" s="715"/>
      <c r="D20" s="650"/>
      <c r="E20" s="650"/>
      <c r="F20" s="692"/>
      <c r="M20" s="644">
        <f>M22</f>
        <v>2</v>
      </c>
    </row>
    <row r="21" spans="1:42" ht="19.5" hidden="1" customHeight="1">
      <c r="A21" s="455"/>
      <c r="B21" s="717" t="str">
        <f>IF(D18=127,"ALR","")</f>
        <v>ALR</v>
      </c>
      <c r="C21" s="730" t="e">
        <f>IF(D18=127,'X STAM  PDF'!H63,"")</f>
        <v>#N/A</v>
      </c>
      <c r="D21" s="457"/>
      <c r="E21" s="457"/>
    </row>
    <row r="22" spans="1:42" ht="15.75" hidden="1" customHeight="1">
      <c r="A22" s="455"/>
      <c r="B22" s="718" t="str">
        <f>IF(D18=127," Autonomia della batteria gg","")</f>
        <v xml:space="preserve"> Autonomia della batteria gg</v>
      </c>
      <c r="C22" s="729" t="e">
        <f>IF(D18=127,'X STAM  PDF'!H62,"")</f>
        <v>#N/A</v>
      </c>
      <c r="D22" s="457"/>
      <c r="E22" s="457"/>
      <c r="J22">
        <f>IF(B28=0,200,1)</f>
        <v>1</v>
      </c>
      <c r="K22">
        <f>IF(C28=0,300,1)</f>
        <v>1</v>
      </c>
      <c r="L22" s="229">
        <f>J22+K22</f>
        <v>2</v>
      </c>
      <c r="M22" s="694">
        <f>IF(L22=2,2,0)</f>
        <v>2</v>
      </c>
      <c r="N22" s="695">
        <f>IF(J18=127,1,2)</f>
        <v>1</v>
      </c>
    </row>
    <row r="23" spans="1:42" s="646" customFormat="1" ht="25.9" customHeight="1">
      <c r="A23" s="647"/>
      <c r="B23" s="874" t="str">
        <f>IFERROR('X STAM  PDF'!D65,"")</f>
        <v/>
      </c>
      <c r="C23" s="875"/>
      <c r="D23" s="648"/>
      <c r="E23" s="687"/>
      <c r="F23" s="688"/>
      <c r="G23" s="644"/>
      <c r="H23" s="644"/>
      <c r="I23" s="644"/>
      <c r="J23" s="644"/>
      <c r="K23" s="644"/>
      <c r="L23" s="644"/>
      <c r="M23" s="644"/>
      <c r="N23" s="644"/>
      <c r="O23" s="644"/>
      <c r="P23" s="644"/>
      <c r="Q23" s="644"/>
      <c r="R23" s="644"/>
      <c r="S23" s="644"/>
      <c r="T23" s="644"/>
      <c r="U23" s="644"/>
      <c r="V23" s="644"/>
      <c r="W23" s="644"/>
      <c r="X23" s="644"/>
      <c r="Y23" s="644"/>
      <c r="Z23" s="644"/>
      <c r="AA23" s="644"/>
      <c r="AB23" s="644"/>
      <c r="AC23" s="644"/>
      <c r="AD23" s="644"/>
      <c r="AE23" s="644"/>
      <c r="AF23" s="644"/>
      <c r="AG23" s="644"/>
      <c r="AH23" s="644"/>
      <c r="AI23" s="644"/>
      <c r="AJ23" s="644"/>
      <c r="AK23" s="644"/>
      <c r="AL23" s="644"/>
      <c r="AM23" s="644"/>
      <c r="AN23" s="644"/>
      <c r="AO23" s="644"/>
      <c r="AP23" s="644"/>
    </row>
    <row r="24" spans="1:42" ht="13.5" customHeight="1">
      <c r="A24" s="455"/>
      <c r="B24" s="876"/>
      <c r="C24" s="877"/>
      <c r="D24" s="457"/>
      <c r="E24" s="457"/>
      <c r="I24" s="651">
        <f>IF(L22=500,"                                                                                                     digitareNUMERO DELLA  COMMESSA  IN  B26  e NOME DEL CLIENTE  IN  C26 ",IF(L22=300,"                                                                                                                       DIGITARE  IN  C24 IL  NOME DEL CLIENTE ",IF(L22=200,"                                                                                                             DIGITARE  IN  B24  IL NUMERO DELLA COMMESSA ",1)))</f>
        <v>1</v>
      </c>
      <c r="J24" t="s">
        <v>112</v>
      </c>
    </row>
    <row r="25" spans="1:42" ht="13.5" customHeight="1" thickBot="1">
      <c r="A25" s="455"/>
      <c r="B25" s="462" t="str">
        <f>IF(D18=127,"Commessa N°","")</f>
        <v>Commessa N°</v>
      </c>
      <c r="C25" s="462" t="str">
        <f>IF(D18=127,"Cliente","")</f>
        <v>Cliente</v>
      </c>
      <c r="D25" s="457">
        <f>IF(B26="",0,1)</f>
        <v>1</v>
      </c>
      <c r="E25" s="457"/>
      <c r="I25" s="651"/>
    </row>
    <row r="26" spans="1:42" ht="24" customHeight="1" thickBot="1">
      <c r="A26" s="455"/>
      <c r="B26" s="747" t="str">
        <f>S26</f>
        <v>asq2</v>
      </c>
      <c r="C26" s="748" t="str">
        <f>S27</f>
        <v>aaa</v>
      </c>
      <c r="D26" s="457">
        <f>IF(C26="",0,1)</f>
        <v>1</v>
      </c>
      <c r="E26" s="457"/>
      <c r="I26" s="651"/>
      <c r="S26" t="s">
        <v>113</v>
      </c>
    </row>
    <row r="27" spans="1:42" ht="24.6" hidden="1" customHeight="1" thickBot="1">
      <c r="A27" s="455"/>
      <c r="B27" s="462" t="str">
        <f>IF(D18=127,"Commessa N°","")</f>
        <v>Commessa N°</v>
      </c>
      <c r="C27" s="462" t="str">
        <f>IF(D18=127,"Cliente","")</f>
        <v>Cliente</v>
      </c>
      <c r="D27" s="457"/>
      <c r="E27" s="457"/>
      <c r="S27" t="s">
        <v>114</v>
      </c>
    </row>
    <row r="28" spans="1:42" ht="15" hidden="1" customHeight="1" thickBot="1">
      <c r="A28" s="455"/>
      <c r="B28" s="681" t="str">
        <f>B26</f>
        <v>asq2</v>
      </c>
      <c r="C28" s="682" t="str">
        <f>C26</f>
        <v>aaa</v>
      </c>
      <c r="D28" s="456"/>
      <c r="E28" s="457"/>
    </row>
    <row r="29" spans="1:42" ht="15" hidden="1" customHeight="1">
      <c r="A29" s="455"/>
      <c r="D29" s="456">
        <f>D18+D25+D26</f>
        <v>129</v>
      </c>
      <c r="E29" s="457"/>
      <c r="H29" s="2"/>
    </row>
    <row r="30" spans="1:42" ht="15" hidden="1" customHeight="1">
      <c r="A30" s="455"/>
      <c r="D30" s="456"/>
      <c r="E30" s="457"/>
    </row>
    <row r="31" spans="1:42" ht="15" hidden="1" customHeight="1">
      <c r="A31" s="455"/>
      <c r="D31" s="456"/>
      <c r="E31" s="457"/>
    </row>
    <row r="32" spans="1:42" ht="15" hidden="1" customHeight="1">
      <c r="A32" s="455"/>
      <c r="D32" s="456"/>
      <c r="E32" s="457"/>
    </row>
    <row r="33" spans="1:8" ht="15" hidden="1" customHeight="1">
      <c r="A33" s="455"/>
      <c r="D33" s="456"/>
      <c r="E33" s="457"/>
    </row>
    <row r="34" spans="1:8" ht="15" hidden="1" customHeight="1">
      <c r="A34" s="455"/>
      <c r="D34" s="456"/>
      <c r="E34" s="457"/>
    </row>
    <row r="35" spans="1:8" ht="15" hidden="1" customHeight="1">
      <c r="A35" s="455"/>
      <c r="D35" s="456" t="s">
        <v>115</v>
      </c>
      <c r="E35" s="457"/>
    </row>
    <row r="36" spans="1:8" ht="15" hidden="1" customHeight="1">
      <c r="A36" s="455"/>
      <c r="D36" s="456" t="s">
        <v>116</v>
      </c>
      <c r="E36" s="457"/>
    </row>
    <row r="37" spans="1:8" ht="15" hidden="1" customHeight="1">
      <c r="A37" s="455"/>
      <c r="D37" s="456" t="s">
        <v>117</v>
      </c>
      <c r="E37" s="457"/>
    </row>
    <row r="38" spans="1:8" ht="15" hidden="1" customHeight="1">
      <c r="A38" s="455"/>
      <c r="D38" s="456" t="s">
        <v>118</v>
      </c>
      <c r="E38" s="457"/>
      <c r="H38" s="229"/>
    </row>
    <row r="39" spans="1:8" ht="15" hidden="1" customHeight="1">
      <c r="A39" s="455"/>
      <c r="D39" s="456" t="s">
        <v>119</v>
      </c>
      <c r="E39" s="457"/>
    </row>
    <row r="40" spans="1:8" ht="15" hidden="1" customHeight="1">
      <c r="A40" s="455"/>
      <c r="D40" s="456"/>
      <c r="E40" s="457"/>
    </row>
    <row r="41" spans="1:8" ht="15" hidden="1" customHeight="1">
      <c r="A41" s="455"/>
      <c r="D41" s="456"/>
      <c r="E41" s="457"/>
    </row>
    <row r="42" spans="1:8" ht="15" hidden="1" customHeight="1">
      <c r="A42" s="455"/>
      <c r="D42" s="456"/>
      <c r="E42" s="457"/>
    </row>
    <row r="43" spans="1:8" ht="15" hidden="1" customHeight="1">
      <c r="A43" s="455"/>
      <c r="D43" s="456"/>
      <c r="E43" s="457"/>
    </row>
    <row r="44" spans="1:8" ht="15" hidden="1" customHeight="1">
      <c r="A44" s="455"/>
      <c r="D44" s="456"/>
      <c r="E44" s="457"/>
    </row>
    <row r="45" spans="1:8" ht="15" hidden="1" customHeight="1">
      <c r="A45" s="455"/>
      <c r="D45" s="456"/>
      <c r="E45" s="457"/>
    </row>
    <row r="46" spans="1:8" ht="15" hidden="1" customHeight="1">
      <c r="A46" s="455"/>
      <c r="D46" s="456"/>
      <c r="E46" s="457"/>
    </row>
    <row r="47" spans="1:8" ht="15" hidden="1" customHeight="1">
      <c r="A47" s="455"/>
      <c r="D47" s="456"/>
      <c r="E47" s="457"/>
    </row>
    <row r="48" spans="1:8" ht="15" hidden="1" customHeight="1">
      <c r="A48" s="455"/>
      <c r="D48" s="456"/>
      <c r="E48" s="457"/>
    </row>
    <row r="49" spans="1:5" ht="15" hidden="1" customHeight="1">
      <c r="A49" s="455"/>
      <c r="D49" s="456"/>
      <c r="E49" s="457"/>
    </row>
    <row r="50" spans="1:5" ht="15" hidden="1" customHeight="1">
      <c r="A50" s="455"/>
      <c r="D50" s="456"/>
      <c r="E50" s="457"/>
    </row>
    <row r="51" spans="1:5" ht="15" hidden="1" customHeight="1">
      <c r="A51" s="455"/>
      <c r="D51" s="456"/>
      <c r="E51" s="457"/>
    </row>
    <row r="52" spans="1:5" ht="15" hidden="1" customHeight="1">
      <c r="A52" s="455"/>
      <c r="D52" s="456"/>
      <c r="E52" s="457"/>
    </row>
    <row r="53" spans="1:5" ht="15" hidden="1" customHeight="1">
      <c r="A53" s="455"/>
      <c r="D53" s="456"/>
      <c r="E53" s="457"/>
    </row>
    <row r="54" spans="1:5" ht="15" hidden="1" customHeight="1">
      <c r="A54" s="455"/>
      <c r="D54" s="456"/>
      <c r="E54" s="457"/>
    </row>
    <row r="55" spans="1:5" ht="15" hidden="1" customHeight="1">
      <c r="A55" s="455"/>
      <c r="D55" s="456"/>
      <c r="E55" s="457"/>
    </row>
    <row r="56" spans="1:5" ht="15" hidden="1" customHeight="1">
      <c r="A56" s="455"/>
      <c r="D56" s="456"/>
      <c r="E56" s="457"/>
    </row>
    <row r="57" spans="1:5" ht="15" hidden="1" customHeight="1">
      <c r="A57" s="455"/>
      <c r="D57" s="456"/>
      <c r="E57" s="457"/>
    </row>
    <row r="58" spans="1:5" ht="15" hidden="1" customHeight="1">
      <c r="A58" s="455"/>
      <c r="D58" s="456"/>
      <c r="E58" s="457"/>
    </row>
    <row r="59" spans="1:5" ht="15" hidden="1" customHeight="1">
      <c r="A59" s="455"/>
      <c r="D59" s="456"/>
      <c r="E59" s="457"/>
    </row>
    <row r="60" spans="1:5" ht="15" hidden="1" customHeight="1">
      <c r="A60" s="455"/>
      <c r="D60" s="456"/>
      <c r="E60" s="457"/>
    </row>
    <row r="61" spans="1:5" ht="15" hidden="1" customHeight="1">
      <c r="A61" s="455"/>
      <c r="D61" s="456"/>
      <c r="E61" s="457"/>
    </row>
    <row r="62" spans="1:5" ht="15" hidden="1" customHeight="1">
      <c r="A62" s="455"/>
      <c r="D62" s="456"/>
      <c r="E62" s="457"/>
    </row>
    <row r="63" spans="1:5" ht="15" hidden="1" customHeight="1">
      <c r="A63" s="455"/>
      <c r="D63" s="457"/>
      <c r="E63" s="457"/>
    </row>
    <row r="64" spans="1:5" ht="15" hidden="1" customHeight="1">
      <c r="A64" s="455"/>
      <c r="D64" s="457"/>
      <c r="E64" s="457"/>
    </row>
    <row r="65" spans="1:5" ht="15" hidden="1" customHeight="1">
      <c r="A65" s="455"/>
      <c r="D65" s="457"/>
      <c r="E65" s="457"/>
    </row>
    <row r="66" spans="1:5" ht="15" hidden="1" customHeight="1">
      <c r="A66" s="455"/>
      <c r="D66" s="457"/>
      <c r="E66" s="457"/>
    </row>
    <row r="67" spans="1:5" ht="15" hidden="1" customHeight="1">
      <c r="A67" s="455"/>
      <c r="D67" s="457"/>
      <c r="E67" s="457"/>
    </row>
    <row r="68" spans="1:5" ht="15" hidden="1" customHeight="1">
      <c r="A68" s="455"/>
      <c r="D68" s="457"/>
      <c r="E68" s="457"/>
    </row>
    <row r="69" spans="1:5" ht="15" hidden="1" customHeight="1">
      <c r="A69" s="455"/>
      <c r="D69" s="457"/>
      <c r="E69" s="457"/>
    </row>
    <row r="70" spans="1:5" ht="15" hidden="1" customHeight="1">
      <c r="A70" s="455"/>
      <c r="D70" s="457"/>
      <c r="E70" s="457"/>
    </row>
    <row r="71" spans="1:5" ht="15" hidden="1" customHeight="1">
      <c r="A71" s="455"/>
      <c r="D71" s="457"/>
      <c r="E71" s="457"/>
    </row>
    <row r="72" spans="1:5" ht="15" hidden="1" customHeight="1">
      <c r="A72" s="455"/>
      <c r="D72" s="457"/>
      <c r="E72" s="457"/>
    </row>
    <row r="73" spans="1:5" ht="15" hidden="1" customHeight="1">
      <c r="A73" s="455"/>
      <c r="D73" s="456"/>
      <c r="E73" s="457"/>
    </row>
    <row r="74" spans="1:5" ht="15" hidden="1" customHeight="1">
      <c r="A74" s="455"/>
      <c r="D74" s="456"/>
      <c r="E74" s="457"/>
    </row>
    <row r="75" spans="1:5" ht="15" hidden="1" customHeight="1">
      <c r="A75" s="455"/>
      <c r="D75" s="456"/>
      <c r="E75" s="457"/>
    </row>
    <row r="76" spans="1:5" ht="15" hidden="1" customHeight="1">
      <c r="A76" s="455"/>
      <c r="D76" s="456"/>
      <c r="E76" s="457"/>
    </row>
    <row r="77" spans="1:5" ht="15" hidden="1" customHeight="1">
      <c r="A77" s="455"/>
      <c r="D77" s="456"/>
      <c r="E77" s="457"/>
    </row>
    <row r="78" spans="1:5" ht="15" hidden="1" customHeight="1">
      <c r="A78" s="455"/>
      <c r="D78" s="456"/>
      <c r="E78" s="457"/>
    </row>
    <row r="79" spans="1:5" ht="15" hidden="1" customHeight="1">
      <c r="A79" s="455"/>
      <c r="D79" s="456"/>
      <c r="E79" s="457"/>
    </row>
    <row r="80" spans="1:5" ht="15" hidden="1" customHeight="1">
      <c r="A80" s="455"/>
      <c r="D80" s="456"/>
      <c r="E80" s="457"/>
    </row>
    <row r="81" spans="1:5" ht="15" hidden="1" customHeight="1">
      <c r="A81" s="455"/>
      <c r="D81" s="456"/>
      <c r="E81" s="457"/>
    </row>
    <row r="82" spans="1:5" ht="15" hidden="1" customHeight="1">
      <c r="A82" s="455"/>
      <c r="D82" s="456"/>
      <c r="E82" s="457"/>
    </row>
    <row r="83" spans="1:5" ht="15" hidden="1" customHeight="1">
      <c r="A83" s="455"/>
      <c r="D83" s="456"/>
      <c r="E83" s="457"/>
    </row>
    <row r="84" spans="1:5" ht="15" hidden="1" customHeight="1">
      <c r="A84" s="455"/>
      <c r="D84" s="456"/>
      <c r="E84" s="457"/>
    </row>
    <row r="85" spans="1:5" ht="15" hidden="1" customHeight="1">
      <c r="A85" s="455"/>
      <c r="D85" s="456"/>
      <c r="E85" s="457"/>
    </row>
    <row r="86" spans="1:5" ht="15" hidden="1" customHeight="1">
      <c r="A86" s="455"/>
      <c r="D86" s="456"/>
      <c r="E86" s="457"/>
    </row>
    <row r="87" spans="1:5" ht="15" hidden="1" customHeight="1">
      <c r="A87" s="455"/>
      <c r="D87" s="456"/>
      <c r="E87" s="457"/>
    </row>
    <row r="88" spans="1:5" ht="15" hidden="1" customHeight="1">
      <c r="A88" s="455"/>
      <c r="D88" s="456"/>
      <c r="E88" s="457"/>
    </row>
    <row r="89" spans="1:5" ht="15" hidden="1" customHeight="1">
      <c r="A89" s="455"/>
      <c r="D89" s="456"/>
      <c r="E89" s="457"/>
    </row>
    <row r="90" spans="1:5" ht="15" hidden="1" customHeight="1">
      <c r="A90" s="455"/>
      <c r="D90" s="456"/>
      <c r="E90" s="457"/>
    </row>
    <row r="91" spans="1:5" ht="15" hidden="1" customHeight="1">
      <c r="A91" s="455"/>
      <c r="D91" s="456"/>
      <c r="E91" s="457"/>
    </row>
    <row r="92" spans="1:5" ht="21.95" hidden="1" customHeight="1">
      <c r="A92" s="455"/>
      <c r="D92" s="456"/>
      <c r="E92" s="457"/>
    </row>
    <row r="93" spans="1:5" ht="21.95" hidden="1" customHeight="1">
      <c r="A93" s="455"/>
      <c r="B93" s="463"/>
      <c r="C93" s="464" t="e">
        <f>#REF!</f>
        <v>#REF!</v>
      </c>
      <c r="D93" s="456"/>
      <c r="E93" s="457"/>
    </row>
    <row r="94" spans="1:5" ht="21.95" hidden="1" customHeight="1">
      <c r="A94" s="465"/>
      <c r="B94" s="466"/>
      <c r="C94" s="467"/>
      <c r="D94" s="456"/>
      <c r="E94" s="457"/>
    </row>
    <row r="95" spans="1:5" ht="21.95" hidden="1" customHeight="1">
      <c r="A95" s="455"/>
      <c r="B95" s="468" t="str">
        <f>IF(C5="","-",_xlfn.CONCAT("latitudine","  ",STAMPA!H10))</f>
        <v>latitudine  43° 37' 00'' N</v>
      </c>
      <c r="C95" s="469"/>
      <c r="D95" s="456"/>
      <c r="E95" s="457"/>
    </row>
    <row r="96" spans="1:5" ht="15.75" hidden="1" customHeight="1">
      <c r="A96" s="455"/>
      <c r="B96" s="470"/>
      <c r="C96" s="469"/>
      <c r="D96" s="471"/>
      <c r="E96" s="471"/>
    </row>
    <row r="97" spans="1:6" ht="15.75" hidden="1" customHeight="1">
      <c r="A97" s="455"/>
      <c r="B97" s="470"/>
      <c r="C97" s="469"/>
      <c r="D97" s="471"/>
      <c r="E97" s="471"/>
    </row>
    <row r="98" spans="1:6" ht="26.25" hidden="1" customHeight="1" thickBot="1">
      <c r="A98" s="461"/>
      <c r="B98" s="878" t="e">
        <f>IF(#REF!=7,#REF!,"-")</f>
        <v>#REF!</v>
      </c>
      <c r="C98" s="879"/>
      <c r="D98" s="472"/>
      <c r="E98" s="472"/>
    </row>
    <row r="99" spans="1:6" hidden="1"/>
    <row r="100" spans="1:6" hidden="1"/>
    <row r="101" spans="1:6" hidden="1"/>
    <row r="108" spans="1:6" s="644" customFormat="1">
      <c r="A108" s="763"/>
      <c r="B108" s="764"/>
      <c r="C108" s="765"/>
      <c r="D108" s="766"/>
      <c r="E108" s="766"/>
      <c r="F108" s="688"/>
    </row>
    <row r="109" spans="1:6" s="644" customFormat="1">
      <c r="A109" s="763"/>
      <c r="B109" s="764"/>
      <c r="C109" s="765"/>
      <c r="D109" s="766"/>
      <c r="E109" s="766"/>
      <c r="F109" s="688"/>
    </row>
    <row r="110" spans="1:6" s="644" customFormat="1">
      <c r="A110" s="763"/>
      <c r="B110" s="764"/>
      <c r="C110" s="765"/>
      <c r="D110" s="766"/>
      <c r="E110" s="766"/>
      <c r="F110" s="688"/>
    </row>
    <row r="111" spans="1:6" s="644" customFormat="1">
      <c r="A111" s="763"/>
      <c r="B111" s="764"/>
      <c r="C111" s="765"/>
      <c r="D111" s="766"/>
      <c r="E111" s="766"/>
      <c r="F111" s="688"/>
    </row>
    <row r="112" spans="1:6" s="644" customFormat="1">
      <c r="A112" s="763"/>
      <c r="B112" s="764"/>
      <c r="C112" s="765"/>
      <c r="D112" s="766"/>
      <c r="E112" s="766"/>
      <c r="F112" s="688"/>
    </row>
    <row r="113" spans="1:6" s="644" customFormat="1">
      <c r="A113" s="763"/>
      <c r="B113" s="764"/>
      <c r="C113" s="765"/>
      <c r="D113" s="766"/>
      <c r="E113" s="766"/>
      <c r="F113" s="688"/>
    </row>
    <row r="114" spans="1:6" s="644" customFormat="1">
      <c r="A114" s="763"/>
      <c r="B114" s="764"/>
      <c r="C114" s="765"/>
      <c r="D114" s="766"/>
      <c r="E114" s="766"/>
      <c r="F114" s="688"/>
    </row>
    <row r="115" spans="1:6" s="644" customFormat="1">
      <c r="A115" s="763"/>
      <c r="B115" s="764"/>
      <c r="C115" s="765"/>
      <c r="D115" s="766"/>
      <c r="E115" s="766"/>
      <c r="F115" s="688"/>
    </row>
    <row r="116" spans="1:6" s="644" customFormat="1">
      <c r="A116" s="763"/>
      <c r="B116" s="764"/>
      <c r="C116" s="765"/>
      <c r="D116" s="766"/>
      <c r="E116" s="766"/>
      <c r="F116" s="688"/>
    </row>
    <row r="117" spans="1:6" s="644" customFormat="1">
      <c r="A117" s="763"/>
      <c r="B117" s="764"/>
      <c r="C117" s="765"/>
      <c r="D117" s="766"/>
      <c r="E117" s="766"/>
      <c r="F117" s="688"/>
    </row>
    <row r="118" spans="1:6" s="644" customFormat="1">
      <c r="A118" s="763"/>
      <c r="B118" s="764"/>
      <c r="C118" s="765"/>
      <c r="D118" s="766"/>
      <c r="E118" s="766"/>
      <c r="F118" s="688"/>
    </row>
    <row r="119" spans="1:6" s="644" customFormat="1">
      <c r="A119" s="763"/>
      <c r="B119" s="764"/>
      <c r="C119" s="765"/>
      <c r="D119" s="766"/>
      <c r="E119" s="766"/>
      <c r="F119" s="688"/>
    </row>
    <row r="120" spans="1:6" s="644" customFormat="1">
      <c r="A120" s="763"/>
      <c r="B120" s="764"/>
      <c r="C120" s="765"/>
      <c r="D120" s="766"/>
      <c r="E120" s="766"/>
      <c r="F120" s="688"/>
    </row>
    <row r="121" spans="1:6" s="644" customFormat="1">
      <c r="A121" s="763"/>
      <c r="B121" s="764"/>
      <c r="C121" s="765"/>
      <c r="D121" s="766"/>
      <c r="E121" s="766"/>
      <c r="F121" s="688"/>
    </row>
    <row r="122" spans="1:6" s="644" customFormat="1">
      <c r="A122" s="763"/>
      <c r="B122" s="764"/>
      <c r="C122" s="765"/>
      <c r="D122" s="766"/>
      <c r="E122" s="766"/>
      <c r="F122" s="688"/>
    </row>
    <row r="123" spans="1:6" s="644" customFormat="1">
      <c r="A123" s="763"/>
      <c r="B123" s="764"/>
      <c r="C123" s="765"/>
      <c r="D123" s="766"/>
      <c r="E123" s="766"/>
      <c r="F123" s="688"/>
    </row>
    <row r="124" spans="1:6" s="644" customFormat="1">
      <c r="A124" s="763"/>
      <c r="B124" s="764"/>
      <c r="C124" s="765"/>
      <c r="D124" s="766"/>
      <c r="E124" s="766"/>
      <c r="F124" s="688"/>
    </row>
    <row r="125" spans="1:6" s="644" customFormat="1">
      <c r="A125" s="763"/>
      <c r="B125" s="764"/>
      <c r="C125" s="765"/>
      <c r="D125" s="766"/>
      <c r="E125" s="766"/>
      <c r="F125" s="688"/>
    </row>
    <row r="126" spans="1:6" s="644" customFormat="1">
      <c r="A126" s="763"/>
      <c r="B126" s="764"/>
      <c r="C126" s="765"/>
      <c r="D126" s="766"/>
      <c r="E126" s="766"/>
      <c r="F126" s="688"/>
    </row>
    <row r="127" spans="1:6" s="644" customFormat="1">
      <c r="A127" s="763"/>
      <c r="B127" s="764"/>
      <c r="C127" s="765"/>
      <c r="D127" s="766"/>
      <c r="E127" s="766"/>
      <c r="F127" s="688"/>
    </row>
    <row r="128" spans="1:6" s="644" customFormat="1">
      <c r="A128" s="763"/>
      <c r="B128" s="764"/>
      <c r="C128" s="765"/>
      <c r="D128" s="766"/>
      <c r="E128" s="766"/>
      <c r="F128" s="688"/>
    </row>
    <row r="129" spans="1:6" s="644" customFormat="1">
      <c r="A129" s="763"/>
      <c r="B129" s="764"/>
      <c r="C129" s="765"/>
      <c r="D129" s="766"/>
      <c r="E129" s="766"/>
      <c r="F129" s="688"/>
    </row>
    <row r="130" spans="1:6" s="644" customFormat="1">
      <c r="A130" s="763"/>
      <c r="B130" s="764"/>
      <c r="C130" s="765"/>
      <c r="D130" s="766"/>
      <c r="E130" s="766"/>
      <c r="F130" s="688"/>
    </row>
    <row r="131" spans="1:6" s="644" customFormat="1">
      <c r="A131" s="763"/>
      <c r="B131" s="764"/>
      <c r="C131" s="765"/>
      <c r="D131" s="766"/>
      <c r="E131" s="766"/>
      <c r="F131" s="688"/>
    </row>
    <row r="132" spans="1:6" s="644" customFormat="1">
      <c r="A132" s="763"/>
      <c r="B132" s="764"/>
      <c r="C132" s="765"/>
      <c r="D132" s="766"/>
      <c r="E132" s="766"/>
      <c r="F132" s="688"/>
    </row>
    <row r="133" spans="1:6" s="644" customFormat="1">
      <c r="A133" s="763"/>
      <c r="B133" s="764"/>
      <c r="C133" s="765"/>
      <c r="D133" s="766"/>
      <c r="E133" s="766"/>
      <c r="F133" s="688"/>
    </row>
    <row r="134" spans="1:6" s="644" customFormat="1">
      <c r="A134" s="763"/>
      <c r="B134" s="764"/>
      <c r="C134" s="765"/>
      <c r="D134" s="766"/>
      <c r="E134" s="766"/>
      <c r="F134" s="688"/>
    </row>
    <row r="135" spans="1:6" s="644" customFormat="1">
      <c r="A135" s="763"/>
      <c r="B135" s="764"/>
      <c r="C135" s="765"/>
      <c r="D135" s="766"/>
      <c r="E135" s="766"/>
      <c r="F135" s="688"/>
    </row>
    <row r="136" spans="1:6" s="644" customFormat="1">
      <c r="A136" s="763"/>
      <c r="B136" s="764"/>
      <c r="C136" s="765"/>
      <c r="D136" s="766"/>
      <c r="E136" s="766"/>
      <c r="F136" s="688"/>
    </row>
    <row r="137" spans="1:6" s="644" customFormat="1">
      <c r="A137" s="763"/>
      <c r="B137" s="764"/>
      <c r="C137" s="765"/>
      <c r="D137" s="766"/>
      <c r="E137" s="766"/>
      <c r="F137" s="688"/>
    </row>
    <row r="138" spans="1:6" s="644" customFormat="1">
      <c r="A138" s="763"/>
      <c r="B138" s="764"/>
      <c r="C138" s="765"/>
      <c r="D138" s="766"/>
      <c r="E138" s="766"/>
      <c r="F138" s="688"/>
    </row>
    <row r="139" spans="1:6" s="644" customFormat="1">
      <c r="A139" s="763"/>
      <c r="B139" s="764"/>
      <c r="C139" s="765"/>
      <c r="D139" s="766"/>
      <c r="E139" s="766"/>
      <c r="F139" s="688"/>
    </row>
    <row r="140" spans="1:6" s="644" customFormat="1">
      <c r="A140" s="763"/>
      <c r="B140" s="764"/>
      <c r="C140" s="765"/>
      <c r="D140" s="766"/>
      <c r="E140" s="766"/>
      <c r="F140" s="688"/>
    </row>
    <row r="141" spans="1:6" s="644" customFormat="1">
      <c r="A141" s="763"/>
      <c r="B141" s="764"/>
      <c r="C141" s="765"/>
      <c r="D141" s="766"/>
      <c r="E141" s="766"/>
      <c r="F141" s="688"/>
    </row>
    <row r="142" spans="1:6" s="644" customFormat="1">
      <c r="A142" s="763"/>
      <c r="B142" s="764"/>
      <c r="C142" s="765"/>
      <c r="D142" s="766"/>
      <c r="E142" s="766"/>
      <c r="F142" s="688"/>
    </row>
    <row r="143" spans="1:6" s="644" customFormat="1">
      <c r="A143" s="763"/>
      <c r="B143" s="764"/>
      <c r="C143" s="765"/>
      <c r="D143" s="766"/>
      <c r="E143" s="766"/>
      <c r="F143" s="688"/>
    </row>
    <row r="144" spans="1:6" s="644" customFormat="1">
      <c r="A144" s="763"/>
      <c r="B144" s="764"/>
      <c r="C144" s="765"/>
      <c r="D144" s="766"/>
      <c r="E144" s="766"/>
      <c r="F144" s="688"/>
    </row>
    <row r="145" spans="1:6" s="644" customFormat="1">
      <c r="A145" s="763"/>
      <c r="B145" s="764"/>
      <c r="C145" s="765"/>
      <c r="D145" s="766"/>
      <c r="E145" s="766"/>
      <c r="F145" s="688"/>
    </row>
    <row r="146" spans="1:6" s="644" customFormat="1">
      <c r="A146" s="763"/>
      <c r="B146" s="764"/>
      <c r="C146" s="765"/>
      <c r="D146" s="766"/>
      <c r="E146" s="766"/>
      <c r="F146" s="688"/>
    </row>
    <row r="147" spans="1:6" s="644" customFormat="1">
      <c r="A147" s="763"/>
      <c r="B147" s="764"/>
      <c r="C147" s="765"/>
      <c r="D147" s="766"/>
      <c r="E147" s="766"/>
      <c r="F147" s="688"/>
    </row>
    <row r="148" spans="1:6" s="644" customFormat="1">
      <c r="A148" s="763"/>
      <c r="B148" s="764"/>
      <c r="C148" s="765"/>
      <c r="D148" s="766"/>
      <c r="E148" s="766"/>
      <c r="F148" s="688"/>
    </row>
    <row r="149" spans="1:6" s="644" customFormat="1">
      <c r="A149" s="763"/>
      <c r="B149" s="764"/>
      <c r="C149" s="765"/>
      <c r="D149" s="766"/>
      <c r="E149" s="766"/>
      <c r="F149" s="688"/>
    </row>
    <row r="150" spans="1:6" s="644" customFormat="1">
      <c r="A150" s="763"/>
      <c r="B150" s="764"/>
      <c r="C150" s="765"/>
      <c r="D150" s="766"/>
      <c r="E150" s="766"/>
      <c r="F150" s="688"/>
    </row>
    <row r="151" spans="1:6" s="644" customFormat="1">
      <c r="A151" s="763"/>
      <c r="B151" s="764"/>
      <c r="C151" s="765"/>
      <c r="D151" s="766"/>
      <c r="E151" s="766"/>
      <c r="F151" s="688"/>
    </row>
    <row r="152" spans="1:6" s="644" customFormat="1">
      <c r="A152" s="763"/>
      <c r="B152" s="764"/>
      <c r="C152" s="765"/>
      <c r="D152" s="766"/>
      <c r="E152" s="766"/>
      <c r="F152" s="688"/>
    </row>
    <row r="153" spans="1:6" s="644" customFormat="1">
      <c r="A153" s="763"/>
      <c r="B153" s="764"/>
      <c r="C153" s="765"/>
      <c r="D153" s="766"/>
      <c r="E153" s="766"/>
      <c r="F153" s="688"/>
    </row>
    <row r="154" spans="1:6" s="644" customFormat="1">
      <c r="A154" s="763"/>
      <c r="B154" s="764"/>
      <c r="C154" s="765"/>
      <c r="D154" s="766"/>
      <c r="E154" s="766"/>
      <c r="F154" s="688"/>
    </row>
  </sheetData>
  <mergeCells count="3">
    <mergeCell ref="B23:C24"/>
    <mergeCell ref="B98:C98"/>
    <mergeCell ref="F3:F16"/>
  </mergeCells>
  <conditionalFormatting sqref="B5 F3">
    <cfRule type="cellIs" dxfId="61" priority="190" stopIfTrue="1" operator="equal">
      <formula>0</formula>
    </cfRule>
  </conditionalFormatting>
  <conditionalFormatting sqref="B6">
    <cfRule type="cellIs" dxfId="60" priority="78" operator="equal">
      <formula>"Colore della luce"</formula>
    </cfRule>
    <cfRule type="cellIs" dxfId="59" priority="189" stopIfTrue="1" operator="equal">
      <formula>0</formula>
    </cfRule>
  </conditionalFormatting>
  <conditionalFormatting sqref="B14:C14">
    <cfRule type="cellIs" dxfId="58" priority="118" stopIfTrue="1" operator="equal">
      <formula>0</formula>
    </cfRule>
  </conditionalFormatting>
  <conditionalFormatting sqref="B15">
    <cfRule type="cellIs" dxfId="57" priority="117" stopIfTrue="1" operator="equal">
      <formula>0</formula>
    </cfRule>
  </conditionalFormatting>
  <conditionalFormatting sqref="C15">
    <cfRule type="cellIs" dxfId="56" priority="116" stopIfTrue="1" operator="equal">
      <formula>0</formula>
    </cfRule>
  </conditionalFormatting>
  <conditionalFormatting sqref="B5">
    <cfRule type="cellIs" dxfId="55" priority="79" operator="equal">
      <formula>"LOCALITà"</formula>
    </cfRule>
  </conditionalFormatting>
  <conditionalFormatting sqref="B8:B11 B13">
    <cfRule type="containsText" dxfId="54" priority="77" operator="containsText" text="Caratteristica di lampeggio  (codice)">
      <formula>NOT(ISERROR(SEARCH("Caratteristica di lampeggio  (codice)",B8)))</formula>
    </cfRule>
  </conditionalFormatting>
  <conditionalFormatting sqref="B16:B17">
    <cfRule type="cellIs" dxfId="53" priority="74" operator="equal">
      <formula>"sincro sat GPS"</formula>
    </cfRule>
  </conditionalFormatting>
  <conditionalFormatting sqref="C9:C10">
    <cfRule type="cellIs" dxfId="52" priority="52" operator="equal">
      <formula>0</formula>
    </cfRule>
  </conditionalFormatting>
  <conditionalFormatting sqref="C11">
    <cfRule type="cellIs" dxfId="51" priority="7" operator="equal">
      <formula>100</formula>
    </cfRule>
    <cfRule type="cellIs" dxfId="50" priority="8" operator="equal">
      <formula>100</formula>
    </cfRule>
    <cfRule type="expression" dxfId="49" priority="265">
      <formula>#REF!=23</formula>
    </cfRule>
    <cfRule type="expression" dxfId="48" priority="266">
      <formula>#REF!=3</formula>
    </cfRule>
    <cfRule type="expression" dxfId="47" priority="267">
      <formula>#REF!=0</formula>
    </cfRule>
  </conditionalFormatting>
  <conditionalFormatting sqref="B23:C24">
    <cfRule type="expression" dxfId="46" priority="30">
      <formula>$B$23=1</formula>
    </cfRule>
    <cfRule type="expression" dxfId="45" priority="47">
      <formula>"FANALE  NON ADATTO  PER  QUESTA  ISTALLAZIONE"</formula>
    </cfRule>
    <cfRule type="cellIs" dxfId="44" priority="48" operator="equal">
      <formula>"FANALE  ADATTO  PER  QUESTA  InSTALLAZIONE"</formula>
    </cfRule>
  </conditionalFormatting>
  <conditionalFormatting sqref="F3">
    <cfRule type="expression" dxfId="43" priority="42">
      <formula>$D$18=15</formula>
    </cfRule>
    <cfRule type="expression" dxfId="42" priority="43">
      <formula>$D$18=7</formula>
    </cfRule>
    <cfRule type="expression" dxfId="41" priority="44">
      <formula>$D$18=3</formula>
    </cfRule>
    <cfRule type="expression" dxfId="40" priority="45">
      <formula>$D$18=1</formula>
    </cfRule>
    <cfRule type="expression" dxfId="39" priority="46">
      <formula>$D$18=0</formula>
    </cfRule>
  </conditionalFormatting>
  <conditionalFormatting sqref="C5">
    <cfRule type="expression" dxfId="38" priority="10">
      <formula>$D$18&gt;1</formula>
    </cfRule>
    <cfRule type="expression" dxfId="37" priority="13">
      <formula>$D$18=1</formula>
    </cfRule>
    <cfRule type="expression" dxfId="36" priority="38">
      <formula>"$18$5=1"</formula>
    </cfRule>
  </conditionalFormatting>
  <conditionalFormatting sqref="C6">
    <cfRule type="expression" dxfId="35" priority="12">
      <formula>$D$18=3</formula>
    </cfRule>
    <cfRule type="containsText" dxfId="34" priority="21" operator="containsText" text="GIALLA">
      <formula>NOT(ISERROR(SEARCH("GIALLA",C6)))</formula>
    </cfRule>
    <cfRule type="containsText" dxfId="33" priority="23" operator="containsText" text="rossa">
      <formula>NOT(ISERROR(SEARCH("rossa",C6)))</formula>
    </cfRule>
    <cfRule type="cellIs" dxfId="32" priority="25" operator="equal">
      <formula>"verde"</formula>
    </cfRule>
    <cfRule type="containsBlanks" dxfId="31" priority="270">
      <formula>LEN(TRIM(C6))=0</formula>
    </cfRule>
  </conditionalFormatting>
  <conditionalFormatting sqref="C7:C8">
    <cfRule type="expression" dxfId="30" priority="35">
      <formula>$B$7=1</formula>
    </cfRule>
  </conditionalFormatting>
  <conditionalFormatting sqref="C16">
    <cfRule type="expression" dxfId="29" priority="14">
      <formula>"$B$16=""sincro sat GPS"""</formula>
    </cfRule>
    <cfRule type="containsText" dxfId="28" priority="16" operator="containsText" text="COMPRESO">
      <formula>NOT(ISERROR(SEARCH("COMPRESO",C16)))</formula>
    </cfRule>
    <cfRule type="expression" dxfId="27" priority="33">
      <formula>$B$16="sincro sat GPS"</formula>
    </cfRule>
  </conditionalFormatting>
  <conditionalFormatting sqref="C17">
    <cfRule type="expression" dxfId="26" priority="11">
      <formula>$D$18=63</formula>
    </cfRule>
    <cfRule type="containsText" dxfId="25" priority="15" operator="containsText" text="COMPRESO">
      <formula>NOT(ISERROR(SEARCH("COMPRESO",C17)))</formula>
    </cfRule>
    <cfRule type="expression" dxfId="24" priority="32">
      <formula>$B$17=1</formula>
    </cfRule>
  </conditionalFormatting>
  <conditionalFormatting sqref="B17">
    <cfRule type="expression" dxfId="23" priority="31">
      <formula>$B$17=1</formula>
    </cfRule>
  </conditionalFormatting>
  <conditionalFormatting sqref="B8">
    <cfRule type="containsText" dxfId="22" priority="18" operator="containsText" text="Caratteristica di lampeggio">
      <formula>NOT(ISERROR(SEARCH("Caratteristica di lampeggio",B8)))</formula>
    </cfRule>
    <cfRule type="cellIs" dxfId="21" priority="29" operator="equal">
      <formula>"CARATTERISTIC di lampeggio"</formula>
    </cfRule>
    <cfRule type="containsBlanks" dxfId="20" priority="268">
      <formula>LEN(TRIM(B8))=0</formula>
    </cfRule>
  </conditionalFormatting>
  <conditionalFormatting sqref="F3 F17">
    <cfRule type="expression" dxfId="19" priority="26">
      <formula>$D$18=63</formula>
    </cfRule>
    <cfRule type="expression" dxfId="18" priority="27">
      <formula>$D$18=127</formula>
    </cfRule>
    <cfRule type="expression" dxfId="17" priority="28">
      <formula>$D$18=31</formula>
    </cfRule>
  </conditionalFormatting>
  <conditionalFormatting sqref="C13">
    <cfRule type="cellIs" dxfId="16" priority="9" operator="equal">
      <formula>0</formula>
    </cfRule>
  </conditionalFormatting>
  <conditionalFormatting sqref="B12">
    <cfRule type="expression" dxfId="15" priority="5">
      <formula>$C$8=""</formula>
    </cfRule>
  </conditionalFormatting>
  <conditionalFormatting sqref="C12">
    <cfRule type="expression" dxfId="14" priority="1">
      <formula>$D$18=15</formula>
    </cfRule>
    <cfRule type="expression" dxfId="13" priority="4">
      <formula>$C$12&gt;0</formula>
    </cfRule>
  </conditionalFormatting>
  <conditionalFormatting sqref="B18:B20">
    <cfRule type="expression" dxfId="12" priority="3">
      <formula>$C$8=""</formula>
    </cfRule>
  </conditionalFormatting>
  <conditionalFormatting sqref="C18:C20">
    <cfRule type="expression" dxfId="11" priority="2">
      <formula>$C$12=""</formula>
    </cfRule>
  </conditionalFormatting>
  <pageMargins left="0.39370078740157483" right="0.51181102362204722" top="0.78740157480314965" bottom="0.59055118110236227" header="0.51181102362204722" footer="0.51181102362204722"/>
  <pageSetup paperSize="9" scale="55" orientation="portrait" horizontalDpi="4294967293" verticalDpi="36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0">
    <tabColor indexed="10"/>
  </sheetPr>
  <dimension ref="A1:AI131"/>
  <sheetViews>
    <sheetView showRuler="0" topLeftCell="A62" zoomScale="55" zoomScaleNormal="55" zoomScaleSheetLayoutView="75" workbookViewId="0">
      <pane ySplit="3" topLeftCell="A72" activePane="bottomLeft" state="frozen"/>
      <selection activeCell="A62" sqref="A62"/>
      <selection pane="bottomLeft" activeCell="A65" sqref="A65:XFD65"/>
    </sheetView>
  </sheetViews>
  <sheetFormatPr defaultColWidth="9.140625" defaultRowHeight="15"/>
  <cols>
    <col min="1" max="1" width="4.140625" style="369" customWidth="1"/>
    <col min="2" max="2" width="21" style="236" customWidth="1"/>
    <col min="3" max="3" width="17.85546875" style="74" customWidth="1"/>
    <col min="4" max="4" width="2.7109375" style="74" customWidth="1"/>
    <col min="5" max="5" width="15.140625" style="74" customWidth="1"/>
    <col min="6" max="6" width="13.28515625" style="74" customWidth="1"/>
    <col min="7" max="7" width="8.28515625" style="237" customWidth="1"/>
    <col min="8" max="8" width="10.42578125" style="237" customWidth="1"/>
    <col min="9" max="9" width="10.140625" style="74" customWidth="1"/>
    <col min="10" max="10" width="9.85546875" style="74" customWidth="1"/>
    <col min="11" max="11" width="10" style="74" customWidth="1"/>
    <col min="12" max="12" width="9.140625" style="237" customWidth="1"/>
    <col min="13" max="15" width="9.7109375" style="74" customWidth="1"/>
    <col min="16" max="17" width="8.7109375" style="237" customWidth="1"/>
    <col min="18" max="18" width="10" style="237" customWidth="1"/>
    <col min="19" max="19" width="8.7109375" style="75" customWidth="1"/>
    <col min="20" max="20" width="8.7109375" style="116" customWidth="1"/>
    <col min="21" max="21" width="10" style="74" customWidth="1"/>
    <col min="22" max="49" width="9.140625" style="74" customWidth="1"/>
    <col min="50" max="16384" width="9.140625" style="74"/>
  </cols>
  <sheetData>
    <row r="1" spans="1:21" ht="16.149999999999999" customHeight="1">
      <c r="A1" s="332"/>
      <c r="B1" s="372"/>
      <c r="C1" s="373"/>
      <c r="D1" s="373"/>
      <c r="E1" s="890" t="s">
        <v>120</v>
      </c>
      <c r="F1" s="846"/>
      <c r="G1" s="375"/>
      <c r="H1" s="376"/>
      <c r="I1" s="377"/>
      <c r="J1" s="377"/>
      <c r="K1" s="377"/>
      <c r="L1" s="377"/>
      <c r="M1" s="377"/>
      <c r="N1" s="377"/>
      <c r="O1" s="377"/>
      <c r="P1" s="377"/>
      <c r="Q1" s="376"/>
      <c r="R1" s="377"/>
      <c r="S1" s="378"/>
      <c r="T1" s="379"/>
      <c r="U1" s="378"/>
    </row>
    <row r="2" spans="1:21" ht="79.150000000000006" customHeight="1">
      <c r="A2" s="333"/>
      <c r="B2" s="380"/>
      <c r="E2" s="891" t="s">
        <v>121</v>
      </c>
      <c r="F2" s="885" t="e">
        <f>#REF!</f>
        <v>#REF!</v>
      </c>
      <c r="G2" s="884" t="s">
        <v>122</v>
      </c>
      <c r="H2" s="884" t="s">
        <v>123</v>
      </c>
      <c r="I2" s="884" t="s">
        <v>124</v>
      </c>
      <c r="J2" s="884" t="s">
        <v>125</v>
      </c>
      <c r="K2" s="884" t="s">
        <v>126</v>
      </c>
      <c r="L2" s="884" t="s">
        <v>127</v>
      </c>
      <c r="M2" s="884" t="s">
        <v>128</v>
      </c>
      <c r="N2" s="884" t="s">
        <v>129</v>
      </c>
      <c r="O2" s="892" t="s">
        <v>130</v>
      </c>
      <c r="P2" s="884" t="s">
        <v>131</v>
      </c>
      <c r="Q2" s="884" t="s">
        <v>132</v>
      </c>
      <c r="R2" s="884" t="s">
        <v>133</v>
      </c>
      <c r="S2" s="884" t="s">
        <v>134</v>
      </c>
      <c r="T2" s="884" t="s">
        <v>135</v>
      </c>
      <c r="U2" s="884" t="s">
        <v>136</v>
      </c>
    </row>
    <row r="3" spans="1:21" ht="31.5" customHeight="1">
      <c r="A3" s="333"/>
      <c r="B3" s="380" t="str">
        <f>'INSER. DATI'!C4</f>
        <v>CL_302</v>
      </c>
      <c r="C3" s="381" t="b">
        <f>IF(B3="CL_299",C30,IF(B3="CL_301",C30,IF(B3="CL_401",C30,IF(B3="CL_299 _H",C31,IF(B3="CL_301_H",C31,IF(B3="CL_401_H",C31,IF(B3="CL_101",C32,IF(B3="CL_201",C33,IF(B3="CL_304",C34,IF(B3="CL_404",C34))))))))))</f>
        <v>0</v>
      </c>
      <c r="D3" s="381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846"/>
      <c r="P3" s="846"/>
      <c r="Q3" s="846"/>
      <c r="R3" s="846"/>
      <c r="S3" s="846"/>
      <c r="T3" s="846"/>
      <c r="U3" s="846"/>
    </row>
    <row r="4" spans="1:21" ht="20.100000000000001" customHeight="1">
      <c r="A4" s="333">
        <v>1</v>
      </c>
      <c r="B4" s="380"/>
      <c r="E4" s="382" t="s">
        <v>69</v>
      </c>
      <c r="F4" s="383">
        <f>VLOOKUP('INSER. DATI'!C5,radiazione!$A$12:$AO$272,F42,FALSE)/31</f>
        <v>5.2387096774193553</v>
      </c>
      <c r="G4" s="384" t="e">
        <f>F4*'x inserimento dati fissi'!$AD$4</f>
        <v>#N/A</v>
      </c>
      <c r="H4" s="385" t="e">
        <f>G4*31</f>
        <v>#N/A</v>
      </c>
      <c r="I4" s="386">
        <f>VLOOKUP('INSER. DATI'!$C$5,radiazione!$A$12:$BN$274,55,FALSE)</f>
        <v>14.54</v>
      </c>
      <c r="J4" s="441">
        <f>I4/100*'INSER. DATI'!$C$11</f>
        <v>5.592307692307692</v>
      </c>
      <c r="K4" s="237">
        <f t="shared" ref="K4:K15" si="0">24-J4</f>
        <v>18.407692307692308</v>
      </c>
      <c r="L4" s="442">
        <f>'INSER. DATI'!$C$13*J4/1000*0.92</f>
        <v>0</v>
      </c>
      <c r="M4" s="384" t="e">
        <f>'x inserimento dati fissi'!$AD$5*K4</f>
        <v>#N/A</v>
      </c>
      <c r="N4" s="443">
        <f>IF('INSER. DATI'!$C$16="COMPRESO",'x inserimento dati fissi'!$AD$6,0)</f>
        <v>0</v>
      </c>
      <c r="O4" s="387">
        <f>IF('INSER. DATI'!$C$17="COMPRESO",'x inserimento dati fissi'!$AD$7,0)</f>
        <v>0</v>
      </c>
      <c r="P4" s="384" t="e">
        <f t="shared" ref="P4:P15" si="1">(L4+M4+N4)</f>
        <v>#N/A</v>
      </c>
      <c r="Q4" s="385" t="e">
        <f>P4*31</f>
        <v>#N/A</v>
      </c>
      <c r="R4" s="305" t="e">
        <f>'x inserimento dati fissi'!$AD$3/P4</f>
        <v>#N/A</v>
      </c>
      <c r="S4" s="388" t="e">
        <f t="shared" ref="S4:S15" si="2">H4/Q4</f>
        <v>#N/A</v>
      </c>
      <c r="T4" s="238" t="e">
        <f>STAMPA!M45</f>
        <v>#N/A</v>
      </c>
      <c r="U4" s="389" t="e">
        <f>STAMPA!I45</f>
        <v>#DIV/0!</v>
      </c>
    </row>
    <row r="5" spans="1:21" ht="20.100000000000001" customHeight="1">
      <c r="A5" s="333"/>
      <c r="B5" s="380"/>
      <c r="C5" s="381"/>
      <c r="E5" s="382" t="s">
        <v>70</v>
      </c>
      <c r="F5" s="383">
        <f>VLOOKUP('INSER. DATI'!$C$5,radiazione!$A$12:$AO$272,F43,FALSE)/28</f>
        <v>6.7678571428571432</v>
      </c>
      <c r="G5" s="384" t="e">
        <f>F5*'x inserimento dati fissi'!$AD$4</f>
        <v>#N/A</v>
      </c>
      <c r="H5" s="385" t="e">
        <f>G5*28</f>
        <v>#N/A</v>
      </c>
      <c r="I5" s="386">
        <f>VLOOKUP('INSER. DATI'!$C$5,radiazione!$A$12:$BN$274,56,FALSE)</f>
        <v>13.4</v>
      </c>
      <c r="J5" s="441">
        <f>I5/100*'INSER. DATI'!$C$11</f>
        <v>5.1538461538461542</v>
      </c>
      <c r="K5" s="237">
        <f t="shared" si="0"/>
        <v>18.846153846153847</v>
      </c>
      <c r="L5" s="384">
        <f>'INSER. DATI'!$C$13*J5/1000*0.92</f>
        <v>0</v>
      </c>
      <c r="M5" s="384" t="e">
        <f>'x inserimento dati fissi'!$AD$5*K5</f>
        <v>#N/A</v>
      </c>
      <c r="N5" s="384">
        <f>IF('INSER. DATI'!$C$16="COMPRESO",'x inserimento dati fissi'!$AD$6,0)</f>
        <v>0</v>
      </c>
      <c r="O5" s="387">
        <f>IF('INSER. DATI'!$C$17="COMPRESO",'x inserimento dati fissi'!$AD$7,0)</f>
        <v>0</v>
      </c>
      <c r="P5" s="384" t="e">
        <f t="shared" si="1"/>
        <v>#N/A</v>
      </c>
      <c r="Q5" s="385" t="e">
        <f>P5*28</f>
        <v>#N/A</v>
      </c>
      <c r="R5" s="305" t="e">
        <f>'x inserimento dati fissi'!$AD$3/P5</f>
        <v>#N/A</v>
      </c>
      <c r="S5" s="388" t="e">
        <f t="shared" si="2"/>
        <v>#N/A</v>
      </c>
      <c r="T5" s="238" t="e">
        <f>STAMPA!M46</f>
        <v>#N/A</v>
      </c>
      <c r="U5" s="389" t="e">
        <f>STAMPA!I46</f>
        <v>#DIV/0!</v>
      </c>
    </row>
    <row r="6" spans="1:21" ht="20.100000000000001" customHeight="1">
      <c r="A6" s="333">
        <v>1</v>
      </c>
      <c r="B6" s="380" t="s">
        <v>97</v>
      </c>
      <c r="C6" s="390" t="e">
        <f>VLOOKUP(C7,'x inserimento dati fissi'!W3:X23,2,FALSE)</f>
        <v>#N/A</v>
      </c>
      <c r="D6" s="391"/>
      <c r="E6" s="382" t="s">
        <v>71</v>
      </c>
      <c r="F6" s="383">
        <f>VLOOKUP('INSER. DATI'!$C$5,radiazione!$A$12:$AO$272,F44,FALSE)/31</f>
        <v>8.7258064516129039</v>
      </c>
      <c r="G6" s="384" t="e">
        <f>F6*'x inserimento dati fissi'!$AD$4</f>
        <v>#N/A</v>
      </c>
      <c r="H6" s="385" t="e">
        <f>G6*31</f>
        <v>#N/A</v>
      </c>
      <c r="I6" s="386">
        <f>VLOOKUP('INSER. DATI'!$C$5,radiazione!$A$12:$BN$274,57,FALSE)</f>
        <v>12.02</v>
      </c>
      <c r="J6" s="441">
        <f>I6/100*'INSER. DATI'!$C$11</f>
        <v>4.6230769230769226</v>
      </c>
      <c r="K6" s="237">
        <f t="shared" si="0"/>
        <v>19.376923076923077</v>
      </c>
      <c r="L6" s="384">
        <f>'INSER. DATI'!$C$13*J6/1000*0.92</f>
        <v>0</v>
      </c>
      <c r="M6" s="384" t="e">
        <f>'x inserimento dati fissi'!$AD$5*K6</f>
        <v>#N/A</v>
      </c>
      <c r="N6" s="384">
        <f>IF('INSER. DATI'!$C$16="COMPRESO",'x inserimento dati fissi'!$AD$6,0)</f>
        <v>0</v>
      </c>
      <c r="O6" s="387">
        <f>IF('INSER. DATI'!$C$17="COMPRESO",'x inserimento dati fissi'!$AD$7,0)</f>
        <v>0</v>
      </c>
      <c r="P6" s="384" t="e">
        <f t="shared" si="1"/>
        <v>#N/A</v>
      </c>
      <c r="Q6" s="385" t="e">
        <f>P6*31</f>
        <v>#N/A</v>
      </c>
      <c r="R6" s="305" t="e">
        <f>'x inserimento dati fissi'!$AD$3/P6</f>
        <v>#N/A</v>
      </c>
      <c r="S6" s="388" t="e">
        <f t="shared" si="2"/>
        <v>#N/A</v>
      </c>
      <c r="T6" s="238" t="e">
        <f>STAMPA!M47</f>
        <v>#N/A</v>
      </c>
      <c r="U6" s="389" t="e">
        <f>STAMPA!I47</f>
        <v>#DIV/0!</v>
      </c>
    </row>
    <row r="7" spans="1:21" ht="20.100000000000001" customHeight="1">
      <c r="A7" s="333"/>
      <c r="B7" s="380"/>
      <c r="C7" s="392" t="str">
        <f>_xlfn.CONCAT('INSER. DATI'!C6,C3)</f>
        <v>RossaFALSO</v>
      </c>
      <c r="D7" s="392"/>
      <c r="E7" s="382" t="s">
        <v>72</v>
      </c>
      <c r="F7" s="383">
        <f>VLOOKUP('INSER. DATI'!$C$5,radiazione!$A$12:$AO$272,F45,FALSE)/30</f>
        <v>9.76</v>
      </c>
      <c r="G7" s="384" t="e">
        <f>F7*'x inserimento dati fissi'!$AD$4</f>
        <v>#N/A</v>
      </c>
      <c r="H7" s="385" t="e">
        <f>G7*30</f>
        <v>#N/A</v>
      </c>
      <c r="I7" s="386">
        <f>VLOOKUP('INSER. DATI'!$C$5,radiazione!$A$12:$BN$274,58,FALSE)</f>
        <v>10.35</v>
      </c>
      <c r="J7" s="441">
        <f>I7/100*'INSER. DATI'!$C$11</f>
        <v>3.9807692307692304</v>
      </c>
      <c r="K7" s="237">
        <f t="shared" si="0"/>
        <v>20.01923076923077</v>
      </c>
      <c r="L7" s="384">
        <f>'INSER. DATI'!$C$13*J7/1000*0.92</f>
        <v>0</v>
      </c>
      <c r="M7" s="384" t="e">
        <f>'x inserimento dati fissi'!$AD$5*K7</f>
        <v>#N/A</v>
      </c>
      <c r="N7" s="384">
        <f>IF('INSER. DATI'!$C$16="COMPRESO",'x inserimento dati fissi'!$AD$6,0)</f>
        <v>0</v>
      </c>
      <c r="O7" s="387">
        <f>IF('INSER. DATI'!$C$17="COMPRESO",'x inserimento dati fissi'!$AD$7,0)</f>
        <v>0</v>
      </c>
      <c r="P7" s="384" t="e">
        <f t="shared" si="1"/>
        <v>#N/A</v>
      </c>
      <c r="Q7" s="385" t="e">
        <f>P7*30</f>
        <v>#N/A</v>
      </c>
      <c r="R7" s="305" t="e">
        <f>'x inserimento dati fissi'!$AD$3/P7</f>
        <v>#N/A</v>
      </c>
      <c r="S7" s="388" t="e">
        <f t="shared" si="2"/>
        <v>#N/A</v>
      </c>
      <c r="T7" s="238" t="e">
        <f>STAMPA!M48</f>
        <v>#N/A</v>
      </c>
      <c r="U7" s="389" t="e">
        <f>STAMPA!I48</f>
        <v>#DIV/0!</v>
      </c>
    </row>
    <row r="8" spans="1:21" ht="20.100000000000001" customHeight="1">
      <c r="A8" s="333">
        <v>1</v>
      </c>
      <c r="B8" s="380" t="s">
        <v>137</v>
      </c>
      <c r="C8" s="74" t="str">
        <f>IF(C3="_","ᴓ155 div. 4°",IF(C3="_div.8°","ᴓ155"," "))</f>
        <v xml:space="preserve"> </v>
      </c>
      <c r="E8" s="382" t="s">
        <v>73</v>
      </c>
      <c r="F8" s="383">
        <f>VLOOKUP('INSER. DATI'!$C$5,radiazione!$A$12:$AO$272,F46,FALSE)/31</f>
        <v>11.245161290322581</v>
      </c>
      <c r="G8" s="384" t="e">
        <f>F8*'x inserimento dati fissi'!$AD$4</f>
        <v>#N/A</v>
      </c>
      <c r="H8" s="385" t="e">
        <f>G8*31</f>
        <v>#N/A</v>
      </c>
      <c r="I8" s="386">
        <f>VLOOKUP('INSER. DATI'!$C$5,radiazione!$A$12:$BN$274,59,FALSE)</f>
        <v>9.19</v>
      </c>
      <c r="J8" s="441">
        <f>I8/100*'INSER. DATI'!$C$11</f>
        <v>3.5346153846153845</v>
      </c>
      <c r="K8" s="237">
        <f t="shared" si="0"/>
        <v>20.465384615384615</v>
      </c>
      <c r="L8" s="384">
        <f>'INSER. DATI'!$C$13*J8/1000*0.92</f>
        <v>0</v>
      </c>
      <c r="M8" s="384" t="e">
        <f>'x inserimento dati fissi'!$AD$5*K8</f>
        <v>#N/A</v>
      </c>
      <c r="N8" s="384">
        <f>IF('INSER. DATI'!$C$16="COMPRESO",'x inserimento dati fissi'!$AD$6,0)</f>
        <v>0</v>
      </c>
      <c r="O8" s="387">
        <f>IF('INSER. DATI'!$C$17="COMPRESO",'x inserimento dati fissi'!$AD$7,0)</f>
        <v>0</v>
      </c>
      <c r="P8" s="384" t="e">
        <f t="shared" si="1"/>
        <v>#N/A</v>
      </c>
      <c r="Q8" s="385" t="e">
        <f>P8*31</f>
        <v>#N/A</v>
      </c>
      <c r="R8" s="305" t="e">
        <f>'x inserimento dati fissi'!$AD$3/P8</f>
        <v>#N/A</v>
      </c>
      <c r="S8" s="388" t="e">
        <f t="shared" si="2"/>
        <v>#N/A</v>
      </c>
      <c r="T8" s="238" t="e">
        <f>STAMPA!M49</f>
        <v>#N/A</v>
      </c>
      <c r="U8" s="389" t="e">
        <f>STAMPA!I49</f>
        <v>#DIV/0!</v>
      </c>
    </row>
    <row r="9" spans="1:21" ht="20.100000000000001" customHeight="1">
      <c r="A9" s="333"/>
      <c r="B9" s="380"/>
      <c r="E9" s="382" t="s">
        <v>74</v>
      </c>
      <c r="F9" s="383">
        <f>VLOOKUP('INSER. DATI'!$C$5,radiazione!$A$12:$AO$272,F47,FALSE)/30</f>
        <v>12.083333333333334</v>
      </c>
      <c r="G9" s="384" t="e">
        <f>F9*'x inserimento dati fissi'!$AD$4</f>
        <v>#N/A</v>
      </c>
      <c r="H9" s="385" t="e">
        <f>G9*30</f>
        <v>#N/A</v>
      </c>
      <c r="I9" s="386">
        <f>VLOOKUP('INSER. DATI'!$C$5,radiazione!$A$12:$BN$274,60,FALSE)</f>
        <v>8.4600000000000009</v>
      </c>
      <c r="J9" s="441">
        <f>I9/100*'INSER. DATI'!$C$11</f>
        <v>3.2538461538461538</v>
      </c>
      <c r="K9" s="237">
        <f t="shared" si="0"/>
        <v>20.746153846153845</v>
      </c>
      <c r="L9" s="384">
        <f>'INSER. DATI'!$C$13*J9/1000*0.92</f>
        <v>0</v>
      </c>
      <c r="M9" s="384" t="e">
        <f>'x inserimento dati fissi'!$AD$5*K9</f>
        <v>#N/A</v>
      </c>
      <c r="N9" s="384">
        <f>IF('INSER. DATI'!$C$16="COMPRESO",'x inserimento dati fissi'!$AD$6,0)</f>
        <v>0</v>
      </c>
      <c r="O9" s="387">
        <f>IF('INSER. DATI'!$C$17="COMPRESO",'x inserimento dati fissi'!$AD$7,0)</f>
        <v>0</v>
      </c>
      <c r="P9" s="384" t="e">
        <f t="shared" si="1"/>
        <v>#N/A</v>
      </c>
      <c r="Q9" s="385" t="e">
        <f>P9*30</f>
        <v>#N/A</v>
      </c>
      <c r="R9" s="305" t="e">
        <f>'x inserimento dati fissi'!$AD$3/P9</f>
        <v>#N/A</v>
      </c>
      <c r="S9" s="388" t="e">
        <f t="shared" si="2"/>
        <v>#N/A</v>
      </c>
      <c r="T9" s="238" t="e">
        <f>STAMPA!M50</f>
        <v>#N/A</v>
      </c>
      <c r="U9" s="389" t="e">
        <f>STAMPA!I50</f>
        <v>#DIV/0!</v>
      </c>
    </row>
    <row r="10" spans="1:21" ht="20.100000000000001" customHeight="1">
      <c r="A10" s="333">
        <v>1</v>
      </c>
      <c r="B10" s="380" t="s">
        <v>138</v>
      </c>
      <c r="E10" s="382" t="s">
        <v>75</v>
      </c>
      <c r="F10" s="383">
        <f>VLOOKUP('INSER. DATI'!$C$5,radiazione!$A$12:$AO$272,F48,FALSE)/31</f>
        <v>12.335483870967741</v>
      </c>
      <c r="G10" s="384" t="e">
        <f>F10*'x inserimento dati fissi'!$AD$4</f>
        <v>#N/A</v>
      </c>
      <c r="H10" s="385" t="e">
        <f>G10*31</f>
        <v>#N/A</v>
      </c>
      <c r="I10" s="386">
        <f>VLOOKUP('INSER. DATI'!$C$5,radiazione!$A$12:$BN$274,61,FALSE)</f>
        <v>9.0299999999999994</v>
      </c>
      <c r="J10" s="441">
        <f>I10/100*'INSER. DATI'!$C$11</f>
        <v>3.4730769230769227</v>
      </c>
      <c r="K10" s="237">
        <f t="shared" si="0"/>
        <v>20.526923076923076</v>
      </c>
      <c r="L10" s="384">
        <f>'INSER. DATI'!$C$13*J10/1000*0.92</f>
        <v>0</v>
      </c>
      <c r="M10" s="384" t="e">
        <f>'x inserimento dati fissi'!$AD$5*K10</f>
        <v>#N/A</v>
      </c>
      <c r="N10" s="384">
        <f>IF('INSER. DATI'!$C$16="COMPRESO",'x inserimento dati fissi'!$AD$6,0)</f>
        <v>0</v>
      </c>
      <c r="O10" s="387">
        <f>IF('INSER. DATI'!$C$17="COMPRESO",'x inserimento dati fissi'!$AD$7,0)</f>
        <v>0</v>
      </c>
      <c r="P10" s="384" t="e">
        <f t="shared" si="1"/>
        <v>#N/A</v>
      </c>
      <c r="Q10" s="385" t="e">
        <f>P10*31</f>
        <v>#N/A</v>
      </c>
      <c r="R10" s="305" t="e">
        <f>'x inserimento dati fissi'!$AD$3/P10</f>
        <v>#N/A</v>
      </c>
      <c r="S10" s="388" t="e">
        <f t="shared" si="2"/>
        <v>#N/A</v>
      </c>
      <c r="T10" s="238" t="e">
        <f>STAMPA!M51</f>
        <v>#N/A</v>
      </c>
      <c r="U10" s="389" t="e">
        <f>STAMPA!I51</f>
        <v>#DIV/0!</v>
      </c>
    </row>
    <row r="11" spans="1:21" ht="20.100000000000001" customHeight="1">
      <c r="A11" s="333"/>
      <c r="B11" s="380"/>
      <c r="E11" s="382" t="s">
        <v>76</v>
      </c>
      <c r="F11" s="383">
        <f>VLOOKUP('INSER. DATI'!$C$5,radiazione!$A$12:$AO$272,F49,FALSE)/31</f>
        <v>11.248387096774193</v>
      </c>
      <c r="G11" s="384" t="e">
        <f>F11*'x inserimento dati fissi'!$AD$4</f>
        <v>#N/A</v>
      </c>
      <c r="H11" s="385" t="e">
        <f>G11*31</f>
        <v>#N/A</v>
      </c>
      <c r="I11" s="386">
        <f>VLOOKUP('INSER. DATI'!$C$5,radiazione!$A$12:$BN$274,62,FALSE)</f>
        <v>10.15</v>
      </c>
      <c r="J11" s="441">
        <f>I11/100*'INSER. DATI'!$C$11</f>
        <v>3.9038461538461537</v>
      </c>
      <c r="K11" s="237">
        <f t="shared" si="0"/>
        <v>20.096153846153847</v>
      </c>
      <c r="L11" s="384">
        <f>'INSER. DATI'!$C$13*J11/1000*0.92</f>
        <v>0</v>
      </c>
      <c r="M11" s="384" t="e">
        <f>'x inserimento dati fissi'!$AD$5*K11</f>
        <v>#N/A</v>
      </c>
      <c r="N11" s="384">
        <f>IF('INSER. DATI'!$C$16="COMPRESO",'x inserimento dati fissi'!$AD$6,0)</f>
        <v>0</v>
      </c>
      <c r="O11" s="387">
        <f>IF('INSER. DATI'!$C$17="COMPRESO",'x inserimento dati fissi'!$AD$7,0)</f>
        <v>0</v>
      </c>
      <c r="P11" s="384" t="e">
        <f t="shared" si="1"/>
        <v>#N/A</v>
      </c>
      <c r="Q11" s="385" t="e">
        <f>P11*31</f>
        <v>#N/A</v>
      </c>
      <c r="R11" s="305" t="e">
        <f>'x inserimento dati fissi'!$AD$3/P11</f>
        <v>#N/A</v>
      </c>
      <c r="S11" s="388" t="e">
        <f t="shared" si="2"/>
        <v>#N/A</v>
      </c>
      <c r="T11" s="238" t="e">
        <f>STAMPA!M52</f>
        <v>#N/A</v>
      </c>
      <c r="U11" s="389" t="e">
        <f>STAMPA!I52</f>
        <v>#DIV/0!</v>
      </c>
    </row>
    <row r="12" spans="1:21" ht="20.100000000000001" customHeight="1">
      <c r="A12" s="334">
        <v>1</v>
      </c>
      <c r="B12" s="380" t="s">
        <v>139</v>
      </c>
      <c r="E12" s="382" t="s">
        <v>77</v>
      </c>
      <c r="F12" s="383">
        <f>VLOOKUP('INSER. DATI'!$C$5,radiazione!$A$12:$AO$272,F50,FALSE)/30</f>
        <v>11.623333333333333</v>
      </c>
      <c r="G12" s="384" t="e">
        <f>F12*'x inserimento dati fissi'!$AD$4</f>
        <v>#N/A</v>
      </c>
      <c r="H12" s="385" t="e">
        <f>G12*30</f>
        <v>#N/A</v>
      </c>
      <c r="I12" s="386">
        <f>VLOOKUP('INSER. DATI'!$C$5,radiazione!$A$12:$BN$274,63,FALSE)</f>
        <v>11.47</v>
      </c>
      <c r="J12" s="441">
        <f>I12/100*'INSER. DATI'!$C$11</f>
        <v>4.4115384615384619</v>
      </c>
      <c r="K12" s="237">
        <f t="shared" si="0"/>
        <v>19.588461538461537</v>
      </c>
      <c r="L12" s="384">
        <f>'INSER. DATI'!$C$13*J12/1000*0.92</f>
        <v>0</v>
      </c>
      <c r="M12" s="384" t="e">
        <f>'x inserimento dati fissi'!$AD$5*K12</f>
        <v>#N/A</v>
      </c>
      <c r="N12" s="384">
        <f>IF('INSER. DATI'!$C$16="COMPRESO",'x inserimento dati fissi'!$AD$6,0)</f>
        <v>0</v>
      </c>
      <c r="O12" s="387">
        <f>IF('INSER. DATI'!$C$17="COMPRESO",'x inserimento dati fissi'!$AD$7,0)</f>
        <v>0</v>
      </c>
      <c r="P12" s="384" t="e">
        <f t="shared" si="1"/>
        <v>#N/A</v>
      </c>
      <c r="Q12" s="385" t="e">
        <f>P12*30</f>
        <v>#N/A</v>
      </c>
      <c r="R12" s="305" t="e">
        <f>'x inserimento dati fissi'!$AD$3/P12</f>
        <v>#N/A</v>
      </c>
      <c r="S12" s="388" t="e">
        <f t="shared" si="2"/>
        <v>#N/A</v>
      </c>
      <c r="T12" s="238" t="e">
        <f>STAMPA!M53</f>
        <v>#N/A</v>
      </c>
      <c r="U12" s="389" t="e">
        <f>STAMPA!I53</f>
        <v>#DIV/0!</v>
      </c>
    </row>
    <row r="13" spans="1:21" ht="20.100000000000001" customHeight="1">
      <c r="A13" s="334"/>
      <c r="B13" s="380"/>
      <c r="E13" s="382" t="s">
        <v>78</v>
      </c>
      <c r="F13" s="383">
        <f>VLOOKUP('INSER. DATI'!$C$5,radiazione!$A$12:$AO$272,F51,FALSE)/31</f>
        <v>7.1</v>
      </c>
      <c r="G13" s="384" t="e">
        <f>F13*'x inserimento dati fissi'!$AD$4</f>
        <v>#N/A</v>
      </c>
      <c r="H13" s="385" t="e">
        <f>G13*31</f>
        <v>#N/A</v>
      </c>
      <c r="I13" s="386">
        <f>VLOOKUP('INSER. DATI'!$C$5,radiazione!$A$12:$BN$274,64,FALSE)</f>
        <v>13.18</v>
      </c>
      <c r="J13" s="441">
        <f>I13/100*'INSER. DATI'!$C$11</f>
        <v>5.069230769230769</v>
      </c>
      <c r="K13" s="237">
        <f t="shared" si="0"/>
        <v>18.930769230769229</v>
      </c>
      <c r="L13" s="384">
        <f>'INSER. DATI'!$C$13*J13/1000*0.92</f>
        <v>0</v>
      </c>
      <c r="M13" s="384" t="e">
        <f>'x inserimento dati fissi'!$AD$5*K13</f>
        <v>#N/A</v>
      </c>
      <c r="N13" s="384">
        <f>IF('INSER. DATI'!$C$16="COMPRESO",'x inserimento dati fissi'!$AD$6,0)</f>
        <v>0</v>
      </c>
      <c r="O13" s="387">
        <f>IF('INSER. DATI'!$C$17="COMPRESO",'x inserimento dati fissi'!$AD$7,0)</f>
        <v>0</v>
      </c>
      <c r="P13" s="384" t="e">
        <f t="shared" si="1"/>
        <v>#N/A</v>
      </c>
      <c r="Q13" s="385" t="e">
        <f>P13*31</f>
        <v>#N/A</v>
      </c>
      <c r="R13" s="305" t="e">
        <f>'x inserimento dati fissi'!$AD$3/P13</f>
        <v>#N/A</v>
      </c>
      <c r="S13" s="388" t="e">
        <f t="shared" si="2"/>
        <v>#N/A</v>
      </c>
      <c r="T13" s="238" t="e">
        <f>STAMPA!M54</f>
        <v>#N/A</v>
      </c>
      <c r="U13" s="389" t="e">
        <f>STAMPA!I54</f>
        <v>#DIV/0!</v>
      </c>
    </row>
    <row r="14" spans="1:21" ht="20.100000000000001" customHeight="1">
      <c r="A14" s="333">
        <v>1</v>
      </c>
      <c r="B14" s="380" t="s">
        <v>140</v>
      </c>
      <c r="E14" s="382" t="s">
        <v>79</v>
      </c>
      <c r="F14" s="383">
        <f>VLOOKUP('INSER. DATI'!$C$5,radiazione!$A$12:$AO$272,F52,FALSE)/30</f>
        <v>5.5266666666666673</v>
      </c>
      <c r="G14" s="384" t="e">
        <f>F14*'x inserimento dati fissi'!$AD$4</f>
        <v>#N/A</v>
      </c>
      <c r="H14" s="385" t="e">
        <f>G14*30</f>
        <v>#N/A</v>
      </c>
      <c r="I14" s="386">
        <f>VLOOKUP('INSER. DATI'!$C$5,radiazione!$A$12:$BN$274,65,FALSE)</f>
        <v>14.45</v>
      </c>
      <c r="J14" s="441">
        <f>I14/100*'INSER. DATI'!$C$11</f>
        <v>5.5576923076923075</v>
      </c>
      <c r="K14" s="237">
        <f t="shared" si="0"/>
        <v>18.442307692307693</v>
      </c>
      <c r="L14" s="384">
        <f>'INSER. DATI'!$C$13*J14/1000*0.92</f>
        <v>0</v>
      </c>
      <c r="M14" s="384" t="e">
        <f>'x inserimento dati fissi'!$AD$5*K14</f>
        <v>#N/A</v>
      </c>
      <c r="N14" s="384">
        <f>IF('INSER. DATI'!$C$16="COMPRESO",'x inserimento dati fissi'!$AD$6,0)</f>
        <v>0</v>
      </c>
      <c r="O14" s="387">
        <f>IF('INSER. DATI'!$C$17="COMPRESO",'x inserimento dati fissi'!$AD$7,0)</f>
        <v>0</v>
      </c>
      <c r="P14" s="384" t="e">
        <f t="shared" si="1"/>
        <v>#N/A</v>
      </c>
      <c r="Q14" s="385" t="e">
        <f>P14*30</f>
        <v>#N/A</v>
      </c>
      <c r="R14" s="305" t="e">
        <f>'x inserimento dati fissi'!$AD$3/P14</f>
        <v>#N/A</v>
      </c>
      <c r="S14" s="388" t="e">
        <f t="shared" si="2"/>
        <v>#N/A</v>
      </c>
      <c r="T14" s="238" t="e">
        <f>STAMPA!M55</f>
        <v>#N/A</v>
      </c>
      <c r="U14" s="389" t="e">
        <f>STAMPA!I55</f>
        <v>#DIV/0!</v>
      </c>
    </row>
    <row r="15" spans="1:21" ht="20.100000000000001" customHeight="1">
      <c r="A15" s="333"/>
      <c r="B15" s="380"/>
      <c r="E15" s="382" t="s">
        <v>80</v>
      </c>
      <c r="F15" s="383">
        <f>VLOOKUP('INSER. DATI'!$C$5,radiazione!$A$12:$AO$272,F53,FALSE)/31</f>
        <v>4.9161290322580644</v>
      </c>
      <c r="G15" s="384" t="e">
        <f>F15*'x inserimento dati fissi'!$AD$4</f>
        <v>#N/A</v>
      </c>
      <c r="H15" s="385" t="e">
        <f>G15*31</f>
        <v>#N/A</v>
      </c>
      <c r="I15" s="386">
        <f>VLOOKUP('INSER. DATI'!$C$5,radiazione!$A$12:$BN$274,66,FALSE)</f>
        <v>15.08</v>
      </c>
      <c r="J15" s="441">
        <f>I15/100*'INSER. DATI'!$C$11</f>
        <v>5.7999999999999989</v>
      </c>
      <c r="K15" s="237">
        <f t="shared" si="0"/>
        <v>18.200000000000003</v>
      </c>
      <c r="L15" s="384">
        <f>'INSER. DATI'!$C$13*J15/1000*0.92</f>
        <v>0</v>
      </c>
      <c r="M15" s="384" t="e">
        <f>'x inserimento dati fissi'!$AD$5*K15</f>
        <v>#N/A</v>
      </c>
      <c r="N15" s="384">
        <f>IF('INSER. DATI'!$C$16="COMPRESO",'x inserimento dati fissi'!$AD$6,0)</f>
        <v>0</v>
      </c>
      <c r="O15" s="387">
        <f>IF('INSER. DATI'!$C$17="COMPRESO",'x inserimento dati fissi'!$AD$7,0)</f>
        <v>0</v>
      </c>
      <c r="P15" s="384" t="e">
        <f t="shared" si="1"/>
        <v>#N/A</v>
      </c>
      <c r="Q15" s="385" t="e">
        <f>P15*31</f>
        <v>#N/A</v>
      </c>
      <c r="R15" s="305" t="e">
        <f>'x inserimento dati fissi'!$AD$3/P15</f>
        <v>#N/A</v>
      </c>
      <c r="S15" s="388" t="e">
        <f t="shared" si="2"/>
        <v>#N/A</v>
      </c>
      <c r="T15" s="238" t="e">
        <f>STAMPA!M56</f>
        <v>#N/A</v>
      </c>
      <c r="U15" s="389" t="e">
        <f>STAMPA!I56</f>
        <v>#DIV/0!</v>
      </c>
    </row>
    <row r="16" spans="1:21" ht="20.100000000000001" customHeight="1">
      <c r="A16" s="333"/>
      <c r="E16" s="393" t="s">
        <v>141</v>
      </c>
      <c r="F16" s="394">
        <f>IFERROR(AVERAGE(F4:F15),"-")</f>
        <v>8.88090565796211</v>
      </c>
      <c r="G16" s="394" t="e">
        <f t="shared" ref="G16:L16" si="3">AVERAGE(G4:G15)</f>
        <v>#N/A</v>
      </c>
      <c r="H16" s="394" t="e">
        <f t="shared" si="3"/>
        <v>#N/A</v>
      </c>
      <c r="I16" s="394">
        <f t="shared" si="3"/>
        <v>11.776666666666666</v>
      </c>
      <c r="J16" s="394">
        <f t="shared" si="3"/>
        <v>4.5294871794871794</v>
      </c>
      <c r="K16" s="394">
        <f t="shared" si="3"/>
        <v>19.47051282051282</v>
      </c>
      <c r="L16" s="394">
        <f t="shared" si="3"/>
        <v>0</v>
      </c>
      <c r="M16" s="395" t="e">
        <f t="shared" ref="M16:S16" si="4">(M4+M5+M6+M7+M8+M9+M10+M11+M12+M13+M14+M15)/12</f>
        <v>#N/A</v>
      </c>
      <c r="N16" s="395">
        <f t="shared" si="4"/>
        <v>0</v>
      </c>
      <c r="O16" s="395">
        <f t="shared" si="4"/>
        <v>0</v>
      </c>
      <c r="P16" s="395" t="e">
        <f t="shared" si="4"/>
        <v>#N/A</v>
      </c>
      <c r="Q16" s="396" t="e">
        <f t="shared" si="4"/>
        <v>#N/A</v>
      </c>
      <c r="R16" s="397" t="e">
        <f t="shared" si="4"/>
        <v>#N/A</v>
      </c>
      <c r="S16" s="398" t="e">
        <f t="shared" si="4"/>
        <v>#N/A</v>
      </c>
      <c r="U16" s="389"/>
    </row>
    <row r="17" spans="1:21" ht="20.100000000000001" customHeight="1">
      <c r="A17" s="333"/>
      <c r="G17" s="526" t="e">
        <f>MIN(G4:G15)</f>
        <v>#N/A</v>
      </c>
      <c r="H17" s="399" t="e">
        <f>MIN(H4:H15)</f>
        <v>#N/A</v>
      </c>
      <c r="I17" s="399">
        <f>MAX(I4:I15)</f>
        <v>15.08</v>
      </c>
      <c r="J17" s="399"/>
      <c r="K17" s="399"/>
      <c r="L17" s="399"/>
      <c r="M17" s="399"/>
      <c r="N17" s="399">
        <f>N16*1.38</f>
        <v>0</v>
      </c>
      <c r="O17" s="399"/>
      <c r="P17" s="399"/>
      <c r="Q17" s="399" t="e">
        <f>MAX(Q4:Q15)</f>
        <v>#N/A</v>
      </c>
      <c r="R17" s="400" t="e">
        <f>MIN(R4:R15)</f>
        <v>#N/A</v>
      </c>
      <c r="S17" s="400" t="e">
        <f>MIN(S4:S15)</f>
        <v>#N/A</v>
      </c>
    </row>
    <row r="18" spans="1:21" ht="20.100000000000001" customHeight="1">
      <c r="A18" s="333"/>
      <c r="G18" s="237" t="e">
        <f>I18/H24/0.92</f>
        <v>#DIV/0!</v>
      </c>
      <c r="H18" s="237" t="e">
        <f>I18/H24/33.3/0.92</f>
        <v>#DIV/0!</v>
      </c>
      <c r="I18" s="116">
        <f>(H24*33.3)*0.92</f>
        <v>0</v>
      </c>
      <c r="K18" s="239" t="e">
        <f>T15*1000/31/I15</f>
        <v>#N/A</v>
      </c>
      <c r="M18" s="239" t="s">
        <v>142</v>
      </c>
      <c r="S18" s="238" t="e">
        <f>SMALL(S4:S15,2)</f>
        <v>#N/A</v>
      </c>
    </row>
    <row r="19" spans="1:21" ht="20.100000000000001" hidden="1" customHeight="1">
      <c r="A19" s="333"/>
    </row>
    <row r="20" spans="1:21" ht="20.100000000000001" hidden="1" customHeight="1">
      <c r="A20" s="333"/>
    </row>
    <row r="21" spans="1:21" ht="20.100000000000001" hidden="1" customHeight="1">
      <c r="A21" s="333"/>
      <c r="B21" s="401"/>
      <c r="E21" s="239"/>
      <c r="F21" s="402"/>
      <c r="G21" s="402"/>
      <c r="H21" s="402"/>
      <c r="I21" s="240"/>
      <c r="J21" s="240"/>
      <c r="K21" s="240"/>
      <c r="L21" s="402"/>
      <c r="M21" s="240"/>
      <c r="N21" s="240"/>
      <c r="O21" s="240"/>
      <c r="P21" s="402"/>
      <c r="Q21" s="402"/>
      <c r="R21" s="403"/>
      <c r="S21" s="404"/>
      <c r="T21" s="405"/>
      <c r="U21" s="240"/>
    </row>
    <row r="22" spans="1:21" ht="20.100000000000001" hidden="1" customHeight="1">
      <c r="A22" s="333"/>
      <c r="B22" s="401"/>
    </row>
    <row r="23" spans="1:21" ht="20.100000000000001" hidden="1" customHeight="1">
      <c r="A23" s="333"/>
      <c r="E23" s="241"/>
      <c r="F23" s="242"/>
      <c r="G23" s="242"/>
    </row>
    <row r="24" spans="1:21" ht="20.100000000000001" customHeight="1" thickBot="1">
      <c r="A24" s="335"/>
      <c r="B24" s="406"/>
      <c r="C24" s="373"/>
      <c r="D24" s="373"/>
      <c r="E24" s="373"/>
      <c r="F24" s="373"/>
      <c r="G24" s="407"/>
      <c r="H24" s="407">
        <f>((I4*'INSER. DATI'!C13)/100)</f>
        <v>0</v>
      </c>
      <c r="I24" s="528">
        <f>(((I4*'INSER. DATI'!C13)/100)*33.3)*0.92</f>
        <v>0</v>
      </c>
      <c r="J24" s="373"/>
      <c r="K24" s="373"/>
      <c r="L24" s="407"/>
      <c r="M24" s="373"/>
      <c r="N24" s="373"/>
      <c r="O24" s="373"/>
      <c r="P24" s="407"/>
      <c r="Q24" s="407"/>
      <c r="R24" s="407"/>
      <c r="S24" s="374"/>
      <c r="T24" s="408"/>
      <c r="U24" s="373"/>
    </row>
    <row r="25" spans="1:21" ht="20.100000000000001" customHeight="1">
      <c r="A25" s="410"/>
      <c r="H25" s="525" t="s">
        <v>143</v>
      </c>
      <c r="J25" s="529" t="s">
        <v>144</v>
      </c>
      <c r="K25" s="524"/>
      <c r="M25" s="524" t="s">
        <v>145</v>
      </c>
      <c r="N25" s="524"/>
      <c r="O25" s="886" t="s">
        <v>146</v>
      </c>
      <c r="P25" s="846"/>
      <c r="Q25" s="525" t="s">
        <v>147</v>
      </c>
      <c r="R25" s="525"/>
      <c r="S25" s="527"/>
      <c r="T25" s="524" t="s">
        <v>148</v>
      </c>
      <c r="U25" s="528"/>
    </row>
    <row r="26" spans="1:21" ht="20.100000000000001" customHeight="1">
      <c r="A26" s="410"/>
      <c r="H26" s="531">
        <f>'INSER. DATI'!C13*DATI!I17/1000*0.92</f>
        <v>0</v>
      </c>
      <c r="J26" s="530" t="e">
        <f>H17/31</f>
        <v>#N/A</v>
      </c>
      <c r="K26" s="524"/>
      <c r="M26" s="524" t="e">
        <f>100/H26*J26*0.94</f>
        <v>#DIV/0!</v>
      </c>
      <c r="N26" s="524"/>
      <c r="O26" s="846"/>
      <c r="P26" s="846"/>
      <c r="Q26" s="525" t="e">
        <f>T28</f>
        <v>#DIV/0!</v>
      </c>
      <c r="R26" s="525"/>
      <c r="S26" s="527"/>
      <c r="T26" s="525" t="e">
        <f>'INSER. DATI'!C15*1000/('INSER. DATI'!C13+N17)</f>
        <v>#DIV/0!</v>
      </c>
      <c r="U26" s="528"/>
    </row>
    <row r="27" spans="1:21" ht="24" customHeight="1">
      <c r="A27" s="410"/>
      <c r="F27" s="237"/>
      <c r="K27" s="381" t="e">
        <f>IF(H26*M26/100&gt;K18,"batteria NO","BATTERIAOK")</f>
        <v>#DIV/0!</v>
      </c>
      <c r="O27" s="889" t="e">
        <f>IF(M26&lt;Q26,M26,Q26)</f>
        <v>#DIV/0!</v>
      </c>
      <c r="P27" s="846"/>
      <c r="T27" s="116">
        <f>I17*10</f>
        <v>150.80000000000001</v>
      </c>
    </row>
    <row r="28" spans="1:21" ht="20.100000000000001" customHeight="1" thickBot="1">
      <c r="A28" s="410"/>
      <c r="F28" s="237"/>
      <c r="T28" s="237" t="e">
        <f>100/T27*T26/0.88</f>
        <v>#DIV/0!</v>
      </c>
    </row>
    <row r="29" spans="1:21" ht="28.5" customHeight="1">
      <c r="A29" s="410"/>
      <c r="C29" s="446" t="s">
        <v>149</v>
      </c>
      <c r="D29" s="370"/>
      <c r="E29" s="887" t="s">
        <v>150</v>
      </c>
      <c r="F29" s="370"/>
      <c r="G29" s="371"/>
      <c r="H29" s="595" t="s">
        <v>151</v>
      </c>
      <c r="I29" s="370"/>
      <c r="J29" s="371"/>
      <c r="K29" s="371"/>
      <c r="L29" s="371"/>
      <c r="M29" s="371"/>
      <c r="N29" s="371"/>
      <c r="O29" s="371"/>
    </row>
    <row r="30" spans="1:21" ht="21" customHeight="1">
      <c r="A30" s="410"/>
      <c r="C30" s="414" t="s">
        <v>115</v>
      </c>
      <c r="D30" s="237"/>
      <c r="E30" s="888"/>
      <c r="F30" s="409"/>
      <c r="G30" s="409"/>
      <c r="H30" s="596" t="s">
        <v>152</v>
      </c>
      <c r="I30" s="409"/>
      <c r="J30" s="409"/>
      <c r="K30" s="409"/>
      <c r="M30" s="409"/>
      <c r="N30" s="409"/>
      <c r="O30" s="409"/>
    </row>
    <row r="31" spans="1:21" ht="15" customHeight="1">
      <c r="A31" s="410"/>
      <c r="C31" s="414" t="s">
        <v>116</v>
      </c>
      <c r="D31" s="237"/>
      <c r="E31" s="447" t="s">
        <v>153</v>
      </c>
      <c r="F31" s="409"/>
      <c r="G31" s="409"/>
      <c r="H31" s="409" t="s">
        <v>154</v>
      </c>
      <c r="I31" s="409"/>
      <c r="J31" s="409"/>
      <c r="K31" s="409"/>
      <c r="M31" s="237"/>
      <c r="N31" s="237"/>
      <c r="O31" s="237"/>
    </row>
    <row r="32" spans="1:21" ht="15" customHeight="1">
      <c r="A32" s="410"/>
      <c r="C32" s="414" t="s">
        <v>117</v>
      </c>
      <c r="D32" s="237"/>
      <c r="E32" s="444" t="s">
        <v>155</v>
      </c>
      <c r="F32" s="409"/>
      <c r="G32" s="409"/>
      <c r="H32" s="475" t="s">
        <v>156</v>
      </c>
      <c r="I32" s="409"/>
      <c r="J32" s="409"/>
      <c r="K32" s="409"/>
      <c r="M32" s="237"/>
      <c r="N32" s="237"/>
      <c r="O32" s="237"/>
    </row>
    <row r="33" spans="1:19" ht="15" customHeight="1">
      <c r="A33" s="410"/>
      <c r="C33" s="414" t="s">
        <v>118</v>
      </c>
      <c r="D33" s="237"/>
      <c r="E33" s="444" t="s">
        <v>157</v>
      </c>
      <c r="F33" s="237"/>
      <c r="G33" s="409"/>
      <c r="H33" s="409" t="s">
        <v>158</v>
      </c>
      <c r="I33" s="409"/>
      <c r="J33" s="409"/>
      <c r="K33" s="409"/>
      <c r="M33" s="237"/>
      <c r="N33" s="237"/>
      <c r="O33" s="237"/>
    </row>
    <row r="34" spans="1:19" ht="38.25" customHeight="1" thickBot="1">
      <c r="A34" s="410"/>
      <c r="C34" s="415" t="s">
        <v>119</v>
      </c>
      <c r="E34" s="445" t="s">
        <v>159</v>
      </c>
      <c r="H34" s="409" t="s">
        <v>160</v>
      </c>
    </row>
    <row r="35" spans="1:19" ht="15" customHeight="1" thickBot="1">
      <c r="A35" s="410"/>
      <c r="C35" s="416" t="s">
        <v>119</v>
      </c>
      <c r="E35" s="448"/>
      <c r="F35" s="884" t="s">
        <v>161</v>
      </c>
      <c r="H35" s="409" t="s">
        <v>162</v>
      </c>
    </row>
    <row r="36" spans="1:19" ht="15" customHeight="1">
      <c r="A36" s="410"/>
      <c r="C36" s="301"/>
      <c r="E36" s="448"/>
      <c r="F36" s="846"/>
      <c r="H36" s="237" t="str">
        <f>'INSER. DATI'!B23</f>
        <v/>
      </c>
    </row>
    <row r="37" spans="1:19" ht="15" customHeight="1">
      <c r="A37" s="410"/>
      <c r="C37" s="301"/>
      <c r="E37" s="448"/>
      <c r="F37" s="846"/>
    </row>
    <row r="38" spans="1:19" ht="15" customHeight="1">
      <c r="A38" s="410"/>
      <c r="C38" s="301"/>
      <c r="E38" s="448"/>
      <c r="F38" s="846"/>
    </row>
    <row r="39" spans="1:19" ht="15" customHeight="1">
      <c r="A39" s="410"/>
      <c r="C39" s="301"/>
      <c r="E39" s="448"/>
      <c r="F39" s="846"/>
    </row>
    <row r="40" spans="1:19" ht="24" customHeight="1" thickBot="1">
      <c r="A40" s="410"/>
      <c r="C40" s="301"/>
      <c r="E40" s="448"/>
      <c r="F40" s="449"/>
    </row>
    <row r="41" spans="1:19" ht="42" customHeight="1">
      <c r="A41" s="410"/>
      <c r="E41" s="882" t="s">
        <v>163</v>
      </c>
      <c r="F41" s="883"/>
    </row>
    <row r="42" spans="1:19" ht="20.100000000000001" customHeight="1">
      <c r="A42" s="410"/>
      <c r="E42" s="450" t="s">
        <v>69</v>
      </c>
      <c r="F42" s="453">
        <f>IF('INSER. DATI'!$C$4="CL_201",18,5)</f>
        <v>5</v>
      </c>
      <c r="I42" s="237" t="s">
        <v>153</v>
      </c>
      <c r="J42" s="237"/>
      <c r="K42" s="237" t="s">
        <v>153</v>
      </c>
      <c r="L42" s="237" t="s">
        <v>153</v>
      </c>
      <c r="M42" s="409" t="s">
        <v>164</v>
      </c>
      <c r="N42" s="409" t="s">
        <v>164</v>
      </c>
      <c r="O42" s="409" t="s">
        <v>164</v>
      </c>
      <c r="P42" s="409" t="s">
        <v>165</v>
      </c>
      <c r="Q42" s="409" t="s">
        <v>166</v>
      </c>
      <c r="R42" s="237" t="s">
        <v>167</v>
      </c>
      <c r="S42" s="409" t="s">
        <v>168</v>
      </c>
    </row>
    <row r="43" spans="1:19" ht="20.100000000000001" customHeight="1">
      <c r="A43" s="410"/>
      <c r="E43" s="450" t="s">
        <v>70</v>
      </c>
      <c r="F43" s="453">
        <f>IF('INSER. DATI'!$C$4="CL_201",19,6)</f>
        <v>6</v>
      </c>
      <c r="I43" s="237" t="s">
        <v>155</v>
      </c>
      <c r="J43" s="237"/>
      <c r="K43" s="237" t="s">
        <v>155</v>
      </c>
      <c r="L43" s="237" t="s">
        <v>155</v>
      </c>
      <c r="M43" s="409" t="s">
        <v>164</v>
      </c>
      <c r="N43" s="409" t="s">
        <v>164</v>
      </c>
      <c r="O43" s="409" t="s">
        <v>164</v>
      </c>
      <c r="P43" s="409" t="s">
        <v>169</v>
      </c>
      <c r="Q43" s="409" t="s">
        <v>170</v>
      </c>
      <c r="R43" s="237" t="s">
        <v>171</v>
      </c>
      <c r="S43" s="237" t="s">
        <v>171</v>
      </c>
    </row>
    <row r="44" spans="1:19" ht="20.100000000000001" customHeight="1">
      <c r="A44" s="410"/>
      <c r="E44" s="450" t="s">
        <v>71</v>
      </c>
      <c r="F44" s="453">
        <f>IF('INSER. DATI'!$C$4="CL_201",20,7)</f>
        <v>7</v>
      </c>
      <c r="I44" s="237" t="s">
        <v>157</v>
      </c>
      <c r="J44" s="237"/>
      <c r="K44" s="237" t="s">
        <v>157</v>
      </c>
      <c r="L44" s="237" t="s">
        <v>157</v>
      </c>
      <c r="M44" s="409" t="s">
        <v>164</v>
      </c>
      <c r="N44" s="409" t="s">
        <v>164</v>
      </c>
      <c r="O44" s="409" t="s">
        <v>164</v>
      </c>
      <c r="P44" s="409" t="s">
        <v>172</v>
      </c>
      <c r="Q44" s="409" t="s">
        <v>173</v>
      </c>
      <c r="R44" s="237" t="s">
        <v>174</v>
      </c>
      <c r="S44" s="237" t="s">
        <v>174</v>
      </c>
    </row>
    <row r="45" spans="1:19" ht="20.100000000000001" customHeight="1">
      <c r="A45" s="410"/>
      <c r="E45" s="450" t="s">
        <v>72</v>
      </c>
      <c r="F45" s="453">
        <f>IF('INSER. DATI'!$C$4="CL_201",21,8)</f>
        <v>8</v>
      </c>
      <c r="I45" s="237" t="s">
        <v>159</v>
      </c>
      <c r="J45" s="237"/>
      <c r="K45" s="237" t="s">
        <v>159</v>
      </c>
      <c r="L45" s="237" t="s">
        <v>159</v>
      </c>
      <c r="M45" s="409" t="s">
        <v>164</v>
      </c>
      <c r="N45" s="409" t="s">
        <v>164</v>
      </c>
      <c r="O45" s="409" t="s">
        <v>164</v>
      </c>
      <c r="P45" s="409" t="s">
        <v>175</v>
      </c>
      <c r="Q45" s="409" t="s">
        <v>176</v>
      </c>
      <c r="R45" s="237" t="s">
        <v>177</v>
      </c>
      <c r="S45" s="237" t="s">
        <v>177</v>
      </c>
    </row>
    <row r="46" spans="1:19" ht="20.100000000000001" customHeight="1">
      <c r="A46" s="410"/>
      <c r="E46" s="450" t="s">
        <v>73</v>
      </c>
      <c r="F46" s="453">
        <f>IF('INSER. DATI'!$C$4="CL_201",22,9)</f>
        <v>9</v>
      </c>
    </row>
    <row r="47" spans="1:19" ht="20.100000000000001" customHeight="1">
      <c r="A47" s="410"/>
      <c r="E47" s="450" t="s">
        <v>74</v>
      </c>
      <c r="F47" s="453">
        <f>IF('INSER. DATI'!$C$4="CL_201",23,10)</f>
        <v>10</v>
      </c>
    </row>
    <row r="48" spans="1:19" ht="20.100000000000001" customHeight="1">
      <c r="A48" s="410"/>
      <c r="E48" s="450" t="s">
        <v>75</v>
      </c>
      <c r="F48" s="453">
        <f>IF('INSER. DATI'!$C$4="CL_201",24,11)</f>
        <v>11</v>
      </c>
    </row>
    <row r="49" spans="1:35" ht="20.100000000000001" customHeight="1">
      <c r="A49" s="410"/>
      <c r="E49" s="450" t="s">
        <v>76</v>
      </c>
      <c r="F49" s="453">
        <f>IF('INSER. DATI'!$C$4="CL_201",25,12)</f>
        <v>12</v>
      </c>
    </row>
    <row r="50" spans="1:35" ht="20.100000000000001" customHeight="1">
      <c r="A50" s="410"/>
      <c r="E50" s="450" t="s">
        <v>77</v>
      </c>
      <c r="F50" s="453">
        <f>IF('INSER. DATI'!$C$4="CL_201",26,12)</f>
        <v>12</v>
      </c>
    </row>
    <row r="51" spans="1:35" ht="20.100000000000001" customHeight="1">
      <c r="A51" s="410"/>
      <c r="E51" s="450" t="s">
        <v>78</v>
      </c>
      <c r="F51" s="453">
        <f>IF('INSER. DATI'!$C$4="CL_201",27,14)</f>
        <v>14</v>
      </c>
    </row>
    <row r="52" spans="1:35" ht="20.100000000000001" customHeight="1">
      <c r="A52" s="410"/>
      <c r="E52" s="450" t="s">
        <v>79</v>
      </c>
      <c r="F52" s="453">
        <f>IF('INSER. DATI'!$C$4="CL_201",28,15)</f>
        <v>15</v>
      </c>
    </row>
    <row r="53" spans="1:35" ht="20.100000000000001" customHeight="1">
      <c r="A53" s="410"/>
      <c r="E53" s="450" t="s">
        <v>80</v>
      </c>
      <c r="F53" s="453">
        <f>IF('INSER. DATI'!$C$4="CL_201",29,16)</f>
        <v>16</v>
      </c>
    </row>
    <row r="54" spans="1:35" ht="20.100000000000001" customHeight="1" thickBot="1">
      <c r="A54" s="410"/>
      <c r="E54" s="451" t="s">
        <v>141</v>
      </c>
      <c r="F54" s="452"/>
    </row>
    <row r="55" spans="1:35" ht="15" customHeight="1">
      <c r="A55" s="410"/>
    </row>
    <row r="56" spans="1:35" ht="15" customHeight="1">
      <c r="A56" s="410"/>
    </row>
    <row r="57" spans="1:35" ht="15" customHeight="1">
      <c r="A57" s="410"/>
    </row>
    <row r="58" spans="1:35" ht="15" customHeight="1">
      <c r="A58" s="410"/>
    </row>
    <row r="59" spans="1:35" ht="15" customHeight="1">
      <c r="A59" s="410"/>
    </row>
    <row r="60" spans="1:35" ht="15" customHeight="1">
      <c r="A60" s="410"/>
    </row>
    <row r="61" spans="1:35" ht="15" customHeight="1">
      <c r="A61" s="410"/>
    </row>
    <row r="62" spans="1:35" ht="15" customHeight="1">
      <c r="A62" s="410"/>
      <c r="B62" s="753"/>
      <c r="C62" s="754"/>
      <c r="D62" s="754"/>
      <c r="E62" s="754"/>
      <c r="F62" s="754"/>
      <c r="G62" s="755"/>
      <c r="H62" s="755"/>
      <c r="I62" s="754"/>
      <c r="J62" s="754"/>
      <c r="K62" s="754"/>
      <c r="L62" s="755"/>
      <c r="M62" s="754"/>
      <c r="N62" s="754"/>
      <c r="O62" s="754"/>
      <c r="P62" s="755"/>
      <c r="Q62" s="755"/>
      <c r="R62" s="755"/>
      <c r="S62" s="756"/>
      <c r="T62" s="757"/>
      <c r="U62" s="754"/>
      <c r="V62" s="754"/>
      <c r="W62" s="754"/>
      <c r="X62" s="754"/>
      <c r="Y62" s="754"/>
      <c r="Z62" s="754"/>
      <c r="AA62" s="754"/>
      <c r="AB62" s="754"/>
      <c r="AC62" s="754"/>
      <c r="AD62" s="754"/>
      <c r="AE62" s="754"/>
      <c r="AF62" s="754"/>
      <c r="AG62" s="754"/>
      <c r="AH62" s="754"/>
      <c r="AI62" s="754"/>
    </row>
    <row r="63" spans="1:35" ht="15" customHeight="1">
      <c r="A63" s="410"/>
      <c r="B63" s="753"/>
      <c r="C63" s="754"/>
      <c r="D63" s="754"/>
      <c r="E63" s="754"/>
      <c r="F63" s="754"/>
      <c r="G63" s="755"/>
      <c r="H63" s="755"/>
      <c r="I63" s="754"/>
      <c r="J63" s="754"/>
      <c r="K63" s="754"/>
      <c r="L63" s="755"/>
      <c r="M63" s="754"/>
      <c r="N63" s="754"/>
      <c r="O63" s="754"/>
      <c r="P63" s="755"/>
      <c r="Q63" s="755"/>
      <c r="R63" s="755"/>
      <c r="S63" s="756"/>
      <c r="T63" s="757"/>
      <c r="U63" s="754"/>
      <c r="V63" s="754"/>
      <c r="W63" s="754"/>
      <c r="X63" s="754"/>
      <c r="Y63" s="754"/>
      <c r="Z63" s="754"/>
      <c r="AA63" s="754"/>
      <c r="AB63" s="754"/>
      <c r="AC63" s="754"/>
      <c r="AD63" s="754"/>
      <c r="AE63" s="754"/>
      <c r="AF63" s="754"/>
      <c r="AG63" s="754"/>
      <c r="AH63" s="754"/>
      <c r="AI63" s="754"/>
    </row>
    <row r="64" spans="1:35" ht="15" customHeight="1">
      <c r="A64" s="410"/>
      <c r="B64" s="753"/>
      <c r="C64" s="754"/>
      <c r="D64" s="754"/>
      <c r="E64" s="754"/>
      <c r="F64" s="754"/>
      <c r="G64" s="755"/>
      <c r="H64" s="755"/>
      <c r="I64" s="754"/>
      <c r="J64" s="754"/>
      <c r="K64" s="754"/>
      <c r="L64" s="755"/>
      <c r="M64" s="754"/>
      <c r="N64" s="754"/>
      <c r="O64" s="754"/>
      <c r="P64" s="755"/>
      <c r="Q64" s="755"/>
      <c r="R64" s="755"/>
      <c r="S64" s="756"/>
      <c r="T64" s="757"/>
      <c r="U64" s="754"/>
      <c r="V64" s="754"/>
      <c r="W64" s="754"/>
      <c r="X64" s="754"/>
      <c r="Y64" s="754"/>
      <c r="Z64" s="754"/>
      <c r="AA64" s="754"/>
      <c r="AB64" s="754"/>
      <c r="AC64" s="754"/>
      <c r="AD64" s="754"/>
      <c r="AE64" s="754"/>
      <c r="AF64" s="754"/>
      <c r="AG64" s="754"/>
      <c r="AH64" s="754"/>
      <c r="AI64" s="754"/>
    </row>
    <row r="65" spans="1:35" ht="15" customHeight="1">
      <c r="A65" s="410"/>
      <c r="B65" s="753"/>
      <c r="C65" s="754"/>
      <c r="D65" s="754"/>
      <c r="E65" s="754"/>
      <c r="F65" s="754"/>
      <c r="G65" s="755"/>
      <c r="H65" s="755"/>
      <c r="I65" s="754"/>
      <c r="J65" s="754"/>
      <c r="K65" s="754"/>
      <c r="L65" s="755"/>
      <c r="M65" s="754"/>
      <c r="N65" s="754"/>
      <c r="O65" s="754"/>
      <c r="P65" s="755"/>
      <c r="Q65" s="755"/>
      <c r="R65" s="755"/>
      <c r="S65" s="756"/>
      <c r="T65" s="757"/>
      <c r="U65" s="754"/>
      <c r="V65" s="754"/>
      <c r="W65" s="754"/>
      <c r="X65" s="754"/>
      <c r="Y65" s="754"/>
      <c r="Z65" s="754"/>
      <c r="AA65" s="754"/>
      <c r="AB65" s="754"/>
      <c r="AC65" s="754"/>
      <c r="AD65" s="754"/>
      <c r="AE65" s="754"/>
      <c r="AF65" s="754"/>
      <c r="AG65" s="754"/>
      <c r="AH65" s="754"/>
      <c r="AI65" s="754"/>
    </row>
    <row r="66" spans="1:35" ht="15" customHeight="1">
      <c r="A66" s="410"/>
      <c r="B66" s="753"/>
      <c r="C66" s="754"/>
      <c r="D66" s="754"/>
      <c r="E66" s="754"/>
      <c r="F66" s="754"/>
      <c r="G66" s="755"/>
      <c r="H66" s="755"/>
      <c r="I66" s="754"/>
      <c r="J66" s="754"/>
      <c r="K66" s="754"/>
      <c r="L66" s="755"/>
      <c r="M66" s="754"/>
      <c r="N66" s="754"/>
      <c r="O66" s="754"/>
      <c r="P66" s="755"/>
      <c r="Q66" s="755"/>
      <c r="R66" s="755"/>
      <c r="S66" s="756"/>
      <c r="T66" s="757"/>
      <c r="U66" s="754"/>
      <c r="V66" s="754"/>
      <c r="W66" s="754"/>
      <c r="X66" s="754"/>
      <c r="Y66" s="754"/>
      <c r="Z66" s="754"/>
      <c r="AA66" s="754"/>
      <c r="AB66" s="754"/>
      <c r="AC66" s="754"/>
      <c r="AD66" s="754"/>
      <c r="AE66" s="754"/>
      <c r="AF66" s="754"/>
      <c r="AG66" s="754"/>
      <c r="AH66" s="754"/>
      <c r="AI66" s="754"/>
    </row>
    <row r="67" spans="1:35" ht="15" customHeight="1">
      <c r="A67" s="410"/>
      <c r="B67" s="753"/>
      <c r="C67" s="754"/>
      <c r="D67" s="754"/>
      <c r="E67" s="754"/>
      <c r="F67" s="754"/>
      <c r="G67" s="755"/>
      <c r="H67" s="755"/>
      <c r="I67" s="754"/>
      <c r="J67" s="754"/>
      <c r="K67" s="754"/>
      <c r="L67" s="755"/>
      <c r="M67" s="754"/>
      <c r="N67" s="754"/>
      <c r="O67" s="754"/>
      <c r="P67" s="755"/>
      <c r="Q67" s="755"/>
      <c r="R67" s="755"/>
      <c r="S67" s="756"/>
      <c r="T67" s="757"/>
      <c r="U67" s="754"/>
      <c r="V67" s="754"/>
      <c r="W67" s="754"/>
      <c r="X67" s="754"/>
      <c r="Y67" s="754"/>
      <c r="Z67" s="754"/>
      <c r="AA67" s="754"/>
      <c r="AB67" s="754"/>
      <c r="AC67" s="754"/>
      <c r="AD67" s="754"/>
      <c r="AE67" s="754"/>
      <c r="AF67" s="754"/>
      <c r="AG67" s="754"/>
      <c r="AH67" s="754"/>
      <c r="AI67" s="754"/>
    </row>
    <row r="68" spans="1:35" ht="15" customHeight="1">
      <c r="A68" s="410"/>
      <c r="B68" s="753"/>
      <c r="C68" s="754"/>
      <c r="D68" s="754"/>
      <c r="E68" s="754"/>
      <c r="F68" s="754"/>
      <c r="G68" s="755"/>
      <c r="H68" s="755"/>
      <c r="I68" s="754"/>
      <c r="J68" s="754"/>
      <c r="K68" s="754"/>
      <c r="L68" s="755"/>
      <c r="M68" s="754"/>
      <c r="N68" s="754"/>
      <c r="O68" s="754"/>
      <c r="P68" s="755"/>
      <c r="Q68" s="755"/>
      <c r="R68" s="755"/>
      <c r="S68" s="756"/>
      <c r="T68" s="757"/>
      <c r="U68" s="754"/>
      <c r="V68" s="754"/>
      <c r="W68" s="754"/>
      <c r="X68" s="754"/>
      <c r="Y68" s="754"/>
      <c r="Z68" s="754"/>
      <c r="AA68" s="754"/>
      <c r="AB68" s="754"/>
      <c r="AC68" s="754"/>
      <c r="AD68" s="754"/>
      <c r="AE68" s="754"/>
      <c r="AF68" s="754"/>
      <c r="AG68" s="754"/>
      <c r="AH68" s="754"/>
      <c r="AI68" s="754"/>
    </row>
    <row r="69" spans="1:35" ht="15" customHeight="1">
      <c r="A69" s="410"/>
      <c r="B69" s="753"/>
      <c r="C69" s="754"/>
      <c r="D69" s="754"/>
      <c r="E69" s="754"/>
      <c r="F69" s="754"/>
      <c r="G69" s="755"/>
      <c r="H69" s="755"/>
      <c r="I69" s="754"/>
      <c r="J69" s="754"/>
      <c r="K69" s="754"/>
      <c r="L69" s="755"/>
      <c r="M69" s="754"/>
      <c r="N69" s="754"/>
      <c r="O69" s="754"/>
      <c r="P69" s="755"/>
      <c r="Q69" s="755"/>
      <c r="R69" s="755"/>
      <c r="S69" s="756"/>
      <c r="T69" s="757"/>
      <c r="U69" s="754"/>
      <c r="V69" s="754"/>
      <c r="W69" s="754"/>
      <c r="X69" s="754"/>
      <c r="Y69" s="754"/>
      <c r="Z69" s="754"/>
      <c r="AA69" s="754"/>
      <c r="AB69" s="754"/>
      <c r="AC69" s="754"/>
      <c r="AD69" s="754"/>
      <c r="AE69" s="754"/>
      <c r="AF69" s="754"/>
      <c r="AG69" s="754"/>
      <c r="AH69" s="754"/>
      <c r="AI69" s="754"/>
    </row>
    <row r="70" spans="1:35" ht="15" customHeight="1">
      <c r="A70" s="410"/>
      <c r="B70" s="753"/>
      <c r="C70" s="754"/>
      <c r="D70" s="754"/>
      <c r="E70" s="754"/>
      <c r="F70" s="754"/>
      <c r="G70" s="755"/>
      <c r="H70" s="755"/>
      <c r="I70" s="754"/>
      <c r="J70" s="754"/>
      <c r="K70" s="754"/>
      <c r="L70" s="755"/>
      <c r="M70" s="754"/>
      <c r="N70" s="754"/>
      <c r="O70" s="754"/>
      <c r="P70" s="755"/>
      <c r="Q70" s="755"/>
      <c r="R70" s="755"/>
      <c r="S70" s="756"/>
      <c r="T70" s="757"/>
      <c r="U70" s="754"/>
      <c r="V70" s="754"/>
      <c r="W70" s="754"/>
      <c r="X70" s="754"/>
      <c r="Y70" s="754"/>
      <c r="Z70" s="754"/>
      <c r="AA70" s="754"/>
      <c r="AB70" s="754"/>
      <c r="AC70" s="754"/>
      <c r="AD70" s="754"/>
      <c r="AE70" s="754"/>
      <c r="AF70" s="754"/>
      <c r="AG70" s="754"/>
      <c r="AH70" s="754"/>
      <c r="AI70" s="754"/>
    </row>
    <row r="71" spans="1:35" ht="15" customHeight="1">
      <c r="A71" s="410"/>
      <c r="B71" s="753"/>
      <c r="C71" s="754"/>
      <c r="D71" s="754"/>
      <c r="E71" s="754"/>
      <c r="F71" s="754"/>
      <c r="G71" s="755"/>
      <c r="H71" s="755"/>
      <c r="I71" s="754"/>
      <c r="J71" s="754"/>
      <c r="K71" s="754"/>
      <c r="L71" s="755"/>
      <c r="M71" s="754"/>
      <c r="N71" s="754"/>
      <c r="O71" s="754"/>
      <c r="P71" s="755"/>
      <c r="Q71" s="755"/>
      <c r="R71" s="755"/>
      <c r="S71" s="756"/>
      <c r="T71" s="757"/>
      <c r="U71" s="754"/>
      <c r="V71" s="754"/>
      <c r="W71" s="754"/>
      <c r="X71" s="754"/>
      <c r="Y71" s="754"/>
      <c r="Z71" s="754"/>
      <c r="AA71" s="754"/>
      <c r="AB71" s="754"/>
      <c r="AC71" s="754"/>
      <c r="AD71" s="754"/>
      <c r="AE71" s="754"/>
      <c r="AF71" s="754"/>
      <c r="AG71" s="754"/>
      <c r="AH71" s="754"/>
      <c r="AI71" s="754"/>
    </row>
    <row r="72" spans="1:35" ht="15" customHeight="1">
      <c r="A72" s="410"/>
      <c r="B72" s="753"/>
      <c r="C72" s="754"/>
      <c r="D72" s="754"/>
      <c r="E72" s="754"/>
      <c r="F72" s="754"/>
      <c r="G72" s="755"/>
      <c r="H72" s="755"/>
      <c r="I72" s="754"/>
      <c r="J72" s="754"/>
      <c r="K72" s="754"/>
      <c r="L72" s="755"/>
      <c r="M72" s="754"/>
      <c r="N72" s="754"/>
      <c r="O72" s="754"/>
      <c r="P72" s="755"/>
      <c r="Q72" s="755"/>
      <c r="R72" s="755"/>
      <c r="S72" s="756"/>
      <c r="T72" s="757"/>
      <c r="U72" s="754"/>
      <c r="V72" s="754"/>
      <c r="W72" s="754"/>
      <c r="X72" s="754"/>
      <c r="Y72" s="754"/>
      <c r="Z72" s="754"/>
      <c r="AA72" s="754"/>
      <c r="AB72" s="754"/>
      <c r="AC72" s="754"/>
      <c r="AD72" s="754"/>
      <c r="AE72" s="754"/>
      <c r="AF72" s="754"/>
      <c r="AG72" s="754"/>
      <c r="AH72" s="754"/>
      <c r="AI72" s="754"/>
    </row>
    <row r="73" spans="1:35" ht="15" customHeight="1">
      <c r="A73" s="410"/>
      <c r="B73" s="753"/>
      <c r="C73" s="754"/>
      <c r="D73" s="754"/>
      <c r="E73" s="754"/>
      <c r="F73" s="754"/>
      <c r="G73" s="755"/>
      <c r="H73" s="755"/>
      <c r="I73" s="754"/>
      <c r="J73" s="754"/>
      <c r="K73" s="754"/>
      <c r="L73" s="755"/>
      <c r="M73" s="754"/>
      <c r="N73" s="754"/>
      <c r="O73" s="754"/>
      <c r="P73" s="755"/>
      <c r="Q73" s="755"/>
      <c r="R73" s="755"/>
      <c r="S73" s="756"/>
      <c r="T73" s="757"/>
      <c r="U73" s="754"/>
      <c r="V73" s="754"/>
      <c r="W73" s="754"/>
      <c r="X73" s="754"/>
      <c r="Y73" s="754"/>
      <c r="Z73" s="754"/>
      <c r="AA73" s="754"/>
      <c r="AB73" s="754"/>
      <c r="AC73" s="754"/>
      <c r="AD73" s="754"/>
      <c r="AE73" s="754"/>
      <c r="AF73" s="754"/>
      <c r="AG73" s="754"/>
      <c r="AH73" s="754"/>
      <c r="AI73" s="754"/>
    </row>
    <row r="74" spans="1:35" ht="15" customHeight="1">
      <c r="A74" s="410"/>
      <c r="B74" s="753"/>
      <c r="C74" s="754"/>
      <c r="D74" s="754"/>
      <c r="E74" s="754"/>
      <c r="F74" s="754"/>
      <c r="G74" s="755"/>
      <c r="H74" s="755"/>
      <c r="I74" s="754"/>
      <c r="J74" s="754"/>
      <c r="K74" s="754"/>
      <c r="L74" s="755"/>
      <c r="M74" s="754"/>
      <c r="N74" s="754"/>
      <c r="O74" s="754"/>
      <c r="P74" s="755"/>
      <c r="Q74" s="755"/>
      <c r="R74" s="755"/>
      <c r="S74" s="756"/>
      <c r="T74" s="757"/>
      <c r="U74" s="754"/>
      <c r="V74" s="754"/>
      <c r="W74" s="754"/>
      <c r="X74" s="754"/>
      <c r="Y74" s="754"/>
      <c r="Z74" s="754"/>
      <c r="AA74" s="754"/>
      <c r="AB74" s="754"/>
      <c r="AC74" s="754"/>
      <c r="AD74" s="754"/>
      <c r="AE74" s="754"/>
      <c r="AF74" s="754"/>
      <c r="AG74" s="754"/>
      <c r="AH74" s="754"/>
      <c r="AI74" s="754"/>
    </row>
    <row r="75" spans="1:35" ht="15" customHeight="1">
      <c r="A75" s="410"/>
      <c r="B75" s="753"/>
      <c r="C75" s="754"/>
      <c r="D75" s="754"/>
      <c r="E75" s="754"/>
      <c r="F75" s="754"/>
      <c r="G75" s="755"/>
      <c r="H75" s="755"/>
      <c r="I75" s="754"/>
      <c r="J75" s="754"/>
      <c r="K75" s="754"/>
      <c r="L75" s="755"/>
      <c r="M75" s="754"/>
      <c r="N75" s="754"/>
      <c r="O75" s="754"/>
      <c r="P75" s="755"/>
      <c r="Q75" s="755"/>
      <c r="R75" s="755"/>
      <c r="S75" s="756"/>
      <c r="T75" s="757"/>
      <c r="U75" s="754"/>
      <c r="V75" s="754"/>
      <c r="W75" s="754"/>
      <c r="X75" s="754"/>
      <c r="Y75" s="754"/>
      <c r="Z75" s="754"/>
      <c r="AA75" s="754"/>
      <c r="AB75" s="754"/>
      <c r="AC75" s="754"/>
      <c r="AD75" s="754"/>
      <c r="AE75" s="754"/>
      <c r="AF75" s="754"/>
      <c r="AG75" s="754"/>
      <c r="AH75" s="754"/>
      <c r="AI75" s="754"/>
    </row>
    <row r="76" spans="1:35" ht="15" customHeight="1">
      <c r="A76" s="410"/>
      <c r="B76" s="753"/>
      <c r="C76" s="754"/>
      <c r="D76" s="754"/>
      <c r="E76" s="754"/>
      <c r="F76" s="754"/>
      <c r="G76" s="755"/>
      <c r="H76" s="755"/>
      <c r="I76" s="754"/>
      <c r="J76" s="754"/>
      <c r="K76" s="754"/>
      <c r="L76" s="755"/>
      <c r="M76" s="754"/>
      <c r="N76" s="754"/>
      <c r="O76" s="754"/>
      <c r="P76" s="755"/>
      <c r="Q76" s="755"/>
      <c r="R76" s="755"/>
      <c r="S76" s="756"/>
      <c r="T76" s="757"/>
      <c r="U76" s="754"/>
      <c r="V76" s="754"/>
      <c r="W76" s="754"/>
      <c r="X76" s="754"/>
      <c r="Y76" s="754"/>
      <c r="Z76" s="754"/>
      <c r="AA76" s="754"/>
      <c r="AB76" s="754"/>
      <c r="AC76" s="754"/>
      <c r="AD76" s="754"/>
      <c r="AE76" s="754"/>
      <c r="AF76" s="754"/>
      <c r="AG76" s="754"/>
      <c r="AH76" s="754"/>
      <c r="AI76" s="754"/>
    </row>
    <row r="77" spans="1:35" ht="15" customHeight="1">
      <c r="A77" s="410"/>
      <c r="B77" s="753"/>
      <c r="C77" s="754"/>
      <c r="D77" s="754"/>
      <c r="E77" s="754"/>
      <c r="F77" s="754"/>
      <c r="G77" s="755"/>
      <c r="H77" s="755"/>
      <c r="I77" s="754"/>
      <c r="J77" s="754"/>
      <c r="K77" s="754"/>
      <c r="L77" s="755"/>
      <c r="M77" s="754"/>
      <c r="N77" s="754"/>
      <c r="O77" s="754"/>
      <c r="P77" s="755"/>
      <c r="Q77" s="755"/>
      <c r="R77" s="755"/>
      <c r="S77" s="756"/>
      <c r="T77" s="757"/>
      <c r="U77" s="754"/>
      <c r="V77" s="754"/>
      <c r="W77" s="754"/>
      <c r="X77" s="754"/>
      <c r="Y77" s="754"/>
      <c r="Z77" s="754"/>
      <c r="AA77" s="754"/>
      <c r="AB77" s="754"/>
      <c r="AC77" s="754"/>
      <c r="AD77" s="754"/>
      <c r="AE77" s="754"/>
      <c r="AF77" s="754"/>
      <c r="AG77" s="754"/>
      <c r="AH77" s="754"/>
      <c r="AI77" s="754"/>
    </row>
    <row r="78" spans="1:35" ht="15" customHeight="1">
      <c r="A78" s="410"/>
      <c r="B78" s="753"/>
      <c r="C78" s="754"/>
      <c r="D78" s="754"/>
      <c r="E78" s="754"/>
      <c r="F78" s="754"/>
      <c r="G78" s="755"/>
      <c r="H78" s="755"/>
      <c r="I78" s="754"/>
      <c r="J78" s="754"/>
      <c r="K78" s="754"/>
      <c r="L78" s="755"/>
      <c r="M78" s="754"/>
      <c r="N78" s="754"/>
      <c r="O78" s="754"/>
      <c r="P78" s="755"/>
      <c r="Q78" s="755"/>
      <c r="R78" s="755"/>
      <c r="S78" s="756"/>
      <c r="T78" s="757"/>
      <c r="U78" s="754"/>
      <c r="V78" s="754"/>
      <c r="W78" s="754"/>
      <c r="X78" s="754"/>
      <c r="Y78" s="754"/>
      <c r="Z78" s="754"/>
      <c r="AA78" s="754"/>
      <c r="AB78" s="754"/>
      <c r="AC78" s="754"/>
      <c r="AD78" s="754"/>
      <c r="AE78" s="754"/>
      <c r="AF78" s="754"/>
      <c r="AG78" s="754"/>
      <c r="AH78" s="754"/>
      <c r="AI78" s="754"/>
    </row>
    <row r="79" spans="1:35" ht="15" customHeight="1">
      <c r="A79" s="410"/>
      <c r="B79" s="753"/>
      <c r="C79" s="754"/>
      <c r="D79" s="754"/>
      <c r="E79" s="754"/>
      <c r="F79" s="754"/>
      <c r="G79" s="755"/>
      <c r="H79" s="755"/>
      <c r="I79" s="754"/>
      <c r="J79" s="754"/>
      <c r="K79" s="754"/>
      <c r="L79" s="755"/>
      <c r="M79" s="754"/>
      <c r="N79" s="754"/>
      <c r="O79" s="754"/>
      <c r="P79" s="755"/>
      <c r="Q79" s="755"/>
      <c r="R79" s="755"/>
      <c r="S79" s="756"/>
      <c r="T79" s="757"/>
      <c r="U79" s="754"/>
      <c r="V79" s="754"/>
      <c r="W79" s="754"/>
      <c r="X79" s="754"/>
      <c r="Y79" s="754"/>
      <c r="Z79" s="754"/>
      <c r="AA79" s="754"/>
      <c r="AB79" s="754"/>
      <c r="AC79" s="754"/>
      <c r="AD79" s="754"/>
      <c r="AE79" s="754"/>
      <c r="AF79" s="754"/>
      <c r="AG79" s="754"/>
      <c r="AH79" s="754"/>
      <c r="AI79" s="754"/>
    </row>
    <row r="80" spans="1:35" ht="15" customHeight="1">
      <c r="A80" s="410"/>
      <c r="B80" s="753"/>
      <c r="C80" s="754"/>
      <c r="D80" s="754"/>
      <c r="E80" s="754"/>
      <c r="F80" s="754"/>
      <c r="G80" s="755"/>
      <c r="H80" s="755"/>
      <c r="I80" s="754"/>
      <c r="J80" s="754"/>
      <c r="K80" s="754"/>
      <c r="L80" s="755"/>
      <c r="M80" s="754"/>
      <c r="N80" s="754"/>
      <c r="O80" s="754"/>
      <c r="P80" s="755"/>
      <c r="Q80" s="755"/>
      <c r="R80" s="755"/>
      <c r="S80" s="756"/>
      <c r="T80" s="757"/>
      <c r="U80" s="754"/>
      <c r="V80" s="754"/>
      <c r="W80" s="754"/>
      <c r="X80" s="754"/>
      <c r="Y80" s="754"/>
      <c r="Z80" s="754"/>
      <c r="AA80" s="754"/>
      <c r="AB80" s="754"/>
      <c r="AC80" s="754"/>
      <c r="AD80" s="754"/>
      <c r="AE80" s="754"/>
      <c r="AF80" s="754"/>
      <c r="AG80" s="754"/>
      <c r="AH80" s="754"/>
      <c r="AI80" s="754"/>
    </row>
    <row r="81" spans="1:35" ht="15" customHeight="1">
      <c r="A81" s="410"/>
      <c r="B81" s="753"/>
      <c r="C81" s="754"/>
      <c r="D81" s="754"/>
      <c r="E81" s="754"/>
      <c r="F81" s="754"/>
      <c r="G81" s="755"/>
      <c r="H81" s="755"/>
      <c r="I81" s="754"/>
      <c r="J81" s="754"/>
      <c r="K81" s="754"/>
      <c r="L81" s="755"/>
      <c r="M81" s="754"/>
      <c r="N81" s="754"/>
      <c r="O81" s="754"/>
      <c r="P81" s="755"/>
      <c r="Q81" s="755"/>
      <c r="R81" s="755"/>
      <c r="S81" s="756"/>
      <c r="T81" s="757"/>
      <c r="U81" s="754"/>
      <c r="V81" s="754"/>
      <c r="W81" s="754"/>
      <c r="X81" s="754"/>
      <c r="Y81" s="754"/>
      <c r="Z81" s="754"/>
      <c r="AA81" s="754"/>
      <c r="AB81" s="754"/>
      <c r="AC81" s="754"/>
      <c r="AD81" s="754"/>
      <c r="AE81" s="754"/>
      <c r="AF81" s="754"/>
      <c r="AG81" s="754"/>
      <c r="AH81" s="754"/>
      <c r="AI81" s="754"/>
    </row>
    <row r="82" spans="1:35" ht="15" customHeight="1">
      <c r="A82" s="410"/>
      <c r="B82" s="753"/>
      <c r="C82" s="754"/>
      <c r="D82" s="754"/>
      <c r="E82" s="754"/>
      <c r="F82" s="754"/>
      <c r="G82" s="755"/>
      <c r="H82" s="755"/>
      <c r="I82" s="754"/>
      <c r="J82" s="754"/>
      <c r="K82" s="754"/>
      <c r="L82" s="755"/>
      <c r="M82" s="754"/>
      <c r="N82" s="754"/>
      <c r="O82" s="754"/>
      <c r="P82" s="755"/>
      <c r="Q82" s="755"/>
      <c r="R82" s="755"/>
      <c r="S82" s="756"/>
      <c r="T82" s="757"/>
      <c r="U82" s="754"/>
      <c r="V82" s="754"/>
      <c r="W82" s="754"/>
      <c r="X82" s="754"/>
      <c r="Y82" s="754"/>
      <c r="Z82" s="754"/>
      <c r="AA82" s="754"/>
      <c r="AB82" s="754"/>
      <c r="AC82" s="754"/>
      <c r="AD82" s="754"/>
      <c r="AE82" s="754"/>
      <c r="AF82" s="754"/>
      <c r="AG82" s="754"/>
      <c r="AH82" s="754"/>
      <c r="AI82" s="754"/>
    </row>
    <row r="83" spans="1:35" ht="15" customHeight="1">
      <c r="A83" s="410"/>
      <c r="B83" s="753"/>
      <c r="C83" s="754"/>
      <c r="D83" s="754"/>
      <c r="E83" s="754"/>
      <c r="F83" s="754"/>
      <c r="G83" s="755"/>
      <c r="H83" s="755"/>
      <c r="I83" s="754"/>
      <c r="J83" s="754"/>
      <c r="K83" s="754"/>
      <c r="L83" s="755"/>
      <c r="M83" s="754"/>
      <c r="N83" s="754"/>
      <c r="O83" s="754"/>
      <c r="P83" s="755"/>
      <c r="Q83" s="755"/>
      <c r="R83" s="755"/>
      <c r="S83" s="756"/>
      <c r="T83" s="757"/>
      <c r="U83" s="754"/>
      <c r="V83" s="754"/>
      <c r="W83" s="754"/>
      <c r="X83" s="754"/>
      <c r="Y83" s="754"/>
      <c r="Z83" s="754"/>
      <c r="AA83" s="754"/>
      <c r="AB83" s="754"/>
      <c r="AC83" s="754"/>
      <c r="AD83" s="754"/>
      <c r="AE83" s="754"/>
      <c r="AF83" s="754"/>
      <c r="AG83" s="754"/>
      <c r="AH83" s="754"/>
      <c r="AI83" s="754"/>
    </row>
    <row r="84" spans="1:35" ht="15" customHeight="1">
      <c r="A84" s="410"/>
      <c r="B84" s="753"/>
      <c r="C84" s="754"/>
      <c r="D84" s="754"/>
      <c r="E84" s="754"/>
      <c r="F84" s="754"/>
      <c r="G84" s="755"/>
      <c r="H84" s="755"/>
      <c r="I84" s="754"/>
      <c r="J84" s="754"/>
      <c r="K84" s="754"/>
      <c r="L84" s="755"/>
      <c r="M84" s="754"/>
      <c r="N84" s="754"/>
      <c r="O84" s="754"/>
      <c r="P84" s="755"/>
      <c r="Q84" s="755"/>
      <c r="R84" s="755"/>
      <c r="S84" s="756"/>
      <c r="T84" s="757"/>
      <c r="U84" s="754"/>
      <c r="V84" s="754"/>
      <c r="W84" s="754"/>
      <c r="X84" s="754"/>
      <c r="Y84" s="754"/>
      <c r="Z84" s="754"/>
      <c r="AA84" s="754"/>
      <c r="AB84" s="754"/>
      <c r="AC84" s="754"/>
      <c r="AD84" s="754"/>
      <c r="AE84" s="754"/>
      <c r="AF84" s="754"/>
      <c r="AG84" s="754"/>
      <c r="AH84" s="754"/>
      <c r="AI84" s="754"/>
    </row>
    <row r="85" spans="1:35" ht="15" customHeight="1">
      <c r="A85" s="410"/>
      <c r="B85" s="753"/>
      <c r="C85" s="754"/>
      <c r="D85" s="754"/>
      <c r="E85" s="754"/>
      <c r="F85" s="754"/>
      <c r="G85" s="755"/>
      <c r="H85" s="755"/>
      <c r="I85" s="754"/>
      <c r="J85" s="754"/>
      <c r="K85" s="754"/>
      <c r="L85" s="755"/>
      <c r="M85" s="754"/>
      <c r="N85" s="754"/>
      <c r="O85" s="754"/>
      <c r="P85" s="755"/>
      <c r="Q85" s="755"/>
      <c r="R85" s="755"/>
      <c r="S85" s="756"/>
      <c r="T85" s="757"/>
      <c r="U85" s="754"/>
      <c r="V85" s="754"/>
      <c r="W85" s="754"/>
      <c r="X85" s="754"/>
      <c r="Y85" s="754"/>
      <c r="Z85" s="754"/>
      <c r="AA85" s="754"/>
      <c r="AB85" s="754"/>
      <c r="AC85" s="754"/>
      <c r="AD85" s="754"/>
      <c r="AE85" s="754"/>
      <c r="AF85" s="754"/>
      <c r="AG85" s="754"/>
      <c r="AH85" s="754"/>
      <c r="AI85" s="754"/>
    </row>
    <row r="86" spans="1:35" ht="15" customHeight="1">
      <c r="A86" s="410"/>
      <c r="B86" s="753"/>
      <c r="C86" s="754"/>
      <c r="D86" s="754"/>
      <c r="E86" s="754"/>
      <c r="F86" s="754"/>
      <c r="G86" s="755"/>
      <c r="H86" s="755"/>
      <c r="I86" s="754"/>
      <c r="J86" s="754"/>
      <c r="K86" s="754"/>
      <c r="L86" s="755"/>
      <c r="M86" s="754"/>
      <c r="N86" s="754"/>
      <c r="O86" s="754"/>
      <c r="P86" s="755"/>
      <c r="Q86" s="755"/>
      <c r="R86" s="755"/>
      <c r="S86" s="756"/>
      <c r="T86" s="757"/>
      <c r="U86" s="754"/>
      <c r="V86" s="754"/>
      <c r="W86" s="754"/>
      <c r="X86" s="754"/>
      <c r="Y86" s="754"/>
      <c r="Z86" s="754"/>
      <c r="AA86" s="754"/>
      <c r="AB86" s="754"/>
      <c r="AC86" s="754"/>
      <c r="AD86" s="754"/>
      <c r="AE86" s="754"/>
      <c r="AF86" s="754"/>
      <c r="AG86" s="754"/>
      <c r="AH86" s="754"/>
      <c r="AI86" s="754"/>
    </row>
    <row r="87" spans="1:35" ht="15" customHeight="1">
      <c r="A87" s="410"/>
      <c r="B87" s="753"/>
      <c r="C87" s="754"/>
      <c r="D87" s="754"/>
      <c r="E87" s="754"/>
      <c r="F87" s="754"/>
      <c r="G87" s="755"/>
      <c r="H87" s="755"/>
      <c r="I87" s="754"/>
      <c r="J87" s="754"/>
      <c r="K87" s="754"/>
      <c r="L87" s="755"/>
      <c r="M87" s="754"/>
      <c r="N87" s="754"/>
      <c r="O87" s="754"/>
      <c r="P87" s="755"/>
      <c r="Q87" s="755"/>
      <c r="R87" s="755"/>
      <c r="S87" s="756"/>
      <c r="T87" s="757"/>
      <c r="U87" s="754"/>
      <c r="V87" s="754"/>
      <c r="W87" s="754"/>
      <c r="X87" s="754"/>
      <c r="Y87" s="754"/>
      <c r="Z87" s="754"/>
      <c r="AA87" s="754"/>
      <c r="AB87" s="754"/>
      <c r="AC87" s="754"/>
      <c r="AD87" s="754"/>
      <c r="AE87" s="754"/>
      <c r="AF87" s="754"/>
      <c r="AG87" s="754"/>
      <c r="AH87" s="754"/>
      <c r="AI87" s="754"/>
    </row>
    <row r="88" spans="1:35" ht="15" customHeight="1">
      <c r="A88" s="410"/>
      <c r="B88" s="753"/>
      <c r="C88" s="754"/>
      <c r="D88" s="754"/>
      <c r="E88" s="754"/>
      <c r="F88" s="754"/>
      <c r="G88" s="755"/>
      <c r="H88" s="755"/>
      <c r="I88" s="754"/>
      <c r="J88" s="754"/>
      <c r="K88" s="754"/>
      <c r="L88" s="755"/>
      <c r="M88" s="754"/>
      <c r="N88" s="754"/>
      <c r="O88" s="754"/>
      <c r="P88" s="755"/>
      <c r="Q88" s="755"/>
      <c r="R88" s="755"/>
      <c r="S88" s="756"/>
      <c r="T88" s="757"/>
      <c r="U88" s="754"/>
      <c r="V88" s="754"/>
      <c r="W88" s="754"/>
      <c r="X88" s="754"/>
      <c r="Y88" s="754"/>
      <c r="Z88" s="754"/>
      <c r="AA88" s="754"/>
      <c r="AB88" s="754"/>
      <c r="AC88" s="754"/>
      <c r="AD88" s="754"/>
      <c r="AE88" s="754"/>
      <c r="AF88" s="754"/>
      <c r="AG88" s="754"/>
      <c r="AH88" s="754"/>
      <c r="AI88" s="754"/>
    </row>
    <row r="89" spans="1:35" ht="15" customHeight="1">
      <c r="A89" s="410"/>
      <c r="B89" s="753"/>
      <c r="C89" s="754"/>
      <c r="D89" s="754"/>
      <c r="E89" s="754"/>
      <c r="F89" s="754"/>
      <c r="G89" s="755"/>
      <c r="H89" s="755"/>
      <c r="I89" s="754"/>
      <c r="J89" s="754"/>
      <c r="K89" s="754"/>
      <c r="L89" s="755"/>
      <c r="M89" s="754"/>
      <c r="N89" s="754"/>
      <c r="O89" s="754"/>
      <c r="P89" s="755"/>
      <c r="Q89" s="755"/>
      <c r="R89" s="755"/>
      <c r="S89" s="756"/>
      <c r="T89" s="757"/>
      <c r="U89" s="754"/>
      <c r="V89" s="754"/>
      <c r="W89" s="754"/>
      <c r="X89" s="754"/>
      <c r="Y89" s="754"/>
      <c r="Z89" s="754"/>
      <c r="AA89" s="754"/>
      <c r="AB89" s="754"/>
      <c r="AC89" s="754"/>
      <c r="AD89" s="754"/>
      <c r="AE89" s="754"/>
      <c r="AF89" s="754"/>
      <c r="AG89" s="754"/>
      <c r="AH89" s="754"/>
      <c r="AI89" s="754"/>
    </row>
    <row r="90" spans="1:35" ht="15" customHeight="1">
      <c r="A90" s="410"/>
      <c r="B90" s="753"/>
      <c r="C90" s="754"/>
      <c r="D90" s="754"/>
      <c r="E90" s="754"/>
      <c r="F90" s="754"/>
      <c r="G90" s="755"/>
      <c r="H90" s="755"/>
      <c r="I90" s="754"/>
      <c r="J90" s="754"/>
      <c r="K90" s="754"/>
      <c r="L90" s="755"/>
      <c r="M90" s="754"/>
      <c r="N90" s="754"/>
      <c r="O90" s="754"/>
      <c r="P90" s="755"/>
      <c r="Q90" s="755"/>
      <c r="R90" s="755"/>
      <c r="S90" s="756"/>
      <c r="T90" s="757"/>
      <c r="U90" s="754"/>
      <c r="V90" s="754"/>
      <c r="W90" s="754"/>
      <c r="X90" s="754"/>
      <c r="Y90" s="754"/>
      <c r="Z90" s="754"/>
      <c r="AA90" s="754"/>
      <c r="AB90" s="754"/>
      <c r="AC90" s="754"/>
      <c r="AD90" s="754"/>
      <c r="AE90" s="754"/>
      <c r="AF90" s="754"/>
      <c r="AG90" s="754"/>
      <c r="AH90" s="754"/>
      <c r="AI90" s="754"/>
    </row>
    <row r="91" spans="1:35" ht="15" customHeight="1">
      <c r="A91" s="410"/>
      <c r="B91" s="753"/>
      <c r="C91" s="754"/>
      <c r="D91" s="754"/>
      <c r="E91" s="754"/>
      <c r="F91" s="754"/>
      <c r="G91" s="755"/>
      <c r="H91" s="755"/>
      <c r="I91" s="754"/>
      <c r="J91" s="754"/>
      <c r="K91" s="754"/>
      <c r="L91" s="755"/>
      <c r="M91" s="754"/>
      <c r="N91" s="754"/>
      <c r="O91" s="754"/>
      <c r="P91" s="755"/>
      <c r="Q91" s="755"/>
      <c r="R91" s="755"/>
      <c r="S91" s="756"/>
      <c r="T91" s="757"/>
      <c r="U91" s="754"/>
      <c r="V91" s="754"/>
      <c r="W91" s="754"/>
      <c r="X91" s="754"/>
      <c r="Y91" s="754"/>
      <c r="Z91" s="754"/>
      <c r="AA91" s="754"/>
      <c r="AB91" s="754"/>
      <c r="AC91" s="754"/>
      <c r="AD91" s="754"/>
      <c r="AE91" s="754"/>
      <c r="AF91" s="754"/>
      <c r="AG91" s="754"/>
      <c r="AH91" s="754"/>
      <c r="AI91" s="754"/>
    </row>
    <row r="92" spans="1:35" ht="15" customHeight="1">
      <c r="A92" s="410"/>
      <c r="B92" s="753"/>
      <c r="C92" s="754"/>
      <c r="D92" s="754"/>
      <c r="E92" s="754"/>
      <c r="F92" s="754"/>
      <c r="G92" s="755"/>
      <c r="H92" s="755"/>
      <c r="I92" s="754"/>
      <c r="J92" s="754"/>
      <c r="K92" s="754"/>
      <c r="L92" s="755"/>
      <c r="M92" s="754"/>
      <c r="N92" s="754"/>
      <c r="O92" s="754"/>
      <c r="P92" s="755"/>
      <c r="Q92" s="755"/>
      <c r="R92" s="755"/>
      <c r="S92" s="756"/>
      <c r="T92" s="757"/>
      <c r="U92" s="754"/>
      <c r="V92" s="754"/>
      <c r="W92" s="754"/>
      <c r="X92" s="754"/>
      <c r="Y92" s="754"/>
      <c r="Z92" s="754"/>
      <c r="AA92" s="754"/>
      <c r="AB92" s="754"/>
      <c r="AC92" s="754"/>
      <c r="AD92" s="754"/>
      <c r="AE92" s="754"/>
      <c r="AF92" s="754"/>
      <c r="AG92" s="754"/>
      <c r="AH92" s="754"/>
      <c r="AI92" s="754"/>
    </row>
    <row r="93" spans="1:35" ht="15" customHeight="1">
      <c r="A93" s="410"/>
      <c r="B93" s="753"/>
      <c r="C93" s="754"/>
      <c r="D93" s="754"/>
      <c r="E93" s="754"/>
      <c r="F93" s="754"/>
      <c r="G93" s="755"/>
      <c r="H93" s="755"/>
      <c r="I93" s="754"/>
      <c r="J93" s="754"/>
      <c r="K93" s="754"/>
      <c r="L93" s="755"/>
      <c r="M93" s="754"/>
      <c r="N93" s="754"/>
      <c r="O93" s="754"/>
      <c r="P93" s="755"/>
      <c r="Q93" s="755"/>
      <c r="R93" s="755"/>
      <c r="S93" s="756"/>
      <c r="T93" s="757"/>
      <c r="U93" s="754"/>
      <c r="V93" s="754"/>
      <c r="W93" s="754"/>
      <c r="X93" s="754"/>
      <c r="Y93" s="754"/>
      <c r="Z93" s="754"/>
      <c r="AA93" s="754"/>
      <c r="AB93" s="754"/>
      <c r="AC93" s="754"/>
      <c r="AD93" s="754"/>
      <c r="AE93" s="754"/>
      <c r="AF93" s="754"/>
      <c r="AG93" s="754"/>
      <c r="AH93" s="754"/>
      <c r="AI93" s="754"/>
    </row>
    <row r="94" spans="1:35" ht="15" customHeight="1">
      <c r="A94" s="410"/>
      <c r="B94" s="753"/>
      <c r="C94" s="754"/>
      <c r="D94" s="754"/>
      <c r="E94" s="754"/>
      <c r="F94" s="754"/>
      <c r="G94" s="755"/>
      <c r="H94" s="755"/>
      <c r="I94" s="754"/>
      <c r="J94" s="754"/>
      <c r="K94" s="754"/>
      <c r="L94" s="755"/>
      <c r="M94" s="754"/>
      <c r="N94" s="754"/>
      <c r="O94" s="754"/>
      <c r="P94" s="755"/>
      <c r="Q94" s="755"/>
      <c r="R94" s="755"/>
      <c r="S94" s="756"/>
      <c r="T94" s="757"/>
      <c r="U94" s="754"/>
      <c r="V94" s="754"/>
      <c r="W94" s="754"/>
      <c r="X94" s="754"/>
      <c r="Y94" s="754"/>
      <c r="Z94" s="754"/>
      <c r="AA94" s="754"/>
      <c r="AB94" s="754"/>
      <c r="AC94" s="754"/>
      <c r="AD94" s="754"/>
      <c r="AE94" s="754"/>
      <c r="AF94" s="754"/>
      <c r="AG94" s="754"/>
      <c r="AH94" s="754"/>
      <c r="AI94" s="754"/>
    </row>
    <row r="95" spans="1:35" ht="15" customHeight="1">
      <c r="A95" s="410"/>
      <c r="B95" s="753"/>
      <c r="C95" s="754"/>
      <c r="D95" s="754"/>
      <c r="E95" s="754"/>
      <c r="F95" s="754"/>
      <c r="G95" s="755"/>
      <c r="H95" s="755"/>
      <c r="I95" s="754"/>
      <c r="J95" s="754"/>
      <c r="K95" s="754"/>
      <c r="L95" s="755"/>
      <c r="M95" s="754"/>
      <c r="N95" s="754"/>
      <c r="O95" s="754"/>
      <c r="P95" s="755"/>
      <c r="Q95" s="755"/>
      <c r="R95" s="755"/>
      <c r="S95" s="756"/>
      <c r="T95" s="757"/>
      <c r="U95" s="754"/>
      <c r="V95" s="754"/>
      <c r="W95" s="754"/>
      <c r="X95" s="754"/>
      <c r="Y95" s="754"/>
      <c r="Z95" s="754"/>
      <c r="AA95" s="754"/>
      <c r="AB95" s="754"/>
      <c r="AC95" s="754"/>
      <c r="AD95" s="754"/>
      <c r="AE95" s="754"/>
      <c r="AF95" s="754"/>
      <c r="AG95" s="754"/>
      <c r="AH95" s="754"/>
      <c r="AI95" s="754"/>
    </row>
    <row r="96" spans="1:35" ht="15" customHeight="1">
      <c r="A96" s="410"/>
      <c r="B96" s="753"/>
      <c r="C96" s="754"/>
      <c r="D96" s="754"/>
      <c r="E96" s="754"/>
      <c r="F96" s="754"/>
      <c r="G96" s="755"/>
      <c r="H96" s="755"/>
      <c r="I96" s="754"/>
      <c r="J96" s="754"/>
      <c r="K96" s="754"/>
      <c r="L96" s="755"/>
      <c r="M96" s="754"/>
      <c r="N96" s="754"/>
      <c r="O96" s="754"/>
      <c r="P96" s="755"/>
      <c r="Q96" s="755"/>
      <c r="R96" s="755"/>
      <c r="S96" s="756"/>
      <c r="T96" s="757"/>
      <c r="U96" s="754"/>
      <c r="V96" s="754"/>
      <c r="W96" s="754"/>
      <c r="X96" s="754"/>
      <c r="Y96" s="754"/>
      <c r="Z96" s="754"/>
      <c r="AA96" s="754"/>
      <c r="AB96" s="754"/>
      <c r="AC96" s="754"/>
      <c r="AD96" s="754"/>
      <c r="AE96" s="754"/>
      <c r="AF96" s="754"/>
      <c r="AG96" s="754"/>
      <c r="AH96" s="754"/>
      <c r="AI96" s="754"/>
    </row>
    <row r="97" spans="1:35" ht="15" customHeight="1">
      <c r="A97" s="410"/>
      <c r="B97" s="753"/>
      <c r="C97" s="754"/>
      <c r="D97" s="754"/>
      <c r="E97" s="754"/>
      <c r="F97" s="754"/>
      <c r="G97" s="755"/>
      <c r="H97" s="755"/>
      <c r="I97" s="754"/>
      <c r="J97" s="754"/>
      <c r="K97" s="754"/>
      <c r="L97" s="755"/>
      <c r="M97" s="754"/>
      <c r="N97" s="754"/>
      <c r="O97" s="754"/>
      <c r="P97" s="755"/>
      <c r="Q97" s="755"/>
      <c r="R97" s="755"/>
      <c r="S97" s="756"/>
      <c r="T97" s="757"/>
      <c r="U97" s="754"/>
      <c r="V97" s="754"/>
      <c r="W97" s="754"/>
      <c r="X97" s="754"/>
      <c r="Y97" s="754"/>
      <c r="Z97" s="754"/>
      <c r="AA97" s="754"/>
      <c r="AB97" s="754"/>
      <c r="AC97" s="754"/>
      <c r="AD97" s="754"/>
      <c r="AE97" s="754"/>
      <c r="AF97" s="754"/>
      <c r="AG97" s="754"/>
      <c r="AH97" s="754"/>
      <c r="AI97" s="754"/>
    </row>
    <row r="98" spans="1:35" ht="15" customHeight="1">
      <c r="A98" s="410"/>
      <c r="B98" s="753"/>
      <c r="C98" s="754"/>
      <c r="D98" s="754"/>
      <c r="E98" s="754"/>
      <c r="F98" s="754"/>
      <c r="G98" s="755"/>
      <c r="H98" s="755"/>
      <c r="I98" s="754"/>
      <c r="J98" s="754"/>
      <c r="K98" s="754"/>
      <c r="L98" s="755"/>
      <c r="M98" s="754"/>
      <c r="N98" s="754"/>
      <c r="O98" s="754"/>
      <c r="P98" s="755"/>
      <c r="Q98" s="755"/>
      <c r="R98" s="755"/>
      <c r="S98" s="756"/>
      <c r="T98" s="757"/>
      <c r="U98" s="754"/>
      <c r="V98" s="754"/>
      <c r="W98" s="754"/>
      <c r="X98" s="754"/>
      <c r="Y98" s="754"/>
      <c r="Z98" s="754"/>
      <c r="AA98" s="754"/>
      <c r="AB98" s="754"/>
      <c r="AC98" s="754"/>
      <c r="AD98" s="754"/>
      <c r="AE98" s="754"/>
      <c r="AF98" s="754"/>
      <c r="AG98" s="754"/>
      <c r="AH98" s="754"/>
      <c r="AI98" s="754"/>
    </row>
    <row r="99" spans="1:35" ht="15" customHeight="1">
      <c r="A99" s="410"/>
      <c r="B99" s="753"/>
      <c r="C99" s="754"/>
      <c r="D99" s="754"/>
      <c r="E99" s="754"/>
      <c r="F99" s="754"/>
      <c r="G99" s="755"/>
      <c r="H99" s="755"/>
      <c r="I99" s="754"/>
      <c r="J99" s="754"/>
      <c r="K99" s="754"/>
      <c r="L99" s="755"/>
      <c r="M99" s="754"/>
      <c r="N99" s="754"/>
      <c r="O99" s="754"/>
      <c r="P99" s="755"/>
      <c r="Q99" s="755"/>
      <c r="R99" s="755"/>
      <c r="S99" s="756"/>
      <c r="T99" s="757"/>
      <c r="U99" s="754"/>
      <c r="V99" s="754"/>
      <c r="W99" s="754"/>
      <c r="X99" s="754"/>
      <c r="Y99" s="754"/>
      <c r="Z99" s="754"/>
      <c r="AA99" s="754"/>
      <c r="AB99" s="754"/>
      <c r="AC99" s="754"/>
      <c r="AD99" s="754"/>
      <c r="AE99" s="754"/>
      <c r="AF99" s="754"/>
      <c r="AG99" s="754"/>
      <c r="AH99" s="754"/>
      <c r="AI99" s="754"/>
    </row>
    <row r="100" spans="1:35" ht="15" customHeight="1">
      <c r="A100" s="410"/>
      <c r="B100" s="753"/>
      <c r="C100" s="754"/>
      <c r="D100" s="754"/>
      <c r="E100" s="754"/>
      <c r="F100" s="754"/>
      <c r="G100" s="755"/>
      <c r="H100" s="755"/>
      <c r="I100" s="754"/>
      <c r="J100" s="754"/>
      <c r="K100" s="754"/>
      <c r="L100" s="755"/>
      <c r="M100" s="754"/>
      <c r="N100" s="754"/>
      <c r="O100" s="754"/>
      <c r="P100" s="755"/>
      <c r="Q100" s="755"/>
      <c r="R100" s="755"/>
      <c r="S100" s="756"/>
      <c r="T100" s="757"/>
      <c r="U100" s="754"/>
      <c r="V100" s="754"/>
      <c r="W100" s="754"/>
      <c r="X100" s="754"/>
      <c r="Y100" s="754"/>
      <c r="Z100" s="754"/>
      <c r="AA100" s="754"/>
      <c r="AB100" s="754"/>
      <c r="AC100" s="754"/>
      <c r="AD100" s="754"/>
      <c r="AE100" s="754"/>
      <c r="AF100" s="754"/>
      <c r="AG100" s="754"/>
      <c r="AH100" s="754"/>
      <c r="AI100" s="754"/>
    </row>
    <row r="101" spans="1:35" ht="15" customHeight="1">
      <c r="A101" s="410"/>
      <c r="B101" s="753"/>
      <c r="C101" s="754"/>
      <c r="D101" s="754"/>
      <c r="E101" s="754"/>
      <c r="F101" s="754"/>
      <c r="G101" s="755"/>
      <c r="H101" s="755"/>
      <c r="I101" s="754"/>
      <c r="J101" s="754"/>
      <c r="K101" s="754"/>
      <c r="L101" s="755"/>
      <c r="M101" s="754"/>
      <c r="N101" s="754"/>
      <c r="O101" s="754"/>
      <c r="P101" s="755"/>
      <c r="Q101" s="755"/>
      <c r="R101" s="755"/>
      <c r="S101" s="756"/>
      <c r="T101" s="757"/>
      <c r="U101" s="754"/>
      <c r="V101" s="754"/>
      <c r="W101" s="754"/>
      <c r="X101" s="754"/>
      <c r="Y101" s="754"/>
      <c r="Z101" s="754"/>
      <c r="AA101" s="754"/>
      <c r="AB101" s="754"/>
      <c r="AC101" s="754"/>
      <c r="AD101" s="754"/>
      <c r="AE101" s="754"/>
      <c r="AF101" s="754"/>
      <c r="AG101" s="754"/>
      <c r="AH101" s="754"/>
      <c r="AI101" s="754"/>
    </row>
    <row r="102" spans="1:35" ht="15" customHeight="1">
      <c r="A102" s="410"/>
      <c r="B102" s="753"/>
      <c r="C102" s="754"/>
      <c r="D102" s="754"/>
      <c r="E102" s="754"/>
      <c r="F102" s="754"/>
      <c r="G102" s="755"/>
      <c r="H102" s="755"/>
      <c r="I102" s="754"/>
      <c r="J102" s="754"/>
      <c r="K102" s="754"/>
      <c r="L102" s="755"/>
      <c r="M102" s="754"/>
      <c r="N102" s="754"/>
      <c r="O102" s="754"/>
      <c r="P102" s="755"/>
      <c r="Q102" s="755"/>
      <c r="R102" s="755"/>
      <c r="S102" s="756"/>
      <c r="T102" s="757"/>
      <c r="U102" s="754"/>
      <c r="V102" s="754"/>
      <c r="W102" s="754"/>
      <c r="X102" s="754"/>
      <c r="Y102" s="754"/>
      <c r="Z102" s="754"/>
      <c r="AA102" s="754"/>
      <c r="AB102" s="754"/>
      <c r="AC102" s="754"/>
      <c r="AD102" s="754"/>
      <c r="AE102" s="754"/>
      <c r="AF102" s="754"/>
      <c r="AG102" s="754"/>
      <c r="AH102" s="754"/>
      <c r="AI102" s="754"/>
    </row>
    <row r="103" spans="1:35" ht="15" customHeight="1">
      <c r="A103" s="410"/>
      <c r="B103" s="753"/>
      <c r="C103" s="754"/>
      <c r="D103" s="754"/>
      <c r="E103" s="754"/>
      <c r="F103" s="754"/>
      <c r="G103" s="755"/>
      <c r="H103" s="755"/>
      <c r="I103" s="754"/>
      <c r="J103" s="754"/>
      <c r="K103" s="754"/>
      <c r="L103" s="755"/>
      <c r="M103" s="754"/>
      <c r="N103" s="754"/>
      <c r="O103" s="754"/>
      <c r="P103" s="755"/>
      <c r="Q103" s="755"/>
      <c r="R103" s="755"/>
      <c r="S103" s="756"/>
      <c r="T103" s="757"/>
      <c r="U103" s="754"/>
      <c r="V103" s="754"/>
      <c r="W103" s="754"/>
      <c r="X103" s="754"/>
      <c r="Y103" s="754"/>
      <c r="Z103" s="754"/>
      <c r="AA103" s="754"/>
      <c r="AB103" s="754"/>
      <c r="AC103" s="754"/>
      <c r="AD103" s="754"/>
      <c r="AE103" s="754"/>
      <c r="AF103" s="754"/>
      <c r="AG103" s="754"/>
      <c r="AH103" s="754"/>
      <c r="AI103" s="754"/>
    </row>
    <row r="104" spans="1:35" ht="15" customHeight="1">
      <c r="A104" s="410"/>
      <c r="B104" s="753"/>
      <c r="C104" s="754"/>
      <c r="D104" s="754"/>
      <c r="E104" s="754"/>
      <c r="F104" s="754"/>
      <c r="G104" s="755"/>
      <c r="H104" s="755"/>
      <c r="I104" s="754"/>
      <c r="J104" s="754"/>
      <c r="K104" s="754"/>
      <c r="L104" s="755"/>
      <c r="M104" s="754"/>
      <c r="N104" s="754"/>
      <c r="O104" s="754"/>
      <c r="P104" s="755"/>
      <c r="Q104" s="755"/>
      <c r="R104" s="755"/>
      <c r="S104" s="756"/>
      <c r="T104" s="757"/>
      <c r="U104" s="754"/>
      <c r="V104" s="754"/>
      <c r="W104" s="754"/>
      <c r="X104" s="754"/>
      <c r="Y104" s="754"/>
      <c r="Z104" s="754"/>
      <c r="AA104" s="754"/>
      <c r="AB104" s="754"/>
      <c r="AC104" s="754"/>
      <c r="AD104" s="754"/>
      <c r="AE104" s="754"/>
      <c r="AF104" s="754"/>
      <c r="AG104" s="754"/>
      <c r="AH104" s="754"/>
      <c r="AI104" s="754"/>
    </row>
    <row r="105" spans="1:35" ht="15" customHeight="1">
      <c r="A105" s="410"/>
      <c r="B105" s="753"/>
      <c r="C105" s="754"/>
      <c r="D105" s="754"/>
      <c r="E105" s="754"/>
      <c r="F105" s="754"/>
      <c r="G105" s="755"/>
      <c r="H105" s="755"/>
      <c r="I105" s="754"/>
      <c r="J105" s="754"/>
      <c r="K105" s="754"/>
      <c r="L105" s="755"/>
      <c r="M105" s="754"/>
      <c r="N105" s="754"/>
      <c r="O105" s="754"/>
      <c r="P105" s="755"/>
      <c r="Q105" s="755"/>
      <c r="R105" s="755"/>
      <c r="S105" s="756"/>
      <c r="T105" s="757"/>
      <c r="U105" s="754"/>
      <c r="V105" s="754"/>
      <c r="W105" s="754"/>
      <c r="X105" s="754"/>
      <c r="Y105" s="754"/>
      <c r="Z105" s="754"/>
      <c r="AA105" s="754"/>
      <c r="AB105" s="754"/>
      <c r="AC105" s="754"/>
      <c r="AD105" s="754"/>
      <c r="AE105" s="754"/>
      <c r="AF105" s="754"/>
      <c r="AG105" s="754"/>
      <c r="AH105" s="754"/>
      <c r="AI105" s="754"/>
    </row>
    <row r="106" spans="1:35" ht="15" customHeight="1">
      <c r="A106" s="410"/>
      <c r="B106" s="753"/>
      <c r="C106" s="754"/>
      <c r="D106" s="754"/>
      <c r="E106" s="754"/>
      <c r="F106" s="754"/>
      <c r="G106" s="755"/>
      <c r="H106" s="755"/>
      <c r="I106" s="754"/>
      <c r="J106" s="754"/>
      <c r="K106" s="754"/>
      <c r="L106" s="755"/>
      <c r="M106" s="754"/>
      <c r="N106" s="754"/>
      <c r="O106" s="754"/>
      <c r="P106" s="755"/>
      <c r="Q106" s="755"/>
      <c r="R106" s="755"/>
      <c r="S106" s="756"/>
      <c r="T106" s="757"/>
      <c r="U106" s="754"/>
      <c r="V106" s="754"/>
      <c r="W106" s="754"/>
      <c r="X106" s="754"/>
      <c r="Y106" s="754"/>
      <c r="Z106" s="754"/>
      <c r="AA106" s="754"/>
      <c r="AB106" s="754"/>
      <c r="AC106" s="754"/>
      <c r="AD106" s="754"/>
      <c r="AE106" s="754"/>
      <c r="AF106" s="754"/>
      <c r="AG106" s="754"/>
      <c r="AH106" s="754"/>
      <c r="AI106" s="754"/>
    </row>
    <row r="107" spans="1:35" ht="15" customHeight="1">
      <c r="A107" s="410"/>
      <c r="B107" s="753"/>
      <c r="C107" s="754"/>
      <c r="D107" s="754"/>
      <c r="E107" s="754"/>
      <c r="F107" s="754"/>
      <c r="G107" s="755"/>
      <c r="H107" s="755"/>
      <c r="I107" s="754"/>
      <c r="J107" s="754"/>
      <c r="K107" s="754"/>
      <c r="L107" s="755"/>
      <c r="M107" s="754"/>
      <c r="N107" s="754"/>
      <c r="O107" s="754"/>
      <c r="P107" s="755"/>
      <c r="Q107" s="755"/>
      <c r="R107" s="755"/>
      <c r="S107" s="756"/>
      <c r="T107" s="757"/>
      <c r="U107" s="754"/>
      <c r="V107" s="754"/>
      <c r="W107" s="754"/>
      <c r="X107" s="754"/>
      <c r="Y107" s="754"/>
      <c r="Z107" s="754"/>
      <c r="AA107" s="754"/>
      <c r="AB107" s="754"/>
      <c r="AC107" s="754"/>
      <c r="AD107" s="754"/>
      <c r="AE107" s="754"/>
      <c r="AF107" s="754"/>
      <c r="AG107" s="754"/>
      <c r="AH107" s="754"/>
      <c r="AI107" s="754"/>
    </row>
    <row r="108" spans="1:35" ht="15" customHeight="1">
      <c r="A108" s="410"/>
      <c r="B108" s="753"/>
      <c r="C108" s="754"/>
      <c r="D108" s="754"/>
      <c r="E108" s="754"/>
      <c r="F108" s="754"/>
      <c r="G108" s="755"/>
      <c r="H108" s="755"/>
      <c r="I108" s="754"/>
      <c r="J108" s="754"/>
      <c r="K108" s="754"/>
      <c r="L108" s="755"/>
      <c r="M108" s="754"/>
      <c r="N108" s="754"/>
      <c r="O108" s="754"/>
      <c r="P108" s="755"/>
      <c r="Q108" s="755"/>
      <c r="R108" s="755"/>
      <c r="S108" s="756"/>
      <c r="T108" s="757"/>
      <c r="U108" s="754"/>
      <c r="V108" s="754"/>
      <c r="W108" s="754"/>
      <c r="X108" s="754"/>
      <c r="Y108" s="754"/>
      <c r="Z108" s="754"/>
      <c r="AA108" s="754"/>
      <c r="AB108" s="754"/>
      <c r="AC108" s="754"/>
      <c r="AD108" s="754"/>
      <c r="AE108" s="754"/>
      <c r="AF108" s="754"/>
      <c r="AG108" s="754"/>
      <c r="AH108" s="754"/>
      <c r="AI108" s="754"/>
    </row>
    <row r="109" spans="1:35" ht="15" customHeight="1">
      <c r="A109" s="410"/>
      <c r="B109" s="753"/>
      <c r="C109" s="754"/>
      <c r="D109" s="754"/>
      <c r="E109" s="754"/>
      <c r="F109" s="754"/>
      <c r="G109" s="755"/>
      <c r="H109" s="755"/>
      <c r="I109" s="754"/>
      <c r="J109" s="754"/>
      <c r="K109" s="754"/>
      <c r="L109" s="755"/>
      <c r="M109" s="754"/>
      <c r="N109" s="754"/>
      <c r="O109" s="754"/>
      <c r="P109" s="755"/>
      <c r="Q109" s="755"/>
      <c r="R109" s="755"/>
      <c r="S109" s="756"/>
      <c r="T109" s="757"/>
      <c r="U109" s="754"/>
      <c r="V109" s="754"/>
      <c r="W109" s="754"/>
      <c r="X109" s="754"/>
      <c r="Y109" s="754"/>
      <c r="Z109" s="754"/>
      <c r="AA109" s="754"/>
      <c r="AB109" s="754"/>
      <c r="AC109" s="754"/>
      <c r="AD109" s="754"/>
      <c r="AE109" s="754"/>
      <c r="AF109" s="754"/>
      <c r="AG109" s="754"/>
      <c r="AH109" s="754"/>
      <c r="AI109" s="754"/>
    </row>
    <row r="110" spans="1:35" ht="15" customHeight="1">
      <c r="A110" s="410"/>
      <c r="B110" s="753"/>
      <c r="C110" s="754"/>
      <c r="D110" s="754"/>
      <c r="E110" s="754"/>
      <c r="F110" s="754"/>
      <c r="G110" s="755"/>
      <c r="H110" s="755"/>
      <c r="I110" s="754"/>
      <c r="J110" s="754"/>
      <c r="K110" s="754"/>
      <c r="L110" s="755"/>
      <c r="M110" s="754"/>
      <c r="N110" s="754"/>
      <c r="O110" s="754"/>
      <c r="P110" s="755"/>
      <c r="Q110" s="755"/>
      <c r="R110" s="755"/>
      <c r="S110" s="756"/>
      <c r="T110" s="757"/>
      <c r="U110" s="754"/>
      <c r="V110" s="754"/>
      <c r="W110" s="754"/>
      <c r="X110" s="754"/>
      <c r="Y110" s="754"/>
      <c r="Z110" s="754"/>
      <c r="AA110" s="754"/>
      <c r="AB110" s="754"/>
      <c r="AC110" s="754"/>
      <c r="AD110" s="754"/>
      <c r="AE110" s="754"/>
      <c r="AF110" s="754"/>
      <c r="AG110" s="754"/>
      <c r="AH110" s="754"/>
      <c r="AI110" s="754"/>
    </row>
    <row r="111" spans="1:35" ht="15" customHeight="1">
      <c r="A111" s="410"/>
      <c r="B111" s="753"/>
      <c r="C111" s="754"/>
      <c r="D111" s="754"/>
      <c r="E111" s="754"/>
      <c r="F111" s="754"/>
      <c r="G111" s="755"/>
      <c r="H111" s="755"/>
      <c r="I111" s="754"/>
      <c r="J111" s="754"/>
      <c r="K111" s="754"/>
      <c r="L111" s="755"/>
      <c r="M111" s="754"/>
      <c r="N111" s="754"/>
      <c r="O111" s="754"/>
      <c r="P111" s="755"/>
      <c r="Q111" s="755"/>
      <c r="R111" s="755"/>
      <c r="S111" s="756"/>
      <c r="T111" s="757"/>
      <c r="U111" s="754"/>
      <c r="V111" s="754"/>
      <c r="W111" s="754"/>
      <c r="X111" s="754"/>
      <c r="Y111" s="754"/>
      <c r="Z111" s="754"/>
      <c r="AA111" s="754"/>
      <c r="AB111" s="754"/>
      <c r="AC111" s="754"/>
      <c r="AD111" s="754"/>
      <c r="AE111" s="754"/>
      <c r="AF111" s="754"/>
      <c r="AG111" s="754"/>
      <c r="AH111" s="754"/>
      <c r="AI111" s="754"/>
    </row>
    <row r="112" spans="1:35" ht="15" customHeight="1">
      <c r="A112" s="410"/>
      <c r="B112" s="753"/>
      <c r="C112" s="754"/>
      <c r="D112" s="754"/>
      <c r="E112" s="754"/>
      <c r="F112" s="754"/>
      <c r="G112" s="755"/>
      <c r="H112" s="755"/>
      <c r="I112" s="754"/>
      <c r="J112" s="754"/>
      <c r="K112" s="754"/>
      <c r="L112" s="755"/>
      <c r="M112" s="754"/>
      <c r="N112" s="754"/>
      <c r="O112" s="754"/>
      <c r="P112" s="755"/>
      <c r="Q112" s="755"/>
      <c r="R112" s="755"/>
      <c r="S112" s="756"/>
      <c r="T112" s="757"/>
      <c r="U112" s="754"/>
      <c r="V112" s="754"/>
      <c r="W112" s="754"/>
      <c r="X112" s="754"/>
      <c r="Y112" s="754"/>
      <c r="Z112" s="754"/>
      <c r="AA112" s="754"/>
      <c r="AB112" s="754"/>
      <c r="AC112" s="754"/>
      <c r="AD112" s="754"/>
      <c r="AE112" s="754"/>
      <c r="AF112" s="754"/>
      <c r="AG112" s="754"/>
      <c r="AH112" s="754"/>
      <c r="AI112" s="754"/>
    </row>
    <row r="113" spans="1:35" ht="15" customHeight="1">
      <c r="A113" s="410"/>
      <c r="B113" s="753"/>
      <c r="C113" s="754"/>
      <c r="D113" s="754"/>
      <c r="E113" s="754"/>
      <c r="F113" s="754"/>
      <c r="G113" s="755"/>
      <c r="H113" s="755"/>
      <c r="I113" s="754"/>
      <c r="J113" s="754"/>
      <c r="K113" s="754"/>
      <c r="L113" s="755"/>
      <c r="M113" s="754"/>
      <c r="N113" s="754"/>
      <c r="O113" s="754"/>
      <c r="P113" s="755"/>
      <c r="Q113" s="755"/>
      <c r="R113" s="755"/>
      <c r="S113" s="756"/>
      <c r="T113" s="757"/>
      <c r="U113" s="754"/>
      <c r="V113" s="754"/>
      <c r="W113" s="754"/>
      <c r="X113" s="754"/>
      <c r="Y113" s="754"/>
      <c r="Z113" s="754"/>
      <c r="AA113" s="754"/>
      <c r="AB113" s="754"/>
      <c r="AC113" s="754"/>
      <c r="AD113" s="754"/>
      <c r="AE113" s="754"/>
      <c r="AF113" s="754"/>
      <c r="AG113" s="754"/>
      <c r="AH113" s="754"/>
      <c r="AI113" s="754"/>
    </row>
    <row r="114" spans="1:35" ht="15" customHeight="1">
      <c r="A114" s="410"/>
      <c r="B114" s="753"/>
      <c r="C114" s="754"/>
      <c r="D114" s="754"/>
      <c r="E114" s="754"/>
      <c r="F114" s="754"/>
      <c r="G114" s="755"/>
      <c r="H114" s="755"/>
      <c r="I114" s="754"/>
      <c r="J114" s="754"/>
      <c r="K114" s="754"/>
      <c r="L114" s="755"/>
      <c r="M114" s="754"/>
      <c r="N114" s="754"/>
      <c r="O114" s="754"/>
      <c r="P114" s="755"/>
      <c r="Q114" s="755"/>
      <c r="R114" s="755"/>
      <c r="S114" s="756"/>
      <c r="T114" s="757"/>
      <c r="U114" s="754"/>
      <c r="V114" s="754"/>
      <c r="W114" s="754"/>
      <c r="X114" s="754"/>
      <c r="Y114" s="754"/>
      <c r="Z114" s="754"/>
      <c r="AA114" s="754"/>
      <c r="AB114" s="754"/>
      <c r="AC114" s="754"/>
      <c r="AD114" s="754"/>
      <c r="AE114" s="754"/>
      <c r="AF114" s="754"/>
      <c r="AG114" s="754"/>
      <c r="AH114" s="754"/>
      <c r="AI114" s="754"/>
    </row>
    <row r="115" spans="1:35" ht="15" customHeight="1">
      <c r="A115" s="410"/>
      <c r="B115" s="753"/>
      <c r="C115" s="754"/>
      <c r="D115" s="754"/>
      <c r="E115" s="754"/>
      <c r="F115" s="754"/>
      <c r="G115" s="755"/>
      <c r="H115" s="755"/>
      <c r="I115" s="754"/>
      <c r="J115" s="754"/>
      <c r="K115" s="754"/>
      <c r="L115" s="755"/>
      <c r="M115" s="754"/>
      <c r="N115" s="754"/>
      <c r="O115" s="754"/>
      <c r="P115" s="755"/>
      <c r="Q115" s="755"/>
      <c r="R115" s="755"/>
      <c r="S115" s="756"/>
      <c r="T115" s="757"/>
      <c r="U115" s="754"/>
      <c r="V115" s="754"/>
      <c r="W115" s="754"/>
      <c r="X115" s="754"/>
      <c r="Y115" s="754"/>
      <c r="Z115" s="754"/>
      <c r="AA115" s="754"/>
      <c r="AB115" s="754"/>
      <c r="AC115" s="754"/>
      <c r="AD115" s="754"/>
      <c r="AE115" s="754"/>
      <c r="AF115" s="754"/>
      <c r="AG115" s="754"/>
      <c r="AH115" s="754"/>
      <c r="AI115" s="754"/>
    </row>
    <row r="116" spans="1:35" ht="15" customHeight="1">
      <c r="A116" s="410"/>
      <c r="B116" s="753"/>
      <c r="C116" s="754"/>
      <c r="D116" s="754"/>
      <c r="E116" s="754"/>
      <c r="F116" s="754"/>
      <c r="G116" s="755"/>
      <c r="H116" s="755"/>
      <c r="I116" s="754"/>
      <c r="J116" s="754"/>
      <c r="K116" s="754"/>
      <c r="L116" s="755"/>
      <c r="M116" s="754"/>
      <c r="N116" s="754"/>
      <c r="O116" s="754"/>
      <c r="P116" s="755"/>
      <c r="Q116" s="755"/>
      <c r="R116" s="755"/>
      <c r="S116" s="756"/>
      <c r="T116" s="757"/>
      <c r="U116" s="754"/>
      <c r="V116" s="754"/>
      <c r="W116" s="754"/>
      <c r="X116" s="754"/>
      <c r="Y116" s="754"/>
      <c r="Z116" s="754"/>
      <c r="AA116" s="754"/>
      <c r="AB116" s="754"/>
      <c r="AC116" s="754"/>
      <c r="AD116" s="754"/>
      <c r="AE116" s="754"/>
      <c r="AF116" s="754"/>
      <c r="AG116" s="754"/>
      <c r="AH116" s="754"/>
      <c r="AI116" s="754"/>
    </row>
    <row r="117" spans="1:35" ht="15" customHeight="1">
      <c r="A117" s="410"/>
      <c r="B117" s="753"/>
      <c r="C117" s="754"/>
      <c r="D117" s="754"/>
      <c r="E117" s="754"/>
      <c r="F117" s="754"/>
      <c r="G117" s="755"/>
      <c r="H117" s="755"/>
      <c r="I117" s="754"/>
      <c r="J117" s="754"/>
      <c r="K117" s="754"/>
      <c r="L117" s="755"/>
      <c r="M117" s="754"/>
      <c r="N117" s="754"/>
      <c r="O117" s="754"/>
      <c r="P117" s="755"/>
      <c r="Q117" s="755"/>
      <c r="R117" s="755"/>
      <c r="S117" s="756"/>
      <c r="T117" s="757"/>
      <c r="U117" s="754"/>
      <c r="V117" s="754"/>
      <c r="W117" s="754"/>
      <c r="X117" s="754"/>
      <c r="Y117" s="754"/>
      <c r="Z117" s="754"/>
      <c r="AA117" s="754"/>
      <c r="AB117" s="754"/>
      <c r="AC117" s="754"/>
      <c r="AD117" s="754"/>
      <c r="AE117" s="754"/>
      <c r="AF117" s="754"/>
      <c r="AG117" s="754"/>
      <c r="AH117" s="754"/>
      <c r="AI117" s="754"/>
    </row>
    <row r="118" spans="1:35" ht="15" customHeight="1">
      <c r="A118" s="410"/>
      <c r="B118" s="753"/>
      <c r="C118" s="754"/>
      <c r="D118" s="754"/>
      <c r="E118" s="754"/>
      <c r="F118" s="754"/>
      <c r="G118" s="755"/>
      <c r="H118" s="755"/>
      <c r="I118" s="754"/>
      <c r="J118" s="754"/>
      <c r="K118" s="754"/>
      <c r="L118" s="755"/>
      <c r="M118" s="754"/>
      <c r="N118" s="754"/>
      <c r="O118" s="754"/>
      <c r="P118" s="755"/>
      <c r="Q118" s="755"/>
      <c r="R118" s="755"/>
      <c r="S118" s="756"/>
      <c r="T118" s="757"/>
      <c r="U118" s="754"/>
      <c r="V118" s="754"/>
      <c r="W118" s="754"/>
      <c r="X118" s="754"/>
      <c r="Y118" s="754"/>
      <c r="Z118" s="754"/>
      <c r="AA118" s="754"/>
      <c r="AB118" s="754"/>
      <c r="AC118" s="754"/>
      <c r="AD118" s="754"/>
      <c r="AE118" s="754"/>
      <c r="AF118" s="754"/>
      <c r="AG118" s="754"/>
      <c r="AH118" s="754"/>
      <c r="AI118" s="754"/>
    </row>
    <row r="119" spans="1:35" ht="15" customHeight="1">
      <c r="A119" s="410"/>
      <c r="B119" s="753"/>
      <c r="C119" s="754"/>
      <c r="D119" s="754"/>
      <c r="E119" s="754"/>
      <c r="F119" s="754"/>
      <c r="G119" s="755"/>
      <c r="H119" s="755"/>
      <c r="I119" s="754"/>
      <c r="J119" s="754"/>
      <c r="K119" s="754"/>
      <c r="L119" s="755"/>
      <c r="M119" s="754"/>
      <c r="N119" s="754"/>
      <c r="O119" s="754"/>
      <c r="P119" s="755"/>
      <c r="Q119" s="755"/>
      <c r="R119" s="755"/>
      <c r="S119" s="756"/>
      <c r="T119" s="757"/>
      <c r="U119" s="754"/>
      <c r="V119" s="754"/>
      <c r="W119" s="754"/>
      <c r="X119" s="754"/>
      <c r="Y119" s="754"/>
      <c r="Z119" s="754"/>
      <c r="AA119" s="754"/>
      <c r="AB119" s="754"/>
      <c r="AC119" s="754"/>
      <c r="AD119" s="754"/>
      <c r="AE119" s="754"/>
      <c r="AF119" s="754"/>
      <c r="AG119" s="754"/>
      <c r="AH119" s="754"/>
      <c r="AI119" s="754"/>
    </row>
    <row r="120" spans="1:35" ht="15" customHeight="1">
      <c r="A120" s="410"/>
    </row>
    <row r="121" spans="1:35" ht="15" customHeight="1">
      <c r="A121" s="410"/>
    </row>
    <row r="122" spans="1:35" ht="15" customHeight="1">
      <c r="A122" s="410"/>
    </row>
    <row r="123" spans="1:35" ht="15" customHeight="1">
      <c r="A123" s="410"/>
    </row>
    <row r="124" spans="1:35" ht="15" customHeight="1">
      <c r="A124" s="410"/>
    </row>
    <row r="125" spans="1:35" ht="21.95" customHeight="1">
      <c r="A125" s="410"/>
    </row>
    <row r="126" spans="1:35" ht="21.95" customHeight="1">
      <c r="A126" s="410"/>
    </row>
    <row r="127" spans="1:35" ht="21.95" customHeight="1">
      <c r="A127" s="333"/>
    </row>
    <row r="128" spans="1:35" ht="21.95" customHeight="1">
      <c r="A128" s="410"/>
    </row>
    <row r="129" spans="1:1" ht="15.75" customHeight="1">
      <c r="A129" s="410"/>
    </row>
    <row r="130" spans="1:1" ht="15.75" customHeight="1">
      <c r="A130" s="410"/>
    </row>
    <row r="131" spans="1:1" ht="26.25" customHeight="1" thickBot="1">
      <c r="A131" s="411"/>
    </row>
  </sheetData>
  <mergeCells count="23">
    <mergeCell ref="E1:F1"/>
    <mergeCell ref="T2:T3"/>
    <mergeCell ref="E2:E3"/>
    <mergeCell ref="K2:K3"/>
    <mergeCell ref="O2:O3"/>
    <mergeCell ref="Q2:Q3"/>
    <mergeCell ref="R2:R3"/>
    <mergeCell ref="J2:J3"/>
    <mergeCell ref="L2:L3"/>
    <mergeCell ref="M2:M3"/>
    <mergeCell ref="N2:N3"/>
    <mergeCell ref="E41:F41"/>
    <mergeCell ref="G2:G3"/>
    <mergeCell ref="S2:S3"/>
    <mergeCell ref="I2:I3"/>
    <mergeCell ref="U2:U3"/>
    <mergeCell ref="F2:F3"/>
    <mergeCell ref="P2:P3"/>
    <mergeCell ref="H2:H3"/>
    <mergeCell ref="F35:F39"/>
    <mergeCell ref="O25:P26"/>
    <mergeCell ref="E29:E30"/>
    <mergeCell ref="O27:P27"/>
  </mergeCells>
  <conditionalFormatting sqref="B1:B15">
    <cfRule type="cellIs" dxfId="10" priority="54" stopIfTrue="1" operator="equal">
      <formula>0</formula>
    </cfRule>
  </conditionalFormatting>
  <conditionalFormatting sqref="F16:S16">
    <cfRule type="cellIs" dxfId="9" priority="50" stopIfTrue="1" operator="greaterThan">
      <formula>$S$103</formula>
    </cfRule>
  </conditionalFormatting>
  <conditionalFormatting sqref="F4:F15 I4:I15">
    <cfRule type="cellIs" dxfId="8" priority="44" stopIfTrue="1" operator="greaterThan">
      <formula>$S$91</formula>
    </cfRule>
  </conditionalFormatting>
  <conditionalFormatting sqref="F54">
    <cfRule type="cellIs" dxfId="7" priority="43" stopIfTrue="1" operator="greaterThan">
      <formula>$S$103</formula>
    </cfRule>
  </conditionalFormatting>
  <conditionalFormatting sqref="B21:B22">
    <cfRule type="containsText" dxfId="6" priority="35" operator="containsText" text="compreso/non compreso">
      <formula>NOT(ISERROR(SEARCH("compreso/non compreso",B21)))</formula>
    </cfRule>
  </conditionalFormatting>
  <pageMargins left="0.39370078740157483" right="0.51181102362204722" top="0.78740157480314965" bottom="0.59055118110236227" header="0.51181102362204722" footer="0.51181102362204722"/>
  <pageSetup paperSize="9" scale="55" orientation="portrait" horizontalDpi="4294967293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BH230"/>
  <sheetViews>
    <sheetView topLeftCell="A89" zoomScale="96" zoomScaleNormal="96" workbookViewId="0">
      <pane ySplit="1" topLeftCell="A194" activePane="bottomLeft" state="frozen"/>
      <selection activeCell="A89" sqref="A89"/>
      <selection pane="bottomLeft" activeCell="O225" sqref="O225"/>
    </sheetView>
  </sheetViews>
  <sheetFormatPr defaultColWidth="9.140625" defaultRowHeight="12.75"/>
  <cols>
    <col min="1" max="1" width="6.28515625" style="74" customWidth="1"/>
    <col min="2" max="2" width="3.42578125" style="74" customWidth="1"/>
    <col min="3" max="3" width="10.85546875" style="74" customWidth="1"/>
    <col min="4" max="4" width="15.85546875" style="74" hidden="1" customWidth="1"/>
    <col min="5" max="5" width="10.7109375" style="74" customWidth="1"/>
    <col min="6" max="6" width="7.28515625" style="74" customWidth="1"/>
    <col min="7" max="7" width="9.140625" style="74" customWidth="1"/>
    <col min="8" max="8" width="18.42578125" style="74" customWidth="1"/>
    <col min="9" max="9" width="10.28515625" style="74" customWidth="1"/>
    <col min="10" max="10" width="11.5703125" style="74" customWidth="1"/>
    <col min="11" max="15" width="9.140625" style="74" customWidth="1"/>
    <col min="16" max="16" width="8.85546875" style="74" customWidth="1"/>
    <col min="17" max="22" width="9.140625" style="74" customWidth="1"/>
    <col min="23" max="23" width="8.85546875" style="74" customWidth="1"/>
    <col min="24" max="25" width="9.140625" style="74" customWidth="1"/>
    <col min="26" max="26" width="11.85546875" style="74" customWidth="1"/>
    <col min="27" max="27" width="10.140625" style="74" customWidth="1"/>
    <col min="28" max="29" width="9.140625" style="74" customWidth="1"/>
    <col min="30" max="32" width="8.85546875" style="74" customWidth="1"/>
    <col min="33" max="33" width="8.85546875" style="74" hidden="1" customWidth="1"/>
    <col min="34" max="34" width="12.28515625" style="74" hidden="1" customWidth="1"/>
    <col min="35" max="35" width="8.85546875" style="74" hidden="1" customWidth="1"/>
    <col min="36" max="36" width="8.85546875" style="74" customWidth="1"/>
    <col min="37" max="64" width="9.140625" style="74" customWidth="1"/>
    <col min="65" max="16384" width="9.140625" style="74"/>
  </cols>
  <sheetData>
    <row r="1" spans="1:34" hidden="1"/>
    <row r="2" spans="1:34" hidden="1">
      <c r="E2" s="896" t="s">
        <v>178</v>
      </c>
      <c r="F2" s="846"/>
      <c r="G2" s="846"/>
      <c r="H2" s="846"/>
      <c r="I2" s="846"/>
      <c r="J2" s="846"/>
    </row>
    <row r="3" spans="1:34">
      <c r="E3" s="846"/>
      <c r="F3" s="846"/>
      <c r="G3" s="846"/>
      <c r="H3" s="846"/>
      <c r="I3" s="846"/>
      <c r="J3" s="846"/>
    </row>
    <row r="4" spans="1:34">
      <c r="E4" s="846"/>
      <c r="F4" s="846"/>
      <c r="G4" s="846"/>
      <c r="H4" s="846"/>
      <c r="I4" s="846"/>
      <c r="J4" s="846"/>
    </row>
    <row r="5" spans="1:34" ht="24.75" customHeight="1">
      <c r="E5" s="898" t="str">
        <f>'INSER. DATI'!C4</f>
        <v>CL_302</v>
      </c>
      <c r="F5" s="846"/>
      <c r="G5" s="846"/>
      <c r="H5" s="846"/>
      <c r="I5" s="243" t="e">
        <f>'INSER. DATI'!#REF!</f>
        <v>#REF!</v>
      </c>
      <c r="Q5" s="895" t="s">
        <v>179</v>
      </c>
      <c r="R5" s="846"/>
      <c r="S5" s="846"/>
      <c r="T5" s="846"/>
      <c r="AH5" s="244" t="s">
        <v>1</v>
      </c>
    </row>
    <row r="6" spans="1:34">
      <c r="Q6" s="846"/>
      <c r="R6" s="846"/>
      <c r="S6" s="846"/>
      <c r="T6" s="846"/>
    </row>
    <row r="7" spans="1:34" ht="12.75" customHeight="1">
      <c r="E7" s="868" t="s">
        <v>3</v>
      </c>
      <c r="F7" s="846"/>
      <c r="G7" s="846"/>
      <c r="H7" s="846"/>
      <c r="I7" s="846"/>
      <c r="Q7" s="846"/>
      <c r="R7" s="846"/>
      <c r="S7" s="846"/>
      <c r="T7" s="846"/>
    </row>
    <row r="8" spans="1:34" ht="10.15" customHeight="1">
      <c r="E8" s="245"/>
      <c r="F8" s="853" t="str">
        <f>'INSER. DATI'!C5</f>
        <v>Italia_Ancona</v>
      </c>
      <c r="G8" s="846"/>
      <c r="H8" s="846"/>
      <c r="I8" s="246"/>
      <c r="Q8" s="846"/>
      <c r="R8" s="846"/>
      <c r="S8" s="846"/>
      <c r="T8" s="846"/>
    </row>
    <row r="9" spans="1:34" ht="10.15" customHeight="1">
      <c r="A9" s="903" t="str">
        <f>_xlfn.CONCAT(Q5,V15)</f>
        <v>FANALE
 AUTOALIMENTATO 
MODELLO
  CL_302</v>
      </c>
      <c r="B9" s="846"/>
      <c r="C9" s="846"/>
      <c r="D9" s="846"/>
      <c r="E9" s="245"/>
      <c r="F9" s="846"/>
      <c r="G9" s="846"/>
      <c r="H9" s="846"/>
      <c r="Q9" s="846"/>
      <c r="R9" s="846"/>
      <c r="S9" s="846"/>
      <c r="T9" s="846"/>
    </row>
    <row r="10" spans="1:34" ht="10.15" customHeight="1">
      <c r="A10" s="846"/>
      <c r="B10" s="846"/>
      <c r="C10" s="846"/>
      <c r="D10" s="846"/>
      <c r="E10" s="904" t="s">
        <v>4</v>
      </c>
      <c r="F10" s="846"/>
      <c r="G10" s="272" t="s">
        <v>5</v>
      </c>
      <c r="H10" s="273" t="str">
        <f>VLOOKUP(F8,radiazione!A12:C379,2,FALSE)</f>
        <v>43° 37' 00'' N</v>
      </c>
      <c r="I10" s="248"/>
      <c r="J10" s="248"/>
      <c r="Q10" s="846"/>
      <c r="R10" s="846"/>
      <c r="S10" s="846"/>
      <c r="T10" s="846"/>
    </row>
    <row r="11" spans="1:34" ht="10.15" customHeight="1">
      <c r="A11" s="846"/>
      <c r="B11" s="846"/>
      <c r="C11" s="846"/>
      <c r="D11" s="846"/>
      <c r="E11" s="899" t="s">
        <v>6</v>
      </c>
      <c r="F11" s="846"/>
      <c r="G11" s="274" t="s">
        <v>7</v>
      </c>
      <c r="H11" s="275" t="str">
        <f>VLOOKUP(F8,radiazione!A12:C379,3,FALSE)</f>
        <v>13° 31' 00'' E</v>
      </c>
      <c r="I11" s="248"/>
      <c r="J11" s="248"/>
      <c r="Q11" s="846"/>
      <c r="R11" s="846"/>
      <c r="S11" s="846"/>
      <c r="T11" s="846"/>
    </row>
    <row r="12" spans="1:34" ht="10.15" customHeight="1">
      <c r="A12" s="846"/>
      <c r="B12" s="846"/>
      <c r="C12" s="846"/>
      <c r="D12" s="846"/>
      <c r="E12" s="274"/>
      <c r="F12" s="274"/>
      <c r="G12" s="276"/>
      <c r="H12" s="276"/>
      <c r="I12" s="248"/>
      <c r="J12" s="248"/>
      <c r="Q12" s="846"/>
      <c r="R12" s="846"/>
      <c r="S12" s="846"/>
      <c r="T12" s="846"/>
    </row>
    <row r="13" spans="1:34" ht="10.15" customHeight="1">
      <c r="A13" s="846"/>
      <c r="B13" s="846"/>
      <c r="C13" s="846"/>
      <c r="D13" s="846"/>
      <c r="E13" s="272" t="s">
        <v>8</v>
      </c>
      <c r="F13" s="272"/>
      <c r="G13" s="272" t="s">
        <v>9</v>
      </c>
      <c r="H13" s="277">
        <v>0.74</v>
      </c>
      <c r="I13" s="248"/>
      <c r="J13" s="248"/>
      <c r="Q13" s="846"/>
      <c r="R13" s="846"/>
      <c r="S13" s="846"/>
      <c r="T13" s="846"/>
    </row>
    <row r="14" spans="1:34" ht="10.15" customHeight="1">
      <c r="A14" s="846"/>
      <c r="B14" s="846"/>
      <c r="C14" s="846"/>
      <c r="D14" s="846"/>
      <c r="E14" s="274"/>
      <c r="F14" s="274"/>
      <c r="G14" s="276"/>
      <c r="H14" s="276"/>
      <c r="I14" s="248"/>
      <c r="J14" s="248"/>
      <c r="Q14" s="846"/>
      <c r="R14" s="846"/>
      <c r="S14" s="846"/>
      <c r="T14" s="846"/>
    </row>
    <row r="15" spans="1:34" ht="10.15" customHeight="1">
      <c r="A15" s="846"/>
      <c r="B15" s="846"/>
      <c r="C15" s="846"/>
      <c r="D15" s="846"/>
      <c r="E15" s="901" t="s">
        <v>10</v>
      </c>
      <c r="F15" s="846"/>
      <c r="G15" s="846"/>
      <c r="H15" s="846"/>
      <c r="I15" s="846"/>
      <c r="J15" s="846"/>
      <c r="Q15" s="846"/>
      <c r="R15" s="846"/>
      <c r="S15" s="846"/>
      <c r="T15" s="846"/>
      <c r="V15" s="74" t="str">
        <f>'INSER. DATI'!C4</f>
        <v>CL_302</v>
      </c>
    </row>
    <row r="16" spans="1:34" ht="10.15" customHeight="1">
      <c r="A16" s="846"/>
      <c r="B16" s="846"/>
      <c r="C16" s="846"/>
      <c r="D16" s="846"/>
      <c r="E16" s="248"/>
      <c r="F16" s="278"/>
      <c r="G16" s="856"/>
      <c r="H16" s="846"/>
      <c r="I16" s="248"/>
      <c r="J16" s="248"/>
      <c r="Q16" s="846"/>
      <c r="R16" s="846"/>
      <c r="S16" s="846"/>
      <c r="T16" s="846"/>
    </row>
    <row r="17" spans="1:32" ht="10.15" customHeight="1">
      <c r="A17" s="846"/>
      <c r="B17" s="846"/>
      <c r="C17" s="846"/>
      <c r="D17" s="846"/>
      <c r="E17" s="904" t="str">
        <f>IF('INSER. DATI'!C11=100," ","Somma lampi")</f>
        <v>Somma lampi</v>
      </c>
      <c r="F17" s="846"/>
      <c r="G17" s="272" t="str">
        <f>IF('INSER. DATI'!C11=100," ","Sec")</f>
        <v>Sec</v>
      </c>
      <c r="H17" s="279">
        <f>IF('INSER. DATI'!C11=100," ",  'INSER. DATI'!C9 )</f>
        <v>0.5</v>
      </c>
      <c r="I17" s="280"/>
      <c r="J17" s="248"/>
      <c r="Q17" s="846"/>
      <c r="R17" s="846"/>
      <c r="S17" s="846"/>
      <c r="T17" s="846"/>
      <c r="Y17" s="857"/>
      <c r="Z17" s="846"/>
      <c r="AA17" s="81"/>
      <c r="AB17" s="100"/>
      <c r="AC17" s="247"/>
    </row>
    <row r="18" spans="1:32" ht="10.15" customHeight="1">
      <c r="A18" s="846"/>
      <c r="B18" s="846"/>
      <c r="C18" s="846"/>
      <c r="D18" s="846"/>
      <c r="E18" s="899" t="str">
        <f>IF('INSER. DATI'!C11=100,"FANALE ","Somma eclissi")</f>
        <v>Somma eclissi</v>
      </c>
      <c r="F18" s="846"/>
      <c r="G18" s="274" t="str">
        <f>IF('INSER. DATI'!C11=100,"LUCE ","Sec")</f>
        <v>Sec</v>
      </c>
      <c r="H18" s="280">
        <f>IF('INSER. DATI'!C11=100,"FISSA ", 'INSER. DATI'!C10)</f>
        <v>0.8</v>
      </c>
      <c r="I18" s="280"/>
      <c r="J18" s="248"/>
      <c r="Q18" s="846"/>
      <c r="R18" s="846"/>
      <c r="S18" s="846"/>
      <c r="T18" s="846"/>
      <c r="Y18" s="857"/>
      <c r="Z18" s="846"/>
      <c r="AA18" s="81"/>
      <c r="AB18" s="100"/>
      <c r="AC18" s="247"/>
    </row>
    <row r="19" spans="1:32" ht="10.15" customHeight="1">
      <c r="A19" s="846"/>
      <c r="B19" s="846"/>
      <c r="C19" s="846"/>
      <c r="D19" s="846"/>
      <c r="E19" s="894" t="str">
        <f>'INSER. DATI'!C8</f>
        <v>0,5 - 0,8 = P.  1,3 sec.</v>
      </c>
      <c r="F19" s="846"/>
      <c r="G19" s="846"/>
      <c r="H19" s="846"/>
      <c r="I19" s="281"/>
      <c r="J19" s="248"/>
    </row>
    <row r="20" spans="1:32" ht="10.15" customHeight="1">
      <c r="A20" s="846"/>
      <c r="B20" s="846"/>
      <c r="C20" s="846"/>
      <c r="D20" s="846"/>
      <c r="E20" s="902" t="str">
        <f>IF('INSER. DATI'!C11=100," ","    duty cycle  ")</f>
        <v xml:space="preserve">    duty cycle  </v>
      </c>
      <c r="F20" s="846"/>
      <c r="G20" s="282" t="str">
        <f>IF('INSER. DATI'!C11=100," ","%")</f>
        <v>%</v>
      </c>
      <c r="H20" s="283">
        <f>IF('INSER. DATI'!C11=100," ", 'INSER. DATI'!C11/100)</f>
        <v>0.38461538461538458</v>
      </c>
      <c r="I20" s="280"/>
      <c r="J20" s="248"/>
    </row>
    <row r="21" spans="1:32" ht="10.15" customHeight="1">
      <c r="A21" s="846"/>
      <c r="B21" s="846"/>
      <c r="C21" s="846"/>
      <c r="D21" s="846"/>
      <c r="E21" s="899"/>
      <c r="F21" s="846"/>
      <c r="G21" s="278"/>
      <c r="H21" s="248"/>
      <c r="I21" s="248"/>
      <c r="J21" s="248"/>
    </row>
    <row r="22" spans="1:32" ht="10.15" customHeight="1">
      <c r="A22" s="846"/>
      <c r="B22" s="846"/>
      <c r="C22" s="846"/>
      <c r="D22" s="846"/>
      <c r="E22" s="900" t="s">
        <v>180</v>
      </c>
      <c r="F22" s="846"/>
      <c r="G22" s="292"/>
      <c r="H22" s="293" t="str">
        <f>DATI!C7</f>
        <v>RossaFALSO</v>
      </c>
      <c r="I22" s="248" t="str">
        <f>DATI!C8</f>
        <v xml:space="preserve"> </v>
      </c>
      <c r="J22" s="248"/>
      <c r="AF22" s="74" t="e">
        <f>'INSER. DATI'!#REF!</f>
        <v>#REF!</v>
      </c>
    </row>
    <row r="23" spans="1:32" ht="10.15" customHeight="1">
      <c r="E23" s="899"/>
      <c r="F23" s="846"/>
      <c r="G23" s="278"/>
      <c r="H23" s="276"/>
      <c r="I23" s="248"/>
      <c r="J23" s="248"/>
    </row>
    <row r="24" spans="1:32" ht="10.15" customHeight="1">
      <c r="A24" s="866" t="str">
        <f>IF('INSER. DATI'!C16="non compreso","CON  FLASHER  CR F01","CON FLASHER CRF 02_Sync")</f>
        <v>CON  FLASHER  CR F01</v>
      </c>
      <c r="B24" s="846"/>
      <c r="C24" s="846"/>
      <c r="D24" s="846"/>
      <c r="E24" s="904" t="s">
        <v>181</v>
      </c>
      <c r="F24" s="846"/>
      <c r="G24" s="272" t="s">
        <v>182</v>
      </c>
      <c r="H24" s="284">
        <f>'INSER. DATI'!C12</f>
        <v>3</v>
      </c>
      <c r="I24" s="248"/>
      <c r="J24" s="248"/>
    </row>
    <row r="25" spans="1:32" ht="10.15" customHeight="1">
      <c r="E25" s="248" t="s">
        <v>183</v>
      </c>
      <c r="F25" s="248"/>
      <c r="G25" s="248" t="s">
        <v>184</v>
      </c>
      <c r="H25" s="285">
        <f>'INSER. DATI'!C13</f>
        <v>0</v>
      </c>
      <c r="I25" s="286"/>
      <c r="J25" s="248"/>
    </row>
    <row r="26" spans="1:32" ht="10.15" customHeight="1">
      <c r="E26" s="287" t="s">
        <v>44</v>
      </c>
      <c r="F26" s="287"/>
      <c r="G26" s="287" t="s">
        <v>185</v>
      </c>
      <c r="H26" s="288" t="str">
        <f>'INSER. DATI'!C16</f>
        <v>NON COMPRESO</v>
      </c>
      <c r="I26" s="248"/>
      <c r="J26" s="248"/>
    </row>
    <row r="27" spans="1:32" ht="18.75" hidden="1" customHeight="1">
      <c r="A27" s="249"/>
      <c r="B27" s="250"/>
      <c r="C27" s="251"/>
      <c r="D27" s="251"/>
      <c r="E27" s="251"/>
      <c r="F27" s="250"/>
      <c r="G27" s="252"/>
      <c r="H27" s="253"/>
      <c r="I27" s="249"/>
      <c r="J27" s="249"/>
    </row>
    <row r="28" spans="1:32" ht="12" customHeight="1">
      <c r="A28" s="249"/>
      <c r="B28" s="250"/>
      <c r="C28" s="251"/>
      <c r="D28" s="251"/>
      <c r="E28" s="897" t="s">
        <v>48</v>
      </c>
      <c r="F28" s="846"/>
      <c r="G28" s="251" t="s">
        <v>185</v>
      </c>
      <c r="H28" s="253" t="str">
        <f>'INSER. DATI'!C17</f>
        <v>NON COMPRESO</v>
      </c>
      <c r="I28" s="249"/>
      <c r="J28" s="249"/>
    </row>
    <row r="29" spans="1:32" ht="18.75" customHeight="1">
      <c r="A29" s="249"/>
      <c r="B29" s="250"/>
      <c r="C29" s="871" t="s">
        <v>186</v>
      </c>
      <c r="D29" s="846"/>
      <c r="E29" s="846"/>
      <c r="F29" s="846"/>
      <c r="G29" s="846"/>
      <c r="H29" s="846"/>
      <c r="I29" s="846"/>
      <c r="J29" s="249"/>
    </row>
    <row r="30" spans="1:32" ht="11.25" customHeight="1">
      <c r="A30" s="249"/>
      <c r="B30" s="248"/>
      <c r="C30" s="248"/>
      <c r="D30" s="248"/>
      <c r="E30" s="248"/>
      <c r="F30" s="248"/>
      <c r="G30" s="249"/>
      <c r="H30" s="249"/>
      <c r="I30" s="249"/>
      <c r="J30" s="249"/>
    </row>
    <row r="31" spans="1:32" ht="10.9" customHeight="1">
      <c r="A31" s="249"/>
      <c r="B31" s="276" t="s">
        <v>49</v>
      </c>
      <c r="C31" s="248"/>
      <c r="D31" s="248"/>
      <c r="E31" s="248"/>
      <c r="F31" s="248"/>
      <c r="G31" s="248"/>
      <c r="H31" s="248"/>
      <c r="I31" s="249"/>
      <c r="J31" s="249"/>
    </row>
    <row r="32" spans="1:32" ht="10.9" customHeight="1">
      <c r="A32" s="249"/>
      <c r="B32" s="287" t="s">
        <v>50</v>
      </c>
      <c r="C32" s="287"/>
      <c r="D32" s="287"/>
      <c r="E32" s="287"/>
      <c r="F32" s="287"/>
      <c r="G32" s="272" t="s">
        <v>51</v>
      </c>
      <c r="H32" s="284" t="e">
        <f>'x inserimento dati fissi'!AD9</f>
        <v>#N/A</v>
      </c>
      <c r="I32" s="252"/>
      <c r="J32" s="249"/>
    </row>
    <row r="33" spans="1:30" ht="10.9" customHeight="1">
      <c r="A33" s="249"/>
      <c r="B33" s="248" t="s">
        <v>52</v>
      </c>
      <c r="C33" s="248"/>
      <c r="D33" s="248"/>
      <c r="E33" s="248"/>
      <c r="F33" s="248"/>
      <c r="G33" s="274" t="s">
        <v>53</v>
      </c>
      <c r="H33" s="289" t="e">
        <f>'x inserimento dati fissi'!AD4</f>
        <v>#N/A</v>
      </c>
      <c r="I33" s="252"/>
      <c r="J33" s="249"/>
    </row>
    <row r="34" spans="1:30" ht="10.9" customHeight="1">
      <c r="A34" s="249"/>
      <c r="B34" s="287" t="s">
        <v>54</v>
      </c>
      <c r="C34" s="287"/>
      <c r="D34" s="287"/>
      <c r="E34" s="287"/>
      <c r="F34" s="287"/>
      <c r="G34" s="287" t="s">
        <v>55</v>
      </c>
      <c r="H34" s="284">
        <f>IF('INSER. DATI'!C4="CL_101",1,IF('INSER. DATI'!C4="CL_201",1,4))</f>
        <v>4</v>
      </c>
      <c r="I34" s="252"/>
      <c r="J34" s="249"/>
    </row>
    <row r="35" spans="1:30" ht="10.9" customHeight="1">
      <c r="A35" s="249"/>
      <c r="B35" s="248"/>
      <c r="C35" s="248"/>
      <c r="D35" s="248"/>
      <c r="E35" s="248"/>
      <c r="F35" s="248"/>
      <c r="G35" s="274"/>
      <c r="H35" s="274"/>
      <c r="I35" s="252"/>
      <c r="J35" s="249"/>
    </row>
    <row r="36" spans="1:30" ht="10.9" customHeight="1">
      <c r="A36" s="249"/>
      <c r="B36" s="276" t="s">
        <v>56</v>
      </c>
      <c r="C36" s="248"/>
      <c r="D36" s="248"/>
      <c r="E36" s="248"/>
      <c r="F36" s="248"/>
      <c r="G36" s="274"/>
      <c r="H36" s="274"/>
      <c r="I36" s="252"/>
      <c r="J36" s="249"/>
    </row>
    <row r="37" spans="1:30" ht="10.9" customHeight="1">
      <c r="A37" s="249"/>
      <c r="B37" s="287" t="s">
        <v>57</v>
      </c>
      <c r="C37" s="287"/>
      <c r="D37" s="287"/>
      <c r="E37" s="287"/>
      <c r="F37" s="287"/>
      <c r="G37" s="272" t="s">
        <v>51</v>
      </c>
      <c r="H37" s="284" t="e">
        <f>'x inserimento dati fissi'!AD9</f>
        <v>#N/A</v>
      </c>
      <c r="I37" s="252"/>
      <c r="J37" s="249"/>
    </row>
    <row r="38" spans="1:30" ht="10.9" customHeight="1">
      <c r="A38" s="249"/>
      <c r="B38" s="248" t="s">
        <v>58</v>
      </c>
      <c r="C38" s="248"/>
      <c r="D38" s="248"/>
      <c r="E38" s="248"/>
      <c r="F38" s="248"/>
      <c r="G38" s="274" t="s">
        <v>53</v>
      </c>
      <c r="H38" s="290">
        <f>'INSER. DATI'!C15</f>
        <v>0</v>
      </c>
      <c r="I38" s="252"/>
      <c r="J38" s="249"/>
      <c r="L38" s="74">
        <f>H38*H39</f>
        <v>0</v>
      </c>
    </row>
    <row r="39" spans="1:30" ht="10.9" customHeight="1">
      <c r="A39" s="249"/>
      <c r="B39" s="287" t="s">
        <v>59</v>
      </c>
      <c r="C39" s="287"/>
      <c r="D39" s="287"/>
      <c r="E39" s="287"/>
      <c r="F39" s="287"/>
      <c r="G39" s="287" t="s">
        <v>55</v>
      </c>
      <c r="H39" s="291">
        <f>'INSER. DATI'!C14</f>
        <v>1</v>
      </c>
      <c r="I39" s="252"/>
      <c r="J39" s="249"/>
    </row>
    <row r="40" spans="1:30" ht="12" customHeight="1">
      <c r="A40" s="249"/>
      <c r="B40" s="249"/>
      <c r="C40" s="249"/>
      <c r="D40" s="249"/>
      <c r="E40" s="249"/>
      <c r="F40" s="249"/>
      <c r="G40" s="249"/>
      <c r="H40" s="249"/>
      <c r="I40" s="252"/>
      <c r="J40" s="249"/>
    </row>
    <row r="41" spans="1:30" s="249" customFormat="1" ht="12" customHeight="1">
      <c r="B41" s="249" t="str">
        <f>IF('INSER. DATI'!C4="CL_101","Pannello montato orizzontalmente in testa al fanale",IF('INSER. DATI'!C4="CL_201",  "  Pannello montato orizzontalmente in testa al fanale","I PANNELLI VERRANNO MONTATI SUI 4 LATI DEL FANALE"    ))</f>
        <v>I PANNELLI VERRANNO MONTATI SUI 4 LATI DEL FANALE</v>
      </c>
    </row>
    <row r="42" spans="1:30" ht="13.5" customHeight="1">
      <c r="B42" s="249" t="s">
        <v>60</v>
      </c>
      <c r="D42" s="239"/>
      <c r="E42" s="239"/>
      <c r="F42" s="239"/>
      <c r="G42" s="239"/>
      <c r="H42" s="239"/>
      <c r="I42" s="239"/>
      <c r="J42" s="239"/>
    </row>
    <row r="43" spans="1:30" ht="6" customHeight="1">
      <c r="B43" s="239"/>
      <c r="C43" s="239"/>
      <c r="D43" s="239"/>
      <c r="E43" s="239"/>
      <c r="F43" s="239"/>
      <c r="G43" s="239"/>
      <c r="H43" s="239"/>
      <c r="I43" s="239"/>
      <c r="J43" s="239"/>
    </row>
    <row r="44" spans="1:30" ht="9.9499999999999993" customHeight="1">
      <c r="A44" s="256"/>
      <c r="B44" s="256"/>
      <c r="C44" s="256"/>
      <c r="D44" s="257" t="s">
        <v>53</v>
      </c>
      <c r="E44" s="849" t="s">
        <v>61</v>
      </c>
      <c r="F44" s="846"/>
      <c r="G44" s="849" t="s">
        <v>21</v>
      </c>
      <c r="H44" s="846"/>
      <c r="I44" s="862" t="s">
        <v>62</v>
      </c>
      <c r="J44" s="846"/>
      <c r="K44" s="258" t="s">
        <v>63</v>
      </c>
      <c r="L44" s="258" t="s">
        <v>64</v>
      </c>
      <c r="M44" s="258"/>
      <c r="AA44" s="248" t="s">
        <v>65</v>
      </c>
      <c r="AB44" s="248" t="s">
        <v>66</v>
      </c>
      <c r="AC44" s="248" t="s">
        <v>67</v>
      </c>
      <c r="AD44" s="248" t="s">
        <v>68</v>
      </c>
    </row>
    <row r="45" spans="1:30" ht="9.9499999999999993" customHeight="1">
      <c r="A45" s="256"/>
      <c r="B45" s="259" t="s">
        <v>69</v>
      </c>
      <c r="C45" s="259"/>
      <c r="D45" s="260" t="e">
        <f>'INSER. DATI'!#REF!</f>
        <v>#REF!</v>
      </c>
      <c r="E45" s="848" t="e">
        <f>DATI!H4</f>
        <v>#N/A</v>
      </c>
      <c r="F45" s="846"/>
      <c r="G45" s="851" t="e">
        <f>DATI!Q4</f>
        <v>#N/A</v>
      </c>
      <c r="H45" s="846"/>
      <c r="I45" s="261" t="e">
        <f>100/'x inserimento dati fissi'!$AD$3*(M45)/100</f>
        <v>#DIV/0!</v>
      </c>
      <c r="J45" s="262"/>
      <c r="K45" s="258" t="e">
        <f t="shared" ref="K45:K56" si="0">G45-E45</f>
        <v>#N/A</v>
      </c>
      <c r="L45" s="258" t="e">
        <f>M56-K45</f>
        <v>#N/A</v>
      </c>
      <c r="M45" s="258" t="e">
        <f>IF(L45&gt;$L$38,'x inserimento dati fissi'!$AD$3,L45)</f>
        <v>#N/A</v>
      </c>
      <c r="O45" s="237" t="e">
        <f>12+E45-G45</f>
        <v>#N/A</v>
      </c>
      <c r="Z45" s="260" t="str">
        <f t="shared" ref="Z45:Z56" si="1">B45</f>
        <v>Gennaio</v>
      </c>
      <c r="AA45" s="260">
        <f>'INSER. DATI'!C15</f>
        <v>0</v>
      </c>
      <c r="AB45" s="260" t="e">
        <f t="shared" ref="AB45:AB56" si="2">E45</f>
        <v>#N/A</v>
      </c>
      <c r="AC45" s="260" t="e">
        <f t="shared" ref="AC45:AC56" si="3">G45</f>
        <v>#N/A</v>
      </c>
      <c r="AD45" s="260" t="e">
        <f t="shared" ref="AD45:AD56" si="4">AB45-AC45</f>
        <v>#N/A</v>
      </c>
    </row>
    <row r="46" spans="1:30" ht="9.9499999999999993" customHeight="1">
      <c r="A46" s="256"/>
      <c r="B46" s="256" t="s">
        <v>70</v>
      </c>
      <c r="C46" s="256"/>
      <c r="D46" s="263" t="e">
        <f>'INSER. DATI'!#REF!</f>
        <v>#REF!</v>
      </c>
      <c r="E46" s="852" t="e">
        <f>DATI!H5</f>
        <v>#N/A</v>
      </c>
      <c r="F46" s="846"/>
      <c r="G46" s="858" t="e">
        <f>DATI!Q5</f>
        <v>#N/A</v>
      </c>
      <c r="H46" s="846"/>
      <c r="I46" s="264" t="e">
        <f>100/'x inserimento dati fissi'!$AD$3*(M46)/100</f>
        <v>#DIV/0!</v>
      </c>
      <c r="J46" s="264"/>
      <c r="K46" s="258" t="e">
        <f t="shared" si="0"/>
        <v>#N/A</v>
      </c>
      <c r="L46" s="258" t="e">
        <f>M45-K46</f>
        <v>#N/A</v>
      </c>
      <c r="M46" s="258" t="e">
        <f>IF(L46&gt;$L$38,'x inserimento dati fissi'!$AD$3,L46)</f>
        <v>#N/A</v>
      </c>
      <c r="O46" s="237" t="e">
        <f>O45+E46-G46</f>
        <v>#N/A</v>
      </c>
      <c r="Z46" s="263" t="str">
        <f t="shared" si="1"/>
        <v>Febbraio</v>
      </c>
      <c r="AA46" s="263">
        <f t="shared" ref="AA46:AA56" si="5">AA45</f>
        <v>0</v>
      </c>
      <c r="AB46" s="263" t="e">
        <f t="shared" si="2"/>
        <v>#N/A</v>
      </c>
      <c r="AC46" s="263" t="e">
        <f t="shared" si="3"/>
        <v>#N/A</v>
      </c>
      <c r="AD46" s="263" t="e">
        <f t="shared" si="4"/>
        <v>#N/A</v>
      </c>
    </row>
    <row r="47" spans="1:30" ht="9.9499999999999993" customHeight="1">
      <c r="A47" s="256"/>
      <c r="B47" s="259" t="s">
        <v>71</v>
      </c>
      <c r="C47" s="259"/>
      <c r="D47" s="260" t="e">
        <f>'INSER. DATI'!#REF!</f>
        <v>#REF!</v>
      </c>
      <c r="E47" s="848" t="e">
        <f>DATI!H6</f>
        <v>#N/A</v>
      </c>
      <c r="F47" s="846"/>
      <c r="G47" s="851" t="e">
        <f>DATI!Q6</f>
        <v>#N/A</v>
      </c>
      <c r="H47" s="846"/>
      <c r="I47" s="261" t="e">
        <f>100/'x inserimento dati fissi'!$AD$3*(M47)/100</f>
        <v>#DIV/0!</v>
      </c>
      <c r="J47" s="265"/>
      <c r="K47" s="258" t="e">
        <f t="shared" si="0"/>
        <v>#N/A</v>
      </c>
      <c r="L47" s="258" t="e">
        <f>M46-K47</f>
        <v>#N/A</v>
      </c>
      <c r="M47" s="258" t="e">
        <f>IF(L47&gt;$L$38,'x inserimento dati fissi'!$AD$3,L47)</f>
        <v>#N/A</v>
      </c>
      <c r="Z47" s="260" t="str">
        <f t="shared" si="1"/>
        <v>Marzo</v>
      </c>
      <c r="AA47" s="260">
        <f t="shared" si="5"/>
        <v>0</v>
      </c>
      <c r="AB47" s="260" t="e">
        <f t="shared" si="2"/>
        <v>#N/A</v>
      </c>
      <c r="AC47" s="260" t="e">
        <f t="shared" si="3"/>
        <v>#N/A</v>
      </c>
      <c r="AD47" s="260" t="e">
        <f t="shared" si="4"/>
        <v>#N/A</v>
      </c>
    </row>
    <row r="48" spans="1:30" ht="9.9499999999999993" customHeight="1">
      <c r="A48" s="256"/>
      <c r="B48" s="256" t="s">
        <v>72</v>
      </c>
      <c r="C48" s="256"/>
      <c r="D48" s="263" t="e">
        <f>'INSER. DATI'!#REF!</f>
        <v>#REF!</v>
      </c>
      <c r="E48" s="852" t="e">
        <f>DATI!H7</f>
        <v>#N/A</v>
      </c>
      <c r="F48" s="846"/>
      <c r="G48" s="858" t="e">
        <f>DATI!Q7</f>
        <v>#N/A</v>
      </c>
      <c r="H48" s="846"/>
      <c r="I48" s="264" t="e">
        <f>100/'x inserimento dati fissi'!$AD$3*(M48)/100</f>
        <v>#DIV/0!</v>
      </c>
      <c r="J48" s="264"/>
      <c r="K48" s="258" t="e">
        <f t="shared" si="0"/>
        <v>#N/A</v>
      </c>
      <c r="L48" s="258" t="e">
        <f>M47-K48</f>
        <v>#N/A</v>
      </c>
      <c r="M48" s="258" t="e">
        <f>IF(L48&gt;$L$38,'x inserimento dati fissi'!$AD$3,L48)</f>
        <v>#N/A</v>
      </c>
      <c r="Z48" s="263" t="str">
        <f t="shared" si="1"/>
        <v>Aprile</v>
      </c>
      <c r="AA48" s="263">
        <f t="shared" si="5"/>
        <v>0</v>
      </c>
      <c r="AB48" s="263" t="e">
        <f t="shared" si="2"/>
        <v>#N/A</v>
      </c>
      <c r="AC48" s="263" t="e">
        <f t="shared" si="3"/>
        <v>#N/A</v>
      </c>
      <c r="AD48" s="263" t="e">
        <f t="shared" si="4"/>
        <v>#N/A</v>
      </c>
    </row>
    <row r="49" spans="1:30" ht="9.9499999999999993" customHeight="1">
      <c r="A49" s="256"/>
      <c r="B49" s="259" t="s">
        <v>73</v>
      </c>
      <c r="C49" s="259"/>
      <c r="D49" s="260" t="e">
        <f>'INSER. DATI'!#REF!</f>
        <v>#REF!</v>
      </c>
      <c r="E49" s="848" t="e">
        <f>DATI!H8</f>
        <v>#N/A</v>
      </c>
      <c r="F49" s="846"/>
      <c r="G49" s="851" t="e">
        <f>DATI!Q8</f>
        <v>#N/A</v>
      </c>
      <c r="H49" s="846"/>
      <c r="I49" s="261" t="e">
        <f>100/'x inserimento dati fissi'!$AD$3*(M49)/100</f>
        <v>#DIV/0!</v>
      </c>
      <c r="J49" s="265"/>
      <c r="K49" s="258" t="e">
        <f t="shared" si="0"/>
        <v>#N/A</v>
      </c>
      <c r="L49" s="258" t="e">
        <f>M48-K49</f>
        <v>#N/A</v>
      </c>
      <c r="M49" s="258" t="e">
        <f>IF(L49&gt;$L$38,'x inserimento dati fissi'!$AD$3,L49)</f>
        <v>#N/A</v>
      </c>
      <c r="Z49" s="260" t="str">
        <f t="shared" si="1"/>
        <v>Maggio</v>
      </c>
      <c r="AA49" s="260">
        <f t="shared" si="5"/>
        <v>0</v>
      </c>
      <c r="AB49" s="260" t="e">
        <f t="shared" si="2"/>
        <v>#N/A</v>
      </c>
      <c r="AC49" s="260" t="e">
        <f t="shared" si="3"/>
        <v>#N/A</v>
      </c>
      <c r="AD49" s="260" t="e">
        <f t="shared" si="4"/>
        <v>#N/A</v>
      </c>
    </row>
    <row r="50" spans="1:30" ht="9.9499999999999993" customHeight="1">
      <c r="A50" s="256"/>
      <c r="B50" s="256" t="s">
        <v>74</v>
      </c>
      <c r="C50" s="256"/>
      <c r="D50" s="263" t="e">
        <f>'INSER. DATI'!#REF!</f>
        <v>#REF!</v>
      </c>
      <c r="E50" s="852" t="e">
        <f>DATI!H9</f>
        <v>#N/A</v>
      </c>
      <c r="F50" s="846"/>
      <c r="G50" s="858" t="e">
        <f>DATI!Q9</f>
        <v>#N/A</v>
      </c>
      <c r="H50" s="846"/>
      <c r="I50" s="264" t="e">
        <f>100/'x inserimento dati fissi'!$AD$3*(M50)/100</f>
        <v>#DIV/0!</v>
      </c>
      <c r="J50" s="264"/>
      <c r="K50" s="266" t="e">
        <f t="shared" si="0"/>
        <v>#N/A</v>
      </c>
      <c r="L50" s="266" t="e">
        <f>H38*H39-K50</f>
        <v>#N/A</v>
      </c>
      <c r="M50" s="258" t="e">
        <f>IF(L50&gt;$L$38,'x inserimento dati fissi'!$AD$3,L50)</f>
        <v>#N/A</v>
      </c>
      <c r="N50" s="267"/>
      <c r="Z50" s="263" t="str">
        <f t="shared" si="1"/>
        <v>Giugno</v>
      </c>
      <c r="AA50" s="263">
        <f t="shared" si="5"/>
        <v>0</v>
      </c>
      <c r="AB50" s="263" t="e">
        <f t="shared" si="2"/>
        <v>#N/A</v>
      </c>
      <c r="AC50" s="263" t="e">
        <f t="shared" si="3"/>
        <v>#N/A</v>
      </c>
      <c r="AD50" s="263" t="e">
        <f t="shared" si="4"/>
        <v>#N/A</v>
      </c>
    </row>
    <row r="51" spans="1:30" ht="9.9499999999999993" customHeight="1">
      <c r="A51" s="256"/>
      <c r="B51" s="259" t="s">
        <v>75</v>
      </c>
      <c r="C51" s="259"/>
      <c r="D51" s="260" t="e">
        <f>'INSER. DATI'!#REF!</f>
        <v>#REF!</v>
      </c>
      <c r="E51" s="848" t="e">
        <f>DATI!H10</f>
        <v>#N/A</v>
      </c>
      <c r="F51" s="846"/>
      <c r="G51" s="851" t="e">
        <f>DATI!Q10</f>
        <v>#N/A</v>
      </c>
      <c r="H51" s="846"/>
      <c r="I51" s="261" t="e">
        <f>100/'x inserimento dati fissi'!$AD$3*(M51)/100</f>
        <v>#DIV/0!</v>
      </c>
      <c r="J51" s="265"/>
      <c r="K51" s="258" t="e">
        <f t="shared" si="0"/>
        <v>#N/A</v>
      </c>
      <c r="L51" s="258" t="e">
        <f t="shared" ref="L51:L56" si="6">M50-K51</f>
        <v>#N/A</v>
      </c>
      <c r="M51" s="258" t="e">
        <f>IF(L51&gt;$L$38,'x inserimento dati fissi'!$AD$3,L51)</f>
        <v>#N/A</v>
      </c>
      <c r="Z51" s="260" t="str">
        <f t="shared" si="1"/>
        <v>Luglio</v>
      </c>
      <c r="AA51" s="260">
        <f t="shared" si="5"/>
        <v>0</v>
      </c>
      <c r="AB51" s="260" t="e">
        <f t="shared" si="2"/>
        <v>#N/A</v>
      </c>
      <c r="AC51" s="260" t="e">
        <f t="shared" si="3"/>
        <v>#N/A</v>
      </c>
      <c r="AD51" s="260" t="e">
        <f t="shared" si="4"/>
        <v>#N/A</v>
      </c>
    </row>
    <row r="52" spans="1:30" ht="9.9499999999999993" customHeight="1">
      <c r="A52" s="256"/>
      <c r="B52" s="256" t="s">
        <v>76</v>
      </c>
      <c r="C52" s="256"/>
      <c r="D52" s="263" t="e">
        <f>'INSER. DATI'!#REF!</f>
        <v>#REF!</v>
      </c>
      <c r="E52" s="852" t="e">
        <f>DATI!H11</f>
        <v>#N/A</v>
      </c>
      <c r="F52" s="846"/>
      <c r="G52" s="858" t="e">
        <f>DATI!Q11</f>
        <v>#N/A</v>
      </c>
      <c r="H52" s="846"/>
      <c r="I52" s="264" t="e">
        <f>100/'x inserimento dati fissi'!$AD$3*(M52)/100</f>
        <v>#DIV/0!</v>
      </c>
      <c r="J52" s="264"/>
      <c r="K52" s="258" t="e">
        <f t="shared" si="0"/>
        <v>#N/A</v>
      </c>
      <c r="L52" s="258" t="e">
        <f t="shared" si="6"/>
        <v>#N/A</v>
      </c>
      <c r="M52" s="258" t="e">
        <f>IF(L52&gt;$L$38,'x inserimento dati fissi'!$AD$3,L52)</f>
        <v>#N/A</v>
      </c>
      <c r="Z52" s="263" t="str">
        <f t="shared" si="1"/>
        <v>Agosto</v>
      </c>
      <c r="AA52" s="263">
        <f t="shared" si="5"/>
        <v>0</v>
      </c>
      <c r="AB52" s="263" t="e">
        <f t="shared" si="2"/>
        <v>#N/A</v>
      </c>
      <c r="AC52" s="263" t="e">
        <f t="shared" si="3"/>
        <v>#N/A</v>
      </c>
      <c r="AD52" s="263" t="e">
        <f t="shared" si="4"/>
        <v>#N/A</v>
      </c>
    </row>
    <row r="53" spans="1:30" ht="9.9499999999999993" customHeight="1">
      <c r="A53" s="256"/>
      <c r="B53" s="259" t="s">
        <v>77</v>
      </c>
      <c r="C53" s="259"/>
      <c r="D53" s="260" t="e">
        <f>'INSER. DATI'!#REF!</f>
        <v>#REF!</v>
      </c>
      <c r="E53" s="848" t="e">
        <f>DATI!H12</f>
        <v>#N/A</v>
      </c>
      <c r="F53" s="846"/>
      <c r="G53" s="851" t="e">
        <f>DATI!Q12</f>
        <v>#N/A</v>
      </c>
      <c r="H53" s="846"/>
      <c r="I53" s="261" t="e">
        <f>100/'x inserimento dati fissi'!$AD$3*(M53)/100</f>
        <v>#DIV/0!</v>
      </c>
      <c r="J53" s="265"/>
      <c r="K53" s="258" t="e">
        <f t="shared" si="0"/>
        <v>#N/A</v>
      </c>
      <c r="L53" s="258" t="e">
        <f t="shared" si="6"/>
        <v>#N/A</v>
      </c>
      <c r="M53" s="258" t="e">
        <f>IF(L53&gt;$L$38,'x inserimento dati fissi'!$AD$3,L53)</f>
        <v>#N/A</v>
      </c>
      <c r="Z53" s="260" t="str">
        <f t="shared" si="1"/>
        <v>Settembre</v>
      </c>
      <c r="AA53" s="260">
        <f t="shared" si="5"/>
        <v>0</v>
      </c>
      <c r="AB53" s="260" t="e">
        <f t="shared" si="2"/>
        <v>#N/A</v>
      </c>
      <c r="AC53" s="260" t="e">
        <f t="shared" si="3"/>
        <v>#N/A</v>
      </c>
      <c r="AD53" s="260" t="e">
        <f t="shared" si="4"/>
        <v>#N/A</v>
      </c>
    </row>
    <row r="54" spans="1:30" ht="9.9499999999999993" customHeight="1">
      <c r="A54" s="256"/>
      <c r="B54" s="256" t="s">
        <v>78</v>
      </c>
      <c r="C54" s="256"/>
      <c r="D54" s="263" t="e">
        <f>'INSER. DATI'!#REF!</f>
        <v>#REF!</v>
      </c>
      <c r="E54" s="852" t="e">
        <f>DATI!H13</f>
        <v>#N/A</v>
      </c>
      <c r="F54" s="846"/>
      <c r="G54" s="858" t="e">
        <f>DATI!Q13</f>
        <v>#N/A</v>
      </c>
      <c r="H54" s="846"/>
      <c r="I54" s="264" t="e">
        <f>100/'x inserimento dati fissi'!$AD$3*(M54)/100</f>
        <v>#DIV/0!</v>
      </c>
      <c r="J54" s="264"/>
      <c r="K54" s="258" t="e">
        <f t="shared" si="0"/>
        <v>#N/A</v>
      </c>
      <c r="L54" s="258" t="e">
        <f t="shared" si="6"/>
        <v>#N/A</v>
      </c>
      <c r="M54" s="258" t="e">
        <f>IF(L54&gt;$L$38,'x inserimento dati fissi'!$AD$3,L54)</f>
        <v>#N/A</v>
      </c>
      <c r="Z54" s="263" t="str">
        <f t="shared" si="1"/>
        <v>Ottobre</v>
      </c>
      <c r="AA54" s="263">
        <f t="shared" si="5"/>
        <v>0</v>
      </c>
      <c r="AB54" s="263" t="e">
        <f t="shared" si="2"/>
        <v>#N/A</v>
      </c>
      <c r="AC54" s="263" t="e">
        <f t="shared" si="3"/>
        <v>#N/A</v>
      </c>
      <c r="AD54" s="263" t="e">
        <f t="shared" si="4"/>
        <v>#N/A</v>
      </c>
    </row>
    <row r="55" spans="1:30" ht="9.9499999999999993" customHeight="1">
      <c r="A55" s="256"/>
      <c r="B55" s="259" t="s">
        <v>79</v>
      </c>
      <c r="C55" s="259"/>
      <c r="D55" s="260" t="e">
        <f>'INSER. DATI'!#REF!</f>
        <v>#REF!</v>
      </c>
      <c r="E55" s="848" t="e">
        <f>DATI!H14</f>
        <v>#N/A</v>
      </c>
      <c r="F55" s="846"/>
      <c r="G55" s="851" t="e">
        <f>DATI!Q14</f>
        <v>#N/A</v>
      </c>
      <c r="H55" s="846"/>
      <c r="I55" s="261" t="e">
        <f>100/'x inserimento dati fissi'!$AD$3*(M55)/100</f>
        <v>#DIV/0!</v>
      </c>
      <c r="J55" s="265"/>
      <c r="K55" s="258" t="e">
        <f t="shared" si="0"/>
        <v>#N/A</v>
      </c>
      <c r="L55" s="258" t="e">
        <f t="shared" si="6"/>
        <v>#N/A</v>
      </c>
      <c r="M55" s="258" t="e">
        <f>IF(L55&gt;$L$38,'x inserimento dati fissi'!$AD$3,L55)</f>
        <v>#N/A</v>
      </c>
      <c r="Z55" s="260" t="str">
        <f t="shared" si="1"/>
        <v>Novembre</v>
      </c>
      <c r="AA55" s="260">
        <f t="shared" si="5"/>
        <v>0</v>
      </c>
      <c r="AB55" s="260" t="e">
        <f t="shared" si="2"/>
        <v>#N/A</v>
      </c>
      <c r="AC55" s="260" t="e">
        <f t="shared" si="3"/>
        <v>#N/A</v>
      </c>
      <c r="AD55" s="260" t="e">
        <f t="shared" si="4"/>
        <v>#N/A</v>
      </c>
    </row>
    <row r="56" spans="1:30" ht="9.9499999999999993" customHeight="1">
      <c r="A56" s="256"/>
      <c r="B56" s="256" t="s">
        <v>80</v>
      </c>
      <c r="C56" s="256"/>
      <c r="D56" s="263" t="e">
        <f>'INSER. DATI'!#REF!</f>
        <v>#REF!</v>
      </c>
      <c r="E56" s="852" t="e">
        <f>DATI!H15</f>
        <v>#N/A</v>
      </c>
      <c r="F56" s="846"/>
      <c r="G56" s="858" t="e">
        <f>DATI!Q15</f>
        <v>#N/A</v>
      </c>
      <c r="H56" s="846"/>
      <c r="I56" s="264" t="e">
        <f>100/'x inserimento dati fissi'!$AD$3*(M56)/100</f>
        <v>#DIV/0!</v>
      </c>
      <c r="J56" s="264"/>
      <c r="K56" s="258" t="e">
        <f t="shared" si="0"/>
        <v>#N/A</v>
      </c>
      <c r="L56" s="258" t="e">
        <f t="shared" si="6"/>
        <v>#N/A</v>
      </c>
      <c r="M56" s="258" t="e">
        <f>IF(L56&gt;$L$38,'x inserimento dati fissi'!$AD$3,L56)</f>
        <v>#N/A</v>
      </c>
      <c r="Z56" s="263" t="str">
        <f t="shared" si="1"/>
        <v>Dicembre</v>
      </c>
      <c r="AA56" s="263">
        <f t="shared" si="5"/>
        <v>0</v>
      </c>
      <c r="AB56" s="263" t="e">
        <f t="shared" si="2"/>
        <v>#N/A</v>
      </c>
      <c r="AC56" s="263" t="e">
        <f t="shared" si="3"/>
        <v>#N/A</v>
      </c>
      <c r="AD56" s="263" t="e">
        <f t="shared" si="4"/>
        <v>#N/A</v>
      </c>
    </row>
    <row r="57" spans="1:30" ht="6.75" customHeight="1">
      <c r="A57" s="249"/>
      <c r="B57" s="249"/>
      <c r="C57" s="249"/>
      <c r="D57" s="249"/>
      <c r="E57" s="249"/>
      <c r="F57" s="249"/>
      <c r="G57" s="249"/>
      <c r="H57" s="249"/>
      <c r="I57" s="249">
        <v>0</v>
      </c>
      <c r="J57" s="249"/>
    </row>
    <row r="58" spans="1:30" ht="12" hidden="1" customHeight="1">
      <c r="A58" s="249"/>
      <c r="B58" s="255" t="s">
        <v>81</v>
      </c>
      <c r="C58" s="254" t="e">
        <f>'INSER. DATI'!#REF!</f>
        <v>#REF!</v>
      </c>
      <c r="D58" s="254"/>
      <c r="E58" s="254"/>
      <c r="F58" s="254"/>
      <c r="G58" s="249"/>
      <c r="H58" s="249"/>
      <c r="I58" s="249"/>
      <c r="J58" s="249"/>
    </row>
    <row r="59" spans="1:30" ht="12" customHeight="1">
      <c r="A59" s="249"/>
      <c r="B59" s="251" t="s">
        <v>82</v>
      </c>
      <c r="C59" s="249" t="s">
        <v>83</v>
      </c>
      <c r="D59" s="249"/>
      <c r="E59" s="249"/>
      <c r="F59" s="249"/>
      <c r="G59" s="249"/>
      <c r="H59" s="249"/>
      <c r="I59" s="249"/>
      <c r="J59" s="249"/>
    </row>
    <row r="60" spans="1:30" ht="12" customHeight="1">
      <c r="A60" s="249"/>
      <c r="B60" s="255" t="s">
        <v>84</v>
      </c>
      <c r="C60" s="254" t="s">
        <v>85</v>
      </c>
      <c r="D60" s="254"/>
      <c r="E60" s="254"/>
      <c r="F60" s="254"/>
      <c r="G60" s="249"/>
      <c r="H60" s="249"/>
      <c r="I60" s="249"/>
      <c r="J60" s="249"/>
    </row>
    <row r="61" spans="1:30" ht="12" customHeight="1">
      <c r="A61" s="249"/>
      <c r="B61" s="251" t="s">
        <v>86</v>
      </c>
      <c r="C61" s="249" t="s">
        <v>87</v>
      </c>
      <c r="D61" s="249"/>
      <c r="E61" s="249"/>
      <c r="F61" s="249"/>
      <c r="G61" s="249"/>
      <c r="H61" s="249"/>
      <c r="I61" s="249"/>
      <c r="J61" s="249"/>
    </row>
    <row r="62" spans="1:30" ht="12" hidden="1" customHeight="1">
      <c r="A62" s="249"/>
      <c r="B62" s="249"/>
      <c r="C62" s="249"/>
      <c r="D62" s="249"/>
      <c r="E62" s="249"/>
      <c r="F62" s="249"/>
      <c r="G62" s="249"/>
      <c r="H62" s="249"/>
      <c r="I62" s="249"/>
      <c r="J62" s="249"/>
    </row>
    <row r="63" spans="1:30" ht="12" customHeight="1">
      <c r="A63" s="249"/>
      <c r="B63" s="250" t="s">
        <v>88</v>
      </c>
      <c r="C63" s="250"/>
      <c r="D63" s="250"/>
      <c r="E63" s="250"/>
      <c r="F63" s="250" t="s">
        <v>89</v>
      </c>
      <c r="G63" s="268" t="e">
        <f>DATI!R17</f>
        <v>#N/A</v>
      </c>
      <c r="H63" s="859" t="s">
        <v>187</v>
      </c>
      <c r="I63" s="846"/>
      <c r="J63" s="249"/>
    </row>
    <row r="64" spans="1:30" ht="16.5" customHeight="1">
      <c r="A64" s="249"/>
      <c r="B64" s="250" t="s">
        <v>90</v>
      </c>
      <c r="C64" s="251"/>
      <c r="D64" s="251"/>
      <c r="E64" s="251"/>
      <c r="F64" s="250"/>
      <c r="G64" s="454" t="e">
        <f>DATI!S17</f>
        <v>#N/A</v>
      </c>
      <c r="H64" s="269" t="e">
        <f>DATI!S17</f>
        <v>#N/A</v>
      </c>
      <c r="I64" s="270" t="e">
        <f>G63*H64</f>
        <v>#N/A</v>
      </c>
      <c r="J64" s="249"/>
      <c r="K64" s="237" t="e">
        <f>ROUND(G64,2)</f>
        <v>#N/A</v>
      </c>
      <c r="M64" s="74" t="e">
        <f>G63*G64</f>
        <v>#N/A</v>
      </c>
    </row>
    <row r="65" spans="2:10">
      <c r="B65" s="271"/>
      <c r="C65" s="271"/>
      <c r="D65" s="271"/>
      <c r="E65" s="271"/>
      <c r="F65" s="271"/>
      <c r="H65" s="271"/>
      <c r="I65" s="271"/>
      <c r="J65" s="271"/>
    </row>
    <row r="66" spans="2:10">
      <c r="C66" s="893" t="e">
        <f>'X OK'!D20</f>
        <v>#N/A</v>
      </c>
      <c r="D66" s="846"/>
      <c r="E66" s="846"/>
      <c r="F66" s="846"/>
      <c r="G66" s="846"/>
      <c r="H66" s="846"/>
      <c r="I66" s="846"/>
    </row>
    <row r="67" spans="2:10">
      <c r="C67" s="846"/>
      <c r="D67" s="846"/>
      <c r="E67" s="846"/>
      <c r="F67" s="846"/>
      <c r="G67" s="846"/>
      <c r="H67" s="846"/>
      <c r="I67" s="846"/>
    </row>
    <row r="92" spans="1:60">
      <c r="A92" s="754"/>
      <c r="B92" s="754"/>
      <c r="C92" s="754"/>
      <c r="D92" s="754"/>
      <c r="E92" s="754"/>
      <c r="F92" s="754"/>
      <c r="G92" s="754"/>
      <c r="H92" s="754"/>
      <c r="I92" s="754"/>
      <c r="J92" s="754"/>
      <c r="K92" s="754"/>
      <c r="L92" s="754"/>
      <c r="M92" s="754"/>
      <c r="N92" s="754"/>
      <c r="O92" s="754"/>
      <c r="P92" s="754"/>
      <c r="Q92" s="754"/>
      <c r="R92" s="754"/>
      <c r="S92" s="754"/>
      <c r="T92" s="754"/>
      <c r="U92" s="754"/>
      <c r="V92" s="754"/>
      <c r="W92" s="754"/>
      <c r="X92" s="754"/>
      <c r="Y92" s="754"/>
      <c r="Z92" s="754"/>
      <c r="AA92" s="754"/>
      <c r="AB92" s="754"/>
      <c r="AC92" s="754"/>
      <c r="AD92" s="754"/>
      <c r="AE92" s="754"/>
      <c r="AF92" s="754"/>
      <c r="AG92" s="754"/>
      <c r="AH92" s="754"/>
      <c r="AI92" s="754"/>
      <c r="AJ92" s="754"/>
      <c r="AK92" s="754"/>
      <c r="AL92" s="754"/>
      <c r="AM92" s="754"/>
      <c r="AN92" s="754"/>
      <c r="AO92" s="754"/>
      <c r="AP92" s="754"/>
      <c r="AQ92" s="754"/>
      <c r="AR92" s="754"/>
      <c r="AS92" s="754"/>
      <c r="AT92" s="754"/>
      <c r="AU92" s="754"/>
      <c r="AV92" s="754"/>
      <c r="AW92" s="754"/>
      <c r="AX92" s="754"/>
      <c r="AY92" s="754"/>
      <c r="AZ92" s="754"/>
      <c r="BA92" s="754"/>
      <c r="BB92" s="754"/>
      <c r="BC92" s="754"/>
      <c r="BD92" s="754"/>
      <c r="BE92" s="754"/>
      <c r="BF92" s="754"/>
      <c r="BG92" s="754"/>
      <c r="BH92" s="754"/>
    </row>
    <row r="93" spans="1:60">
      <c r="A93" s="754"/>
      <c r="B93" s="754"/>
      <c r="C93" s="754"/>
      <c r="D93" s="754"/>
      <c r="E93" s="754"/>
      <c r="F93" s="754"/>
      <c r="G93" s="754"/>
      <c r="H93" s="754"/>
      <c r="I93" s="754"/>
      <c r="J93" s="754"/>
      <c r="K93" s="754"/>
      <c r="L93" s="754"/>
      <c r="M93" s="754"/>
      <c r="N93" s="754"/>
      <c r="O93" s="754"/>
      <c r="P93" s="754"/>
      <c r="Q93" s="754"/>
      <c r="R93" s="754"/>
      <c r="S93" s="754"/>
      <c r="T93" s="754"/>
      <c r="U93" s="754"/>
      <c r="V93" s="754"/>
      <c r="W93" s="754"/>
      <c r="X93" s="754"/>
      <c r="Y93" s="754"/>
      <c r="Z93" s="754"/>
      <c r="AA93" s="754"/>
      <c r="AB93" s="754"/>
      <c r="AC93" s="754"/>
      <c r="AD93" s="754"/>
      <c r="AE93" s="754"/>
      <c r="AF93" s="754"/>
      <c r="AG93" s="754"/>
      <c r="AH93" s="754"/>
      <c r="AI93" s="754"/>
      <c r="AJ93" s="754"/>
      <c r="AK93" s="754"/>
      <c r="AL93" s="754"/>
      <c r="AM93" s="754"/>
      <c r="AN93" s="754"/>
      <c r="AO93" s="754"/>
      <c r="AP93" s="754"/>
      <c r="AQ93" s="754"/>
      <c r="AR93" s="754"/>
      <c r="AS93" s="754"/>
      <c r="AT93" s="754"/>
      <c r="AU93" s="754"/>
      <c r="AV93" s="754"/>
      <c r="AW93" s="754"/>
      <c r="AX93" s="754"/>
      <c r="AY93" s="754"/>
      <c r="AZ93" s="754"/>
      <c r="BA93" s="754"/>
      <c r="BB93" s="754"/>
      <c r="BC93" s="754"/>
      <c r="BD93" s="754"/>
      <c r="BE93" s="754"/>
      <c r="BF93" s="754"/>
      <c r="BG93" s="754"/>
      <c r="BH93" s="754"/>
    </row>
    <row r="94" spans="1:60">
      <c r="A94" s="754"/>
      <c r="B94" s="754"/>
      <c r="C94" s="754"/>
      <c r="D94" s="754"/>
      <c r="E94" s="754"/>
      <c r="F94" s="754"/>
      <c r="G94" s="754"/>
      <c r="H94" s="754"/>
      <c r="I94" s="754"/>
      <c r="J94" s="754"/>
      <c r="K94" s="754"/>
      <c r="L94" s="754"/>
      <c r="M94" s="754"/>
      <c r="N94" s="754"/>
      <c r="O94" s="754"/>
      <c r="P94" s="754"/>
      <c r="Q94" s="754"/>
      <c r="R94" s="754"/>
      <c r="S94" s="754"/>
      <c r="T94" s="754"/>
      <c r="U94" s="754"/>
      <c r="V94" s="754"/>
      <c r="W94" s="754"/>
      <c r="X94" s="754"/>
      <c r="Y94" s="754"/>
      <c r="Z94" s="754"/>
      <c r="AA94" s="754"/>
      <c r="AB94" s="754"/>
      <c r="AC94" s="754"/>
      <c r="AD94" s="754"/>
      <c r="AE94" s="754"/>
      <c r="AF94" s="754"/>
      <c r="AG94" s="754"/>
      <c r="AH94" s="754"/>
      <c r="AI94" s="754"/>
      <c r="AJ94" s="754"/>
      <c r="AK94" s="754"/>
      <c r="AL94" s="754"/>
      <c r="AM94" s="754"/>
      <c r="AN94" s="754"/>
      <c r="AO94" s="754"/>
      <c r="AP94" s="754"/>
      <c r="AQ94" s="754"/>
      <c r="AR94" s="754"/>
      <c r="AS94" s="754"/>
      <c r="AT94" s="754"/>
      <c r="AU94" s="754"/>
      <c r="AV94" s="754"/>
      <c r="AW94" s="754"/>
      <c r="AX94" s="754"/>
      <c r="AY94" s="754"/>
      <c r="AZ94" s="754"/>
      <c r="BA94" s="754"/>
      <c r="BB94" s="754"/>
      <c r="BC94" s="754"/>
      <c r="BD94" s="754"/>
      <c r="BE94" s="754"/>
      <c r="BF94" s="754"/>
      <c r="BG94" s="754"/>
      <c r="BH94" s="754"/>
    </row>
    <row r="95" spans="1:60">
      <c r="A95" s="754"/>
      <c r="B95" s="754"/>
      <c r="C95" s="754"/>
      <c r="D95" s="754"/>
      <c r="E95" s="754"/>
      <c r="F95" s="754"/>
      <c r="G95" s="754"/>
      <c r="H95" s="754"/>
      <c r="I95" s="754"/>
      <c r="J95" s="754"/>
      <c r="K95" s="754"/>
      <c r="L95" s="754"/>
      <c r="M95" s="754"/>
      <c r="N95" s="754"/>
      <c r="O95" s="754"/>
      <c r="P95" s="754"/>
      <c r="Q95" s="754"/>
      <c r="R95" s="754"/>
      <c r="S95" s="754"/>
      <c r="T95" s="754"/>
      <c r="U95" s="754"/>
      <c r="V95" s="754"/>
      <c r="W95" s="754"/>
      <c r="X95" s="754"/>
      <c r="Y95" s="754"/>
      <c r="Z95" s="754"/>
      <c r="AA95" s="754"/>
      <c r="AB95" s="754"/>
      <c r="AC95" s="754"/>
      <c r="AD95" s="754"/>
      <c r="AE95" s="754"/>
      <c r="AF95" s="754"/>
      <c r="AG95" s="754"/>
      <c r="AH95" s="754"/>
      <c r="AI95" s="754"/>
      <c r="AJ95" s="754"/>
      <c r="AK95" s="754"/>
      <c r="AL95" s="754"/>
      <c r="AM95" s="754"/>
      <c r="AN95" s="754"/>
      <c r="AO95" s="754"/>
      <c r="AP95" s="754"/>
      <c r="AQ95" s="754"/>
      <c r="AR95" s="754"/>
      <c r="AS95" s="754"/>
      <c r="AT95" s="754"/>
      <c r="AU95" s="754"/>
      <c r="AV95" s="754"/>
      <c r="AW95" s="754"/>
      <c r="AX95" s="754"/>
      <c r="AY95" s="754"/>
      <c r="AZ95" s="754"/>
      <c r="BA95" s="754"/>
      <c r="BB95" s="754"/>
      <c r="BC95" s="754"/>
      <c r="BD95" s="754"/>
      <c r="BE95" s="754"/>
      <c r="BF95" s="754"/>
      <c r="BG95" s="754"/>
      <c r="BH95" s="754"/>
    </row>
    <row r="96" spans="1:60">
      <c r="A96" s="754"/>
      <c r="B96" s="754"/>
      <c r="C96" s="754"/>
      <c r="D96" s="754"/>
      <c r="E96" s="754"/>
      <c r="F96" s="754"/>
      <c r="G96" s="754"/>
      <c r="H96" s="754"/>
      <c r="I96" s="754"/>
      <c r="J96" s="754"/>
      <c r="K96" s="754"/>
      <c r="L96" s="754"/>
      <c r="M96" s="754"/>
      <c r="N96" s="754"/>
      <c r="O96" s="754"/>
      <c r="P96" s="754"/>
      <c r="Q96" s="754"/>
      <c r="R96" s="754"/>
      <c r="S96" s="754"/>
      <c r="T96" s="754"/>
      <c r="U96" s="754"/>
      <c r="V96" s="754"/>
      <c r="W96" s="754"/>
      <c r="X96" s="754"/>
      <c r="Y96" s="754"/>
      <c r="Z96" s="754"/>
      <c r="AA96" s="754"/>
      <c r="AB96" s="754"/>
      <c r="AC96" s="754"/>
      <c r="AD96" s="754"/>
      <c r="AE96" s="754"/>
      <c r="AF96" s="754"/>
      <c r="AG96" s="754"/>
      <c r="AH96" s="754"/>
      <c r="AI96" s="754"/>
      <c r="AJ96" s="754"/>
      <c r="AK96" s="754"/>
      <c r="AL96" s="754"/>
      <c r="AM96" s="754"/>
      <c r="AN96" s="754"/>
      <c r="AO96" s="754"/>
      <c r="AP96" s="754"/>
      <c r="AQ96" s="754"/>
      <c r="AR96" s="754"/>
      <c r="AS96" s="754"/>
      <c r="AT96" s="754"/>
      <c r="AU96" s="754"/>
      <c r="AV96" s="754"/>
      <c r="AW96" s="754"/>
      <c r="AX96" s="754"/>
      <c r="AY96" s="754"/>
      <c r="AZ96" s="754"/>
      <c r="BA96" s="754"/>
      <c r="BB96" s="754"/>
      <c r="BC96" s="754"/>
      <c r="BD96" s="754"/>
      <c r="BE96" s="754"/>
      <c r="BF96" s="754"/>
      <c r="BG96" s="754"/>
      <c r="BH96" s="754"/>
    </row>
    <row r="97" spans="1:60">
      <c r="A97" s="754"/>
      <c r="B97" s="754"/>
      <c r="C97" s="754"/>
      <c r="D97" s="754"/>
      <c r="E97" s="754"/>
      <c r="F97" s="754"/>
      <c r="G97" s="754"/>
      <c r="H97" s="754"/>
      <c r="I97" s="754"/>
      <c r="J97" s="754"/>
      <c r="K97" s="754"/>
      <c r="L97" s="754"/>
      <c r="M97" s="754"/>
      <c r="N97" s="754"/>
      <c r="O97" s="754"/>
      <c r="P97" s="754"/>
      <c r="Q97" s="754"/>
      <c r="R97" s="754"/>
      <c r="S97" s="754"/>
      <c r="T97" s="754"/>
      <c r="U97" s="754"/>
      <c r="V97" s="754"/>
      <c r="W97" s="754"/>
      <c r="X97" s="754"/>
      <c r="Y97" s="754"/>
      <c r="Z97" s="754"/>
      <c r="AA97" s="754"/>
      <c r="AB97" s="754"/>
      <c r="AC97" s="754"/>
      <c r="AD97" s="754"/>
      <c r="AE97" s="754"/>
      <c r="AF97" s="754"/>
      <c r="AG97" s="754"/>
      <c r="AH97" s="754"/>
      <c r="AI97" s="754"/>
      <c r="AJ97" s="754"/>
      <c r="AK97" s="754"/>
      <c r="AL97" s="754"/>
      <c r="AM97" s="754"/>
      <c r="AN97" s="754"/>
      <c r="AO97" s="754"/>
      <c r="AP97" s="754"/>
      <c r="AQ97" s="754"/>
      <c r="AR97" s="754"/>
      <c r="AS97" s="754"/>
      <c r="AT97" s="754"/>
      <c r="AU97" s="754"/>
      <c r="AV97" s="754"/>
      <c r="AW97" s="754"/>
      <c r="AX97" s="754"/>
      <c r="AY97" s="754"/>
      <c r="AZ97" s="754"/>
      <c r="BA97" s="754"/>
      <c r="BB97" s="754"/>
      <c r="BC97" s="754"/>
      <c r="BD97" s="754"/>
      <c r="BE97" s="754"/>
      <c r="BF97" s="754"/>
      <c r="BG97" s="754"/>
      <c r="BH97" s="754"/>
    </row>
    <row r="98" spans="1:60">
      <c r="A98" s="754"/>
      <c r="B98" s="754"/>
      <c r="C98" s="754"/>
      <c r="D98" s="754"/>
      <c r="E98" s="754"/>
      <c r="F98" s="754"/>
      <c r="G98" s="754"/>
      <c r="H98" s="754"/>
      <c r="I98" s="754"/>
      <c r="J98" s="754"/>
      <c r="K98" s="754"/>
      <c r="L98" s="754"/>
      <c r="M98" s="754"/>
      <c r="N98" s="754"/>
      <c r="O98" s="754"/>
      <c r="P98" s="754"/>
      <c r="Q98" s="754"/>
      <c r="R98" s="754"/>
      <c r="S98" s="754"/>
      <c r="T98" s="754"/>
      <c r="U98" s="754"/>
      <c r="V98" s="754"/>
      <c r="W98" s="754"/>
      <c r="X98" s="754"/>
      <c r="Y98" s="754"/>
      <c r="Z98" s="754"/>
      <c r="AA98" s="754"/>
      <c r="AB98" s="754"/>
      <c r="AC98" s="754"/>
      <c r="AD98" s="754"/>
      <c r="AE98" s="754"/>
      <c r="AF98" s="754"/>
      <c r="AG98" s="754"/>
      <c r="AH98" s="754"/>
      <c r="AI98" s="754"/>
      <c r="AJ98" s="754"/>
      <c r="AK98" s="754"/>
      <c r="AL98" s="754"/>
      <c r="AM98" s="754"/>
      <c r="AN98" s="754"/>
      <c r="AO98" s="754"/>
      <c r="AP98" s="754"/>
      <c r="AQ98" s="754"/>
      <c r="AR98" s="754"/>
      <c r="AS98" s="754"/>
      <c r="AT98" s="754"/>
      <c r="AU98" s="754"/>
      <c r="AV98" s="754"/>
      <c r="AW98" s="754"/>
      <c r="AX98" s="754"/>
      <c r="AY98" s="754"/>
      <c r="AZ98" s="754"/>
      <c r="BA98" s="754"/>
      <c r="BB98" s="754"/>
      <c r="BC98" s="754"/>
      <c r="BD98" s="754"/>
      <c r="BE98" s="754"/>
      <c r="BF98" s="754"/>
      <c r="BG98" s="754"/>
      <c r="BH98" s="754"/>
    </row>
    <row r="99" spans="1:60">
      <c r="A99" s="754"/>
      <c r="B99" s="754"/>
      <c r="C99" s="754"/>
      <c r="D99" s="754"/>
      <c r="E99" s="754"/>
      <c r="F99" s="754"/>
      <c r="G99" s="754"/>
      <c r="H99" s="754"/>
      <c r="I99" s="754"/>
      <c r="J99" s="754"/>
      <c r="K99" s="754"/>
      <c r="L99" s="754"/>
      <c r="M99" s="754"/>
      <c r="N99" s="754"/>
      <c r="O99" s="754"/>
      <c r="P99" s="754"/>
      <c r="Q99" s="754"/>
      <c r="R99" s="754"/>
      <c r="S99" s="754"/>
      <c r="T99" s="754"/>
      <c r="U99" s="754"/>
      <c r="V99" s="754"/>
      <c r="W99" s="754"/>
      <c r="X99" s="754"/>
      <c r="Y99" s="754"/>
      <c r="Z99" s="754"/>
      <c r="AA99" s="754"/>
      <c r="AB99" s="754"/>
      <c r="AC99" s="754"/>
      <c r="AD99" s="754"/>
      <c r="AE99" s="754"/>
      <c r="AF99" s="754"/>
      <c r="AG99" s="754"/>
      <c r="AH99" s="754"/>
      <c r="AI99" s="754"/>
      <c r="AJ99" s="754"/>
      <c r="AK99" s="754"/>
      <c r="AL99" s="754"/>
      <c r="AM99" s="754"/>
      <c r="AN99" s="754"/>
      <c r="AO99" s="754"/>
      <c r="AP99" s="754"/>
      <c r="AQ99" s="754"/>
      <c r="AR99" s="754"/>
      <c r="AS99" s="754"/>
      <c r="AT99" s="754"/>
      <c r="AU99" s="754"/>
      <c r="AV99" s="754"/>
      <c r="AW99" s="754"/>
      <c r="AX99" s="754"/>
      <c r="AY99" s="754"/>
      <c r="AZ99" s="754"/>
      <c r="BA99" s="754"/>
      <c r="BB99" s="754"/>
      <c r="BC99" s="754"/>
      <c r="BD99" s="754"/>
      <c r="BE99" s="754"/>
      <c r="BF99" s="754"/>
      <c r="BG99" s="754"/>
      <c r="BH99" s="754"/>
    </row>
    <row r="100" spans="1:60">
      <c r="A100" s="754"/>
      <c r="B100" s="754"/>
      <c r="C100" s="754"/>
      <c r="D100" s="754"/>
      <c r="E100" s="754"/>
      <c r="F100" s="754"/>
      <c r="G100" s="754"/>
      <c r="H100" s="754"/>
      <c r="I100" s="754"/>
      <c r="J100" s="754"/>
      <c r="K100" s="754"/>
      <c r="L100" s="754"/>
      <c r="M100" s="754"/>
      <c r="N100" s="754"/>
      <c r="O100" s="754"/>
      <c r="P100" s="754"/>
      <c r="Q100" s="754"/>
      <c r="R100" s="754"/>
      <c r="S100" s="754"/>
      <c r="T100" s="754"/>
      <c r="U100" s="754"/>
      <c r="V100" s="754"/>
      <c r="W100" s="754"/>
      <c r="X100" s="754"/>
      <c r="Y100" s="754"/>
      <c r="Z100" s="754"/>
      <c r="AA100" s="754"/>
      <c r="AB100" s="754"/>
      <c r="AC100" s="754"/>
      <c r="AD100" s="754"/>
      <c r="AE100" s="754"/>
      <c r="AF100" s="754"/>
      <c r="AG100" s="754"/>
      <c r="AH100" s="754"/>
      <c r="AI100" s="754"/>
      <c r="AJ100" s="754"/>
      <c r="AK100" s="754"/>
      <c r="AL100" s="754"/>
      <c r="AM100" s="754"/>
      <c r="AN100" s="754"/>
      <c r="AO100" s="754"/>
      <c r="AP100" s="754"/>
      <c r="AQ100" s="754"/>
      <c r="AR100" s="754"/>
      <c r="AS100" s="754"/>
      <c r="AT100" s="754"/>
      <c r="AU100" s="754"/>
      <c r="AV100" s="754"/>
      <c r="AW100" s="754"/>
      <c r="AX100" s="754"/>
      <c r="AY100" s="754"/>
      <c r="AZ100" s="754"/>
      <c r="BA100" s="754"/>
      <c r="BB100" s="754"/>
      <c r="BC100" s="754"/>
      <c r="BD100" s="754"/>
      <c r="BE100" s="754"/>
      <c r="BF100" s="754"/>
      <c r="BG100" s="754"/>
      <c r="BH100" s="754"/>
    </row>
    <row r="101" spans="1:60">
      <c r="A101" s="754"/>
      <c r="B101" s="754"/>
      <c r="C101" s="754"/>
      <c r="D101" s="754"/>
      <c r="E101" s="754"/>
      <c r="F101" s="754"/>
      <c r="G101" s="754"/>
      <c r="H101" s="754"/>
      <c r="I101" s="754"/>
      <c r="J101" s="754"/>
      <c r="K101" s="754"/>
      <c r="L101" s="754"/>
      <c r="M101" s="754"/>
      <c r="N101" s="754"/>
      <c r="O101" s="754"/>
      <c r="P101" s="754"/>
      <c r="Q101" s="754"/>
      <c r="R101" s="754"/>
      <c r="S101" s="754"/>
      <c r="T101" s="754"/>
      <c r="U101" s="754"/>
      <c r="V101" s="754"/>
      <c r="W101" s="754"/>
      <c r="X101" s="754"/>
      <c r="Y101" s="754"/>
      <c r="Z101" s="754"/>
      <c r="AA101" s="754"/>
      <c r="AB101" s="754"/>
      <c r="AC101" s="754"/>
      <c r="AD101" s="754"/>
      <c r="AE101" s="754"/>
      <c r="AF101" s="754"/>
      <c r="AG101" s="754"/>
      <c r="AH101" s="754"/>
      <c r="AI101" s="754"/>
      <c r="AJ101" s="754"/>
      <c r="AK101" s="754"/>
      <c r="AL101" s="754"/>
      <c r="AM101" s="754"/>
      <c r="AN101" s="754"/>
      <c r="AO101" s="754"/>
      <c r="AP101" s="754"/>
      <c r="AQ101" s="754"/>
      <c r="AR101" s="754"/>
      <c r="AS101" s="754"/>
      <c r="AT101" s="754"/>
      <c r="AU101" s="754"/>
      <c r="AV101" s="754"/>
      <c r="AW101" s="754"/>
      <c r="AX101" s="754"/>
      <c r="AY101" s="754"/>
      <c r="AZ101" s="754"/>
      <c r="BA101" s="754"/>
      <c r="BB101" s="754"/>
      <c r="BC101" s="754"/>
      <c r="BD101" s="754"/>
      <c r="BE101" s="754"/>
      <c r="BF101" s="754"/>
      <c r="BG101" s="754"/>
      <c r="BH101" s="754"/>
    </row>
    <row r="102" spans="1:60">
      <c r="A102" s="754"/>
      <c r="B102" s="754"/>
      <c r="C102" s="754"/>
      <c r="D102" s="754"/>
      <c r="E102" s="754"/>
      <c r="F102" s="754"/>
      <c r="G102" s="754"/>
      <c r="H102" s="754"/>
      <c r="I102" s="754"/>
      <c r="J102" s="754"/>
      <c r="K102" s="754"/>
      <c r="L102" s="754"/>
      <c r="M102" s="754"/>
      <c r="N102" s="754"/>
      <c r="O102" s="754"/>
      <c r="P102" s="754"/>
      <c r="Q102" s="754"/>
      <c r="R102" s="754"/>
      <c r="S102" s="754"/>
      <c r="T102" s="754"/>
      <c r="U102" s="754"/>
      <c r="V102" s="754"/>
      <c r="W102" s="754"/>
      <c r="X102" s="754"/>
      <c r="Y102" s="754"/>
      <c r="Z102" s="754"/>
      <c r="AA102" s="754"/>
      <c r="AB102" s="754"/>
      <c r="AC102" s="754"/>
      <c r="AD102" s="754"/>
      <c r="AE102" s="754"/>
      <c r="AF102" s="754"/>
      <c r="AG102" s="754"/>
      <c r="AH102" s="754"/>
      <c r="AI102" s="754"/>
      <c r="AJ102" s="754"/>
      <c r="AK102" s="754"/>
      <c r="AL102" s="754"/>
      <c r="AM102" s="754"/>
      <c r="AN102" s="754"/>
      <c r="AO102" s="754"/>
      <c r="AP102" s="754"/>
      <c r="AQ102" s="754"/>
      <c r="AR102" s="754"/>
      <c r="AS102" s="754"/>
      <c r="AT102" s="754"/>
      <c r="AU102" s="754"/>
      <c r="AV102" s="754"/>
      <c r="AW102" s="754"/>
      <c r="AX102" s="754"/>
      <c r="AY102" s="754"/>
      <c r="AZ102" s="754"/>
      <c r="BA102" s="754"/>
      <c r="BB102" s="754"/>
      <c r="BC102" s="754"/>
      <c r="BD102" s="754"/>
      <c r="BE102" s="754"/>
      <c r="BF102" s="754"/>
      <c r="BG102" s="754"/>
      <c r="BH102" s="754"/>
    </row>
    <row r="103" spans="1:60">
      <c r="A103" s="754"/>
      <c r="B103" s="754"/>
      <c r="C103" s="754"/>
      <c r="D103" s="754"/>
      <c r="E103" s="754"/>
      <c r="F103" s="754"/>
      <c r="G103" s="754"/>
      <c r="H103" s="754"/>
      <c r="I103" s="754"/>
      <c r="J103" s="754"/>
      <c r="K103" s="754"/>
      <c r="L103" s="754"/>
      <c r="M103" s="754"/>
      <c r="N103" s="754"/>
      <c r="O103" s="754"/>
      <c r="P103" s="754"/>
      <c r="Q103" s="754"/>
      <c r="R103" s="754"/>
      <c r="S103" s="754"/>
      <c r="T103" s="754"/>
      <c r="U103" s="754"/>
      <c r="V103" s="754"/>
      <c r="W103" s="754"/>
      <c r="X103" s="754"/>
      <c r="Y103" s="754"/>
      <c r="Z103" s="754"/>
      <c r="AA103" s="754"/>
      <c r="AB103" s="754"/>
      <c r="AC103" s="754"/>
      <c r="AD103" s="754"/>
      <c r="AE103" s="754"/>
      <c r="AF103" s="754"/>
      <c r="AG103" s="754"/>
      <c r="AH103" s="754"/>
      <c r="AI103" s="754"/>
      <c r="AJ103" s="754"/>
      <c r="AK103" s="754"/>
      <c r="AL103" s="754"/>
      <c r="AM103" s="754"/>
      <c r="AN103" s="754"/>
      <c r="AO103" s="754"/>
      <c r="AP103" s="754"/>
      <c r="AQ103" s="754"/>
      <c r="AR103" s="754"/>
      <c r="AS103" s="754"/>
      <c r="AT103" s="754"/>
      <c r="AU103" s="754"/>
      <c r="AV103" s="754"/>
      <c r="AW103" s="754"/>
      <c r="AX103" s="754"/>
      <c r="AY103" s="754"/>
      <c r="AZ103" s="754"/>
      <c r="BA103" s="754"/>
      <c r="BB103" s="754"/>
      <c r="BC103" s="754"/>
      <c r="BD103" s="754"/>
      <c r="BE103" s="754"/>
      <c r="BF103" s="754"/>
      <c r="BG103" s="754"/>
      <c r="BH103" s="754"/>
    </row>
    <row r="104" spans="1:60">
      <c r="A104" s="754"/>
      <c r="B104" s="754"/>
      <c r="C104" s="754"/>
      <c r="D104" s="754"/>
      <c r="E104" s="754"/>
      <c r="F104" s="754"/>
      <c r="G104" s="754"/>
      <c r="H104" s="754"/>
      <c r="I104" s="754"/>
      <c r="J104" s="754"/>
      <c r="K104" s="754"/>
      <c r="L104" s="754"/>
      <c r="M104" s="754"/>
      <c r="N104" s="754"/>
      <c r="O104" s="754"/>
      <c r="P104" s="754"/>
      <c r="Q104" s="754"/>
      <c r="R104" s="754"/>
      <c r="S104" s="754"/>
      <c r="T104" s="754"/>
      <c r="U104" s="754"/>
      <c r="V104" s="754"/>
      <c r="W104" s="754"/>
      <c r="X104" s="754"/>
      <c r="Y104" s="754"/>
      <c r="Z104" s="754"/>
      <c r="AA104" s="754"/>
      <c r="AB104" s="754"/>
      <c r="AC104" s="754"/>
      <c r="AD104" s="754"/>
      <c r="AE104" s="754"/>
      <c r="AF104" s="754"/>
      <c r="AG104" s="754"/>
      <c r="AH104" s="754"/>
      <c r="AI104" s="754"/>
      <c r="AJ104" s="754"/>
      <c r="AK104" s="754"/>
      <c r="AL104" s="754"/>
      <c r="AM104" s="754"/>
      <c r="AN104" s="754"/>
      <c r="AO104" s="754"/>
      <c r="AP104" s="754"/>
      <c r="AQ104" s="754"/>
      <c r="AR104" s="754"/>
      <c r="AS104" s="754"/>
      <c r="AT104" s="754"/>
      <c r="AU104" s="754"/>
      <c r="AV104" s="754"/>
      <c r="AW104" s="754"/>
      <c r="AX104" s="754"/>
      <c r="AY104" s="754"/>
      <c r="AZ104" s="754"/>
      <c r="BA104" s="754"/>
      <c r="BB104" s="754"/>
      <c r="BC104" s="754"/>
      <c r="BD104" s="754"/>
      <c r="BE104" s="754"/>
      <c r="BF104" s="754"/>
      <c r="BG104" s="754"/>
      <c r="BH104" s="754"/>
    </row>
    <row r="105" spans="1:60">
      <c r="A105" s="754"/>
      <c r="B105" s="754"/>
      <c r="C105" s="754"/>
      <c r="D105" s="754"/>
      <c r="E105" s="754"/>
      <c r="F105" s="754"/>
      <c r="G105" s="754"/>
      <c r="H105" s="754"/>
      <c r="I105" s="754"/>
      <c r="J105" s="754"/>
      <c r="K105" s="754"/>
      <c r="L105" s="754"/>
      <c r="M105" s="754"/>
      <c r="N105" s="754"/>
      <c r="O105" s="754"/>
      <c r="P105" s="754"/>
      <c r="Q105" s="754"/>
      <c r="R105" s="754"/>
      <c r="S105" s="754"/>
      <c r="T105" s="754"/>
      <c r="U105" s="754"/>
      <c r="V105" s="754"/>
      <c r="W105" s="754"/>
      <c r="X105" s="754"/>
      <c r="Y105" s="754"/>
      <c r="Z105" s="754"/>
      <c r="AA105" s="754"/>
      <c r="AB105" s="754"/>
      <c r="AC105" s="754"/>
      <c r="AD105" s="754"/>
      <c r="AE105" s="754"/>
      <c r="AF105" s="754"/>
      <c r="AG105" s="754"/>
      <c r="AH105" s="754"/>
      <c r="AI105" s="754"/>
      <c r="AJ105" s="754"/>
      <c r="AK105" s="754"/>
      <c r="AL105" s="754"/>
      <c r="AM105" s="754"/>
      <c r="AN105" s="754"/>
      <c r="AO105" s="754"/>
      <c r="AP105" s="754"/>
      <c r="AQ105" s="754"/>
      <c r="AR105" s="754"/>
      <c r="AS105" s="754"/>
      <c r="AT105" s="754"/>
      <c r="AU105" s="754"/>
      <c r="AV105" s="754"/>
      <c r="AW105" s="754"/>
      <c r="AX105" s="754"/>
      <c r="AY105" s="754"/>
      <c r="AZ105" s="754"/>
      <c r="BA105" s="754"/>
      <c r="BB105" s="754"/>
      <c r="BC105" s="754"/>
      <c r="BD105" s="754"/>
      <c r="BE105" s="754"/>
      <c r="BF105" s="754"/>
      <c r="BG105" s="754"/>
      <c r="BH105" s="754"/>
    </row>
    <row r="106" spans="1:60">
      <c r="A106" s="754"/>
      <c r="B106" s="754"/>
      <c r="C106" s="754"/>
      <c r="D106" s="754"/>
      <c r="E106" s="754"/>
      <c r="F106" s="754"/>
      <c r="G106" s="754"/>
      <c r="H106" s="754"/>
      <c r="I106" s="754"/>
      <c r="J106" s="754"/>
      <c r="K106" s="754"/>
      <c r="L106" s="754"/>
      <c r="M106" s="754"/>
      <c r="N106" s="754"/>
      <c r="O106" s="754"/>
      <c r="P106" s="754"/>
      <c r="Q106" s="754"/>
      <c r="R106" s="754"/>
      <c r="S106" s="754"/>
      <c r="T106" s="754"/>
      <c r="U106" s="754"/>
      <c r="V106" s="754"/>
      <c r="W106" s="754"/>
      <c r="X106" s="754"/>
      <c r="Y106" s="754"/>
      <c r="Z106" s="754"/>
      <c r="AA106" s="754"/>
      <c r="AB106" s="754"/>
      <c r="AC106" s="754"/>
      <c r="AD106" s="754"/>
      <c r="AE106" s="754"/>
      <c r="AF106" s="754"/>
      <c r="AG106" s="754"/>
      <c r="AH106" s="754"/>
      <c r="AI106" s="754"/>
      <c r="AJ106" s="754"/>
      <c r="AK106" s="754"/>
      <c r="AL106" s="754"/>
      <c r="AM106" s="754"/>
      <c r="AN106" s="754"/>
      <c r="AO106" s="754"/>
      <c r="AP106" s="754"/>
      <c r="AQ106" s="754"/>
      <c r="AR106" s="754"/>
      <c r="AS106" s="754"/>
      <c r="AT106" s="754"/>
      <c r="AU106" s="754"/>
      <c r="AV106" s="754"/>
      <c r="AW106" s="754"/>
      <c r="AX106" s="754"/>
      <c r="AY106" s="754"/>
      <c r="AZ106" s="754"/>
      <c r="BA106" s="754"/>
      <c r="BB106" s="754"/>
      <c r="BC106" s="754"/>
      <c r="BD106" s="754"/>
      <c r="BE106" s="754"/>
      <c r="BF106" s="754"/>
      <c r="BG106" s="754"/>
      <c r="BH106" s="754"/>
    </row>
    <row r="107" spans="1:60">
      <c r="A107" s="754"/>
      <c r="B107" s="754"/>
      <c r="C107" s="754"/>
      <c r="D107" s="754"/>
      <c r="E107" s="754"/>
      <c r="F107" s="754"/>
      <c r="G107" s="754"/>
      <c r="H107" s="754"/>
      <c r="I107" s="754"/>
      <c r="J107" s="754"/>
      <c r="K107" s="754"/>
      <c r="L107" s="754"/>
      <c r="M107" s="754"/>
      <c r="N107" s="754"/>
      <c r="O107" s="754"/>
      <c r="P107" s="754"/>
      <c r="Q107" s="754"/>
      <c r="R107" s="754"/>
      <c r="S107" s="754"/>
      <c r="T107" s="754"/>
      <c r="U107" s="754"/>
      <c r="V107" s="754"/>
      <c r="W107" s="754"/>
      <c r="X107" s="754"/>
      <c r="Y107" s="754"/>
      <c r="Z107" s="754"/>
      <c r="AA107" s="754"/>
      <c r="AB107" s="754"/>
      <c r="AC107" s="754"/>
      <c r="AD107" s="754"/>
      <c r="AE107" s="754"/>
      <c r="AF107" s="754"/>
      <c r="AG107" s="754"/>
      <c r="AH107" s="754"/>
      <c r="AI107" s="754"/>
      <c r="AJ107" s="754"/>
      <c r="AK107" s="754"/>
      <c r="AL107" s="754"/>
      <c r="AM107" s="754"/>
      <c r="AN107" s="754"/>
      <c r="AO107" s="754"/>
      <c r="AP107" s="754"/>
      <c r="AQ107" s="754"/>
      <c r="AR107" s="754"/>
      <c r="AS107" s="754"/>
      <c r="AT107" s="754"/>
      <c r="AU107" s="754"/>
      <c r="AV107" s="754"/>
      <c r="AW107" s="754"/>
      <c r="AX107" s="754"/>
      <c r="AY107" s="754"/>
      <c r="AZ107" s="754"/>
      <c r="BA107" s="754"/>
      <c r="BB107" s="754"/>
      <c r="BC107" s="754"/>
      <c r="BD107" s="754"/>
      <c r="BE107" s="754"/>
      <c r="BF107" s="754"/>
      <c r="BG107" s="754"/>
      <c r="BH107" s="754"/>
    </row>
    <row r="108" spans="1:60">
      <c r="A108" s="754"/>
      <c r="B108" s="754"/>
      <c r="C108" s="754"/>
      <c r="D108" s="754"/>
      <c r="E108" s="754"/>
      <c r="F108" s="754"/>
      <c r="G108" s="754"/>
      <c r="H108" s="754"/>
      <c r="I108" s="754"/>
      <c r="J108" s="754"/>
      <c r="K108" s="754"/>
      <c r="L108" s="754"/>
      <c r="M108" s="754"/>
      <c r="N108" s="754"/>
      <c r="O108" s="754"/>
      <c r="P108" s="754"/>
      <c r="Q108" s="754"/>
      <c r="R108" s="754"/>
      <c r="S108" s="754"/>
      <c r="T108" s="754"/>
      <c r="U108" s="754"/>
      <c r="V108" s="754"/>
      <c r="W108" s="754"/>
      <c r="X108" s="754"/>
      <c r="Y108" s="754"/>
      <c r="Z108" s="754"/>
      <c r="AA108" s="754"/>
      <c r="AB108" s="754"/>
      <c r="AC108" s="754"/>
      <c r="AD108" s="754"/>
      <c r="AE108" s="754"/>
      <c r="AF108" s="754"/>
      <c r="AG108" s="754"/>
      <c r="AH108" s="754"/>
      <c r="AI108" s="754"/>
      <c r="AJ108" s="754"/>
      <c r="AK108" s="754"/>
      <c r="AL108" s="754"/>
      <c r="AM108" s="754"/>
      <c r="AN108" s="754"/>
      <c r="AO108" s="754"/>
      <c r="AP108" s="754"/>
      <c r="AQ108" s="754"/>
      <c r="AR108" s="754"/>
      <c r="AS108" s="754"/>
      <c r="AT108" s="754"/>
      <c r="AU108" s="754"/>
      <c r="AV108" s="754"/>
      <c r="AW108" s="754"/>
      <c r="AX108" s="754"/>
      <c r="AY108" s="754"/>
      <c r="AZ108" s="754"/>
      <c r="BA108" s="754"/>
      <c r="BB108" s="754"/>
      <c r="BC108" s="754"/>
      <c r="BD108" s="754"/>
      <c r="BE108" s="754"/>
      <c r="BF108" s="754"/>
      <c r="BG108" s="754"/>
      <c r="BH108" s="754"/>
    </row>
    <row r="109" spans="1:60">
      <c r="A109" s="754"/>
      <c r="B109" s="754"/>
      <c r="C109" s="754"/>
      <c r="D109" s="754"/>
      <c r="E109" s="754"/>
      <c r="F109" s="754"/>
      <c r="G109" s="754"/>
      <c r="H109" s="754"/>
      <c r="I109" s="754"/>
      <c r="J109" s="754"/>
      <c r="K109" s="754"/>
      <c r="L109" s="754"/>
      <c r="M109" s="754"/>
      <c r="N109" s="754"/>
      <c r="O109" s="754"/>
      <c r="P109" s="754"/>
      <c r="Q109" s="754"/>
      <c r="R109" s="754"/>
      <c r="S109" s="754"/>
      <c r="T109" s="754"/>
      <c r="U109" s="754"/>
      <c r="V109" s="754"/>
      <c r="W109" s="754"/>
      <c r="X109" s="754"/>
      <c r="Y109" s="754"/>
      <c r="Z109" s="754"/>
      <c r="AA109" s="754"/>
      <c r="AB109" s="754"/>
      <c r="AC109" s="754"/>
      <c r="AD109" s="754"/>
      <c r="AE109" s="754"/>
      <c r="AF109" s="754"/>
      <c r="AG109" s="754"/>
      <c r="AH109" s="754"/>
      <c r="AI109" s="754"/>
      <c r="AJ109" s="754"/>
      <c r="AK109" s="754"/>
      <c r="AL109" s="754"/>
      <c r="AM109" s="754"/>
      <c r="AN109" s="754"/>
      <c r="AO109" s="754"/>
      <c r="AP109" s="754"/>
      <c r="AQ109" s="754"/>
      <c r="AR109" s="754"/>
      <c r="AS109" s="754"/>
      <c r="AT109" s="754"/>
      <c r="AU109" s="754"/>
      <c r="AV109" s="754"/>
      <c r="AW109" s="754"/>
      <c r="AX109" s="754"/>
      <c r="AY109" s="754"/>
      <c r="AZ109" s="754"/>
      <c r="BA109" s="754"/>
      <c r="BB109" s="754"/>
      <c r="BC109" s="754"/>
      <c r="BD109" s="754"/>
      <c r="BE109" s="754"/>
      <c r="BF109" s="754"/>
      <c r="BG109" s="754"/>
      <c r="BH109" s="754"/>
    </row>
    <row r="110" spans="1:60">
      <c r="A110" s="754"/>
      <c r="B110" s="754"/>
      <c r="C110" s="754"/>
      <c r="D110" s="754"/>
      <c r="E110" s="754"/>
      <c r="F110" s="754"/>
      <c r="G110" s="754"/>
      <c r="H110" s="754"/>
      <c r="I110" s="754"/>
      <c r="J110" s="754"/>
      <c r="K110" s="754"/>
      <c r="L110" s="754"/>
      <c r="M110" s="754"/>
      <c r="N110" s="754"/>
      <c r="O110" s="754"/>
      <c r="P110" s="754"/>
      <c r="Q110" s="754"/>
      <c r="R110" s="754"/>
      <c r="S110" s="754"/>
      <c r="T110" s="754"/>
      <c r="U110" s="754"/>
      <c r="V110" s="754"/>
      <c r="W110" s="754"/>
      <c r="X110" s="754"/>
      <c r="Y110" s="754"/>
      <c r="Z110" s="754"/>
      <c r="AA110" s="754"/>
      <c r="AB110" s="754"/>
      <c r="AC110" s="754"/>
      <c r="AD110" s="754"/>
      <c r="AE110" s="754"/>
      <c r="AF110" s="754"/>
      <c r="AG110" s="754"/>
      <c r="AH110" s="754"/>
      <c r="AI110" s="754"/>
      <c r="AJ110" s="754"/>
      <c r="AK110" s="754"/>
      <c r="AL110" s="754"/>
      <c r="AM110" s="754"/>
      <c r="AN110" s="754"/>
      <c r="AO110" s="754"/>
      <c r="AP110" s="754"/>
      <c r="AQ110" s="754"/>
      <c r="AR110" s="754"/>
      <c r="AS110" s="754"/>
      <c r="AT110" s="754"/>
      <c r="AU110" s="754"/>
      <c r="AV110" s="754"/>
      <c r="AW110" s="754"/>
      <c r="AX110" s="754"/>
      <c r="AY110" s="754"/>
      <c r="AZ110" s="754"/>
      <c r="BA110" s="754"/>
      <c r="BB110" s="754"/>
      <c r="BC110" s="754"/>
      <c r="BD110" s="754"/>
      <c r="BE110" s="754"/>
      <c r="BF110" s="754"/>
      <c r="BG110" s="754"/>
      <c r="BH110" s="754"/>
    </row>
    <row r="111" spans="1:60">
      <c r="A111" s="754"/>
      <c r="B111" s="754"/>
      <c r="C111" s="754"/>
      <c r="D111" s="754"/>
      <c r="E111" s="754"/>
      <c r="F111" s="754"/>
      <c r="G111" s="754"/>
      <c r="H111" s="754"/>
      <c r="I111" s="754"/>
      <c r="J111" s="754"/>
      <c r="K111" s="754"/>
      <c r="L111" s="754"/>
      <c r="M111" s="754"/>
      <c r="N111" s="754"/>
      <c r="O111" s="754"/>
      <c r="P111" s="754"/>
      <c r="Q111" s="754"/>
      <c r="R111" s="754"/>
      <c r="S111" s="754"/>
      <c r="T111" s="754"/>
      <c r="U111" s="754"/>
      <c r="V111" s="754"/>
      <c r="W111" s="754"/>
      <c r="X111" s="754"/>
      <c r="Y111" s="754"/>
      <c r="Z111" s="754"/>
      <c r="AA111" s="754"/>
      <c r="AB111" s="754"/>
      <c r="AC111" s="754"/>
      <c r="AD111" s="754"/>
      <c r="AE111" s="754"/>
      <c r="AF111" s="754"/>
      <c r="AG111" s="754"/>
      <c r="AH111" s="754"/>
      <c r="AI111" s="754"/>
      <c r="AJ111" s="754"/>
      <c r="AK111" s="754"/>
      <c r="AL111" s="754"/>
      <c r="AM111" s="754"/>
      <c r="AN111" s="754"/>
      <c r="AO111" s="754"/>
      <c r="AP111" s="754"/>
      <c r="AQ111" s="754"/>
      <c r="AR111" s="754"/>
      <c r="AS111" s="754"/>
      <c r="AT111" s="754"/>
      <c r="AU111" s="754"/>
      <c r="AV111" s="754"/>
      <c r="AW111" s="754"/>
      <c r="AX111" s="754"/>
      <c r="AY111" s="754"/>
      <c r="AZ111" s="754"/>
      <c r="BA111" s="754"/>
      <c r="BB111" s="754"/>
      <c r="BC111" s="754"/>
      <c r="BD111" s="754"/>
      <c r="BE111" s="754"/>
      <c r="BF111" s="754"/>
      <c r="BG111" s="754"/>
      <c r="BH111" s="754"/>
    </row>
    <row r="112" spans="1:60">
      <c r="A112" s="754"/>
      <c r="B112" s="754"/>
      <c r="C112" s="754"/>
      <c r="D112" s="754"/>
      <c r="E112" s="754"/>
      <c r="F112" s="754"/>
      <c r="G112" s="754"/>
      <c r="H112" s="754"/>
      <c r="I112" s="754"/>
      <c r="J112" s="754"/>
      <c r="K112" s="754"/>
      <c r="L112" s="754"/>
      <c r="M112" s="754"/>
      <c r="N112" s="754"/>
      <c r="O112" s="754"/>
      <c r="P112" s="754"/>
      <c r="Q112" s="754"/>
      <c r="R112" s="754"/>
      <c r="S112" s="754"/>
      <c r="T112" s="754"/>
      <c r="U112" s="754"/>
      <c r="V112" s="754"/>
      <c r="W112" s="754"/>
      <c r="X112" s="754"/>
      <c r="Y112" s="754"/>
      <c r="Z112" s="754"/>
      <c r="AA112" s="754"/>
      <c r="AB112" s="754"/>
      <c r="AC112" s="754"/>
      <c r="AD112" s="754"/>
      <c r="AE112" s="754"/>
      <c r="AF112" s="754"/>
      <c r="AG112" s="754"/>
      <c r="AH112" s="754"/>
      <c r="AI112" s="754"/>
      <c r="AJ112" s="754"/>
      <c r="AK112" s="754"/>
      <c r="AL112" s="754"/>
      <c r="AM112" s="754"/>
      <c r="AN112" s="754"/>
      <c r="AO112" s="754"/>
      <c r="AP112" s="754"/>
      <c r="AQ112" s="754"/>
      <c r="AR112" s="754"/>
      <c r="AS112" s="754"/>
      <c r="AT112" s="754"/>
      <c r="AU112" s="754"/>
      <c r="AV112" s="754"/>
      <c r="AW112" s="754"/>
      <c r="AX112" s="754"/>
      <c r="AY112" s="754"/>
      <c r="AZ112" s="754"/>
      <c r="BA112" s="754"/>
      <c r="BB112" s="754"/>
      <c r="BC112" s="754"/>
      <c r="BD112" s="754"/>
      <c r="BE112" s="754"/>
      <c r="BF112" s="754"/>
      <c r="BG112" s="754"/>
      <c r="BH112" s="754"/>
    </row>
    <row r="113" spans="1:60">
      <c r="A113" s="754"/>
      <c r="B113" s="754"/>
      <c r="C113" s="754"/>
      <c r="D113" s="754"/>
      <c r="E113" s="754"/>
      <c r="F113" s="754"/>
      <c r="G113" s="754"/>
      <c r="H113" s="754"/>
      <c r="I113" s="754"/>
      <c r="J113" s="754"/>
      <c r="K113" s="754"/>
      <c r="L113" s="754"/>
      <c r="M113" s="754"/>
      <c r="N113" s="754"/>
      <c r="O113" s="754"/>
      <c r="P113" s="754"/>
      <c r="Q113" s="754"/>
      <c r="R113" s="754"/>
      <c r="S113" s="754"/>
      <c r="T113" s="754"/>
      <c r="U113" s="754"/>
      <c r="V113" s="754"/>
      <c r="W113" s="754"/>
      <c r="X113" s="754"/>
      <c r="Y113" s="754"/>
      <c r="Z113" s="754"/>
      <c r="AA113" s="754"/>
      <c r="AB113" s="754"/>
      <c r="AC113" s="754"/>
      <c r="AD113" s="754"/>
      <c r="AE113" s="754"/>
      <c r="AF113" s="754"/>
      <c r="AG113" s="754"/>
      <c r="AH113" s="754"/>
      <c r="AI113" s="754"/>
      <c r="AJ113" s="754"/>
      <c r="AK113" s="754"/>
      <c r="AL113" s="754"/>
      <c r="AM113" s="754"/>
      <c r="AN113" s="754"/>
      <c r="AO113" s="754"/>
      <c r="AP113" s="754"/>
      <c r="AQ113" s="754"/>
      <c r="AR113" s="754"/>
      <c r="AS113" s="754"/>
      <c r="AT113" s="754"/>
      <c r="AU113" s="754"/>
      <c r="AV113" s="754"/>
      <c r="AW113" s="754"/>
      <c r="AX113" s="754"/>
      <c r="AY113" s="754"/>
      <c r="AZ113" s="754"/>
      <c r="BA113" s="754"/>
      <c r="BB113" s="754"/>
      <c r="BC113" s="754"/>
      <c r="BD113" s="754"/>
      <c r="BE113" s="754"/>
      <c r="BF113" s="754"/>
      <c r="BG113" s="754"/>
      <c r="BH113" s="754"/>
    </row>
    <row r="114" spans="1:60">
      <c r="A114" s="754"/>
      <c r="B114" s="754"/>
      <c r="C114" s="754"/>
      <c r="D114" s="754"/>
      <c r="E114" s="754"/>
      <c r="F114" s="754"/>
      <c r="G114" s="754"/>
      <c r="H114" s="754"/>
      <c r="I114" s="754"/>
      <c r="J114" s="754"/>
      <c r="K114" s="754"/>
      <c r="L114" s="754"/>
      <c r="M114" s="754"/>
      <c r="N114" s="754"/>
      <c r="O114" s="754"/>
      <c r="P114" s="754"/>
      <c r="Q114" s="754"/>
      <c r="R114" s="754"/>
      <c r="S114" s="754"/>
      <c r="T114" s="754"/>
      <c r="U114" s="754"/>
      <c r="V114" s="754"/>
      <c r="W114" s="754"/>
      <c r="X114" s="754"/>
      <c r="Y114" s="754"/>
      <c r="Z114" s="754"/>
      <c r="AA114" s="754"/>
      <c r="AB114" s="754"/>
      <c r="AC114" s="754"/>
      <c r="AD114" s="754"/>
      <c r="AE114" s="754"/>
      <c r="AF114" s="754"/>
      <c r="AG114" s="754"/>
      <c r="AH114" s="754"/>
      <c r="AI114" s="754"/>
      <c r="AJ114" s="754"/>
      <c r="AK114" s="754"/>
      <c r="AL114" s="754"/>
      <c r="AM114" s="754"/>
      <c r="AN114" s="754"/>
      <c r="AO114" s="754"/>
      <c r="AP114" s="754"/>
      <c r="AQ114" s="754"/>
      <c r="AR114" s="754"/>
      <c r="AS114" s="754"/>
      <c r="AT114" s="754"/>
      <c r="AU114" s="754"/>
      <c r="AV114" s="754"/>
      <c r="AW114" s="754"/>
      <c r="AX114" s="754"/>
      <c r="AY114" s="754"/>
      <c r="AZ114" s="754"/>
      <c r="BA114" s="754"/>
      <c r="BB114" s="754"/>
      <c r="BC114" s="754"/>
      <c r="BD114" s="754"/>
      <c r="BE114" s="754"/>
      <c r="BF114" s="754"/>
      <c r="BG114" s="754"/>
      <c r="BH114" s="754"/>
    </row>
    <row r="115" spans="1:60">
      <c r="A115" s="754"/>
      <c r="B115" s="754"/>
      <c r="C115" s="754"/>
      <c r="D115" s="754"/>
      <c r="E115" s="754"/>
      <c r="F115" s="754"/>
      <c r="G115" s="754"/>
      <c r="H115" s="754"/>
      <c r="I115" s="754"/>
      <c r="J115" s="754"/>
      <c r="K115" s="754"/>
      <c r="L115" s="754"/>
      <c r="M115" s="754"/>
      <c r="N115" s="754"/>
      <c r="O115" s="754"/>
      <c r="P115" s="754"/>
      <c r="Q115" s="754"/>
      <c r="R115" s="754"/>
      <c r="S115" s="754"/>
      <c r="T115" s="754"/>
      <c r="U115" s="754"/>
      <c r="V115" s="754"/>
      <c r="W115" s="754"/>
      <c r="X115" s="754"/>
      <c r="Y115" s="754"/>
      <c r="Z115" s="754"/>
      <c r="AA115" s="754"/>
      <c r="AB115" s="754"/>
      <c r="AC115" s="754"/>
      <c r="AD115" s="754"/>
      <c r="AE115" s="754"/>
      <c r="AF115" s="754"/>
      <c r="AG115" s="754"/>
      <c r="AH115" s="754"/>
      <c r="AI115" s="754"/>
      <c r="AJ115" s="754"/>
      <c r="AK115" s="754"/>
      <c r="AL115" s="754"/>
      <c r="AM115" s="754"/>
      <c r="AN115" s="754"/>
      <c r="AO115" s="754"/>
      <c r="AP115" s="754"/>
      <c r="AQ115" s="754"/>
      <c r="AR115" s="754"/>
      <c r="AS115" s="754"/>
      <c r="AT115" s="754"/>
      <c r="AU115" s="754"/>
      <c r="AV115" s="754"/>
      <c r="AW115" s="754"/>
      <c r="AX115" s="754"/>
      <c r="AY115" s="754"/>
      <c r="AZ115" s="754"/>
      <c r="BA115" s="754"/>
      <c r="BB115" s="754"/>
      <c r="BC115" s="754"/>
      <c r="BD115" s="754"/>
      <c r="BE115" s="754"/>
      <c r="BF115" s="754"/>
      <c r="BG115" s="754"/>
      <c r="BH115" s="754"/>
    </row>
    <row r="116" spans="1:60">
      <c r="A116" s="754"/>
      <c r="B116" s="754"/>
      <c r="C116" s="754"/>
      <c r="D116" s="754"/>
      <c r="E116" s="754"/>
      <c r="F116" s="754"/>
      <c r="G116" s="754"/>
      <c r="H116" s="754"/>
      <c r="I116" s="754"/>
      <c r="J116" s="754"/>
      <c r="K116" s="754"/>
      <c r="L116" s="754"/>
      <c r="M116" s="754"/>
      <c r="N116" s="754"/>
      <c r="O116" s="754"/>
      <c r="P116" s="754"/>
      <c r="Q116" s="754"/>
      <c r="R116" s="754"/>
      <c r="S116" s="754"/>
      <c r="T116" s="754"/>
      <c r="U116" s="754"/>
      <c r="V116" s="754"/>
      <c r="W116" s="754"/>
      <c r="X116" s="754"/>
      <c r="Y116" s="754"/>
      <c r="Z116" s="754"/>
      <c r="AA116" s="754"/>
      <c r="AB116" s="754"/>
      <c r="AC116" s="754"/>
      <c r="AD116" s="754"/>
      <c r="AE116" s="754"/>
      <c r="AF116" s="754"/>
      <c r="AG116" s="754"/>
      <c r="AH116" s="754"/>
      <c r="AI116" s="754"/>
      <c r="AJ116" s="754"/>
      <c r="AK116" s="754"/>
      <c r="AL116" s="754"/>
      <c r="AM116" s="754"/>
      <c r="AN116" s="754"/>
      <c r="AO116" s="754"/>
      <c r="AP116" s="754"/>
      <c r="AQ116" s="754"/>
      <c r="AR116" s="754"/>
      <c r="AS116" s="754"/>
      <c r="AT116" s="754"/>
      <c r="AU116" s="754"/>
      <c r="AV116" s="754"/>
      <c r="AW116" s="754"/>
      <c r="AX116" s="754"/>
      <c r="AY116" s="754"/>
      <c r="AZ116" s="754"/>
      <c r="BA116" s="754"/>
      <c r="BB116" s="754"/>
      <c r="BC116" s="754"/>
      <c r="BD116" s="754"/>
      <c r="BE116" s="754"/>
      <c r="BF116" s="754"/>
      <c r="BG116" s="754"/>
      <c r="BH116" s="754"/>
    </row>
    <row r="117" spans="1:60">
      <c r="A117" s="754"/>
      <c r="B117" s="754"/>
      <c r="C117" s="754"/>
      <c r="D117" s="754"/>
      <c r="E117" s="754"/>
      <c r="F117" s="754"/>
      <c r="G117" s="754"/>
      <c r="H117" s="754"/>
      <c r="I117" s="754"/>
      <c r="J117" s="754"/>
      <c r="K117" s="754"/>
      <c r="L117" s="754"/>
      <c r="M117" s="754"/>
      <c r="N117" s="754"/>
      <c r="O117" s="754"/>
      <c r="P117" s="754"/>
      <c r="Q117" s="754"/>
      <c r="R117" s="754"/>
      <c r="S117" s="754"/>
      <c r="T117" s="754"/>
      <c r="U117" s="754"/>
      <c r="V117" s="754"/>
      <c r="W117" s="754"/>
      <c r="X117" s="754"/>
      <c r="Y117" s="754"/>
      <c r="Z117" s="754"/>
      <c r="AA117" s="754"/>
      <c r="AB117" s="754"/>
      <c r="AC117" s="754"/>
      <c r="AD117" s="754"/>
      <c r="AE117" s="754"/>
      <c r="AF117" s="754"/>
      <c r="AG117" s="754"/>
      <c r="AH117" s="754"/>
      <c r="AI117" s="754"/>
      <c r="AJ117" s="754"/>
      <c r="AK117" s="754"/>
      <c r="AL117" s="754"/>
      <c r="AM117" s="754"/>
      <c r="AN117" s="754"/>
      <c r="AO117" s="754"/>
      <c r="AP117" s="754"/>
      <c r="AQ117" s="754"/>
      <c r="AR117" s="754"/>
      <c r="AS117" s="754"/>
      <c r="AT117" s="754"/>
      <c r="AU117" s="754"/>
      <c r="AV117" s="754"/>
      <c r="AW117" s="754"/>
      <c r="AX117" s="754"/>
      <c r="AY117" s="754"/>
      <c r="AZ117" s="754"/>
      <c r="BA117" s="754"/>
      <c r="BB117" s="754"/>
      <c r="BC117" s="754"/>
      <c r="BD117" s="754"/>
      <c r="BE117" s="754"/>
      <c r="BF117" s="754"/>
      <c r="BG117" s="754"/>
      <c r="BH117" s="754"/>
    </row>
    <row r="118" spans="1:60">
      <c r="A118" s="754"/>
      <c r="B118" s="754"/>
      <c r="C118" s="754"/>
      <c r="D118" s="754"/>
      <c r="E118" s="754"/>
      <c r="F118" s="754"/>
      <c r="G118" s="754"/>
      <c r="H118" s="754"/>
      <c r="I118" s="754"/>
      <c r="J118" s="754"/>
      <c r="K118" s="754"/>
      <c r="L118" s="754"/>
      <c r="M118" s="754"/>
      <c r="N118" s="754"/>
      <c r="O118" s="754"/>
      <c r="P118" s="754"/>
      <c r="Q118" s="754"/>
      <c r="R118" s="754"/>
      <c r="S118" s="754"/>
      <c r="T118" s="754"/>
      <c r="U118" s="754"/>
      <c r="V118" s="754"/>
      <c r="W118" s="754"/>
      <c r="X118" s="754"/>
      <c r="Y118" s="754"/>
      <c r="Z118" s="754"/>
      <c r="AA118" s="754"/>
      <c r="AB118" s="754"/>
      <c r="AC118" s="754"/>
      <c r="AD118" s="754"/>
      <c r="AE118" s="754"/>
      <c r="AF118" s="754"/>
      <c r="AG118" s="754"/>
      <c r="AH118" s="754"/>
      <c r="AI118" s="754"/>
      <c r="AJ118" s="754"/>
      <c r="AK118" s="754"/>
      <c r="AL118" s="754"/>
      <c r="AM118" s="754"/>
      <c r="AN118" s="754"/>
      <c r="AO118" s="754"/>
      <c r="AP118" s="754"/>
      <c r="AQ118" s="754"/>
      <c r="AR118" s="754"/>
      <c r="AS118" s="754"/>
      <c r="AT118" s="754"/>
      <c r="AU118" s="754"/>
      <c r="AV118" s="754"/>
      <c r="AW118" s="754"/>
      <c r="AX118" s="754"/>
      <c r="AY118" s="754"/>
      <c r="AZ118" s="754"/>
      <c r="BA118" s="754"/>
      <c r="BB118" s="754"/>
      <c r="BC118" s="754"/>
      <c r="BD118" s="754"/>
      <c r="BE118" s="754"/>
      <c r="BF118" s="754"/>
      <c r="BG118" s="754"/>
      <c r="BH118" s="754"/>
    </row>
    <row r="119" spans="1:60">
      <c r="A119" s="754"/>
      <c r="B119" s="754"/>
      <c r="C119" s="754"/>
      <c r="D119" s="754"/>
      <c r="E119" s="754"/>
      <c r="F119" s="754"/>
      <c r="G119" s="754"/>
      <c r="H119" s="754"/>
      <c r="I119" s="754"/>
      <c r="J119" s="754"/>
      <c r="K119" s="754"/>
      <c r="L119" s="754"/>
      <c r="M119" s="754"/>
      <c r="N119" s="754"/>
      <c r="O119" s="754"/>
      <c r="P119" s="754"/>
      <c r="Q119" s="754"/>
      <c r="R119" s="754"/>
      <c r="S119" s="754"/>
      <c r="T119" s="754"/>
      <c r="U119" s="754"/>
      <c r="V119" s="754"/>
      <c r="W119" s="754"/>
      <c r="X119" s="754"/>
      <c r="Y119" s="754"/>
      <c r="Z119" s="754"/>
      <c r="AA119" s="754"/>
      <c r="AB119" s="754"/>
      <c r="AC119" s="754"/>
      <c r="AD119" s="754"/>
      <c r="AE119" s="754"/>
      <c r="AF119" s="754"/>
      <c r="AG119" s="754"/>
      <c r="AH119" s="754"/>
      <c r="AI119" s="754"/>
      <c r="AJ119" s="754"/>
      <c r="AK119" s="754"/>
      <c r="AL119" s="754"/>
      <c r="AM119" s="754"/>
      <c r="AN119" s="754"/>
      <c r="AO119" s="754"/>
      <c r="AP119" s="754"/>
      <c r="AQ119" s="754"/>
      <c r="AR119" s="754"/>
      <c r="AS119" s="754"/>
      <c r="AT119" s="754"/>
      <c r="AU119" s="754"/>
      <c r="AV119" s="754"/>
      <c r="AW119" s="754"/>
      <c r="AX119" s="754"/>
      <c r="AY119" s="754"/>
      <c r="AZ119" s="754"/>
      <c r="BA119" s="754"/>
      <c r="BB119" s="754"/>
      <c r="BC119" s="754"/>
      <c r="BD119" s="754"/>
      <c r="BE119" s="754"/>
      <c r="BF119" s="754"/>
      <c r="BG119" s="754"/>
      <c r="BH119" s="754"/>
    </row>
    <row r="120" spans="1:60">
      <c r="A120" s="754"/>
      <c r="B120" s="754"/>
      <c r="C120" s="754"/>
      <c r="D120" s="754"/>
      <c r="E120" s="754"/>
      <c r="F120" s="754"/>
      <c r="G120" s="754"/>
      <c r="H120" s="754"/>
      <c r="I120" s="754"/>
      <c r="J120" s="754"/>
      <c r="K120" s="754"/>
      <c r="L120" s="754"/>
      <c r="M120" s="754"/>
      <c r="N120" s="754"/>
      <c r="O120" s="754"/>
      <c r="P120" s="754"/>
      <c r="Q120" s="754"/>
      <c r="R120" s="754"/>
      <c r="S120" s="754"/>
      <c r="T120" s="754"/>
      <c r="U120" s="754"/>
      <c r="V120" s="754"/>
      <c r="W120" s="754"/>
      <c r="X120" s="754"/>
      <c r="Y120" s="754"/>
      <c r="Z120" s="754"/>
      <c r="AA120" s="754"/>
      <c r="AB120" s="754"/>
      <c r="AC120" s="754"/>
      <c r="AD120" s="754"/>
      <c r="AE120" s="754"/>
      <c r="AF120" s="754"/>
      <c r="AG120" s="754"/>
      <c r="AH120" s="754"/>
      <c r="AI120" s="754"/>
      <c r="AJ120" s="754"/>
      <c r="AK120" s="754"/>
      <c r="AL120" s="754"/>
      <c r="AM120" s="754"/>
      <c r="AN120" s="754"/>
      <c r="AO120" s="754"/>
      <c r="AP120" s="754"/>
      <c r="AQ120" s="754"/>
      <c r="AR120" s="754"/>
      <c r="AS120" s="754"/>
      <c r="AT120" s="754"/>
      <c r="AU120" s="754"/>
      <c r="AV120" s="754"/>
      <c r="AW120" s="754"/>
      <c r="AX120" s="754"/>
      <c r="AY120" s="754"/>
      <c r="AZ120" s="754"/>
      <c r="BA120" s="754"/>
      <c r="BB120" s="754"/>
      <c r="BC120" s="754"/>
      <c r="BD120" s="754"/>
      <c r="BE120" s="754"/>
      <c r="BF120" s="754"/>
      <c r="BG120" s="754"/>
      <c r="BH120" s="754"/>
    </row>
    <row r="121" spans="1:60">
      <c r="A121" s="754"/>
      <c r="B121" s="754"/>
      <c r="C121" s="754"/>
      <c r="D121" s="754"/>
      <c r="E121" s="754"/>
      <c r="F121" s="754"/>
      <c r="G121" s="754"/>
      <c r="H121" s="754"/>
      <c r="I121" s="754"/>
      <c r="J121" s="754"/>
      <c r="K121" s="754"/>
      <c r="L121" s="754"/>
      <c r="M121" s="754"/>
      <c r="N121" s="754"/>
      <c r="O121" s="754"/>
      <c r="P121" s="754"/>
      <c r="Q121" s="754"/>
      <c r="R121" s="754"/>
      <c r="S121" s="754"/>
      <c r="T121" s="754"/>
      <c r="U121" s="754"/>
      <c r="V121" s="754"/>
      <c r="W121" s="754"/>
      <c r="X121" s="754"/>
      <c r="Y121" s="754"/>
      <c r="Z121" s="754"/>
      <c r="AA121" s="754"/>
      <c r="AB121" s="754"/>
      <c r="AC121" s="754"/>
      <c r="AD121" s="754"/>
      <c r="AE121" s="754"/>
      <c r="AF121" s="754"/>
      <c r="AG121" s="754"/>
      <c r="AH121" s="754"/>
      <c r="AI121" s="754"/>
      <c r="AJ121" s="754"/>
      <c r="AK121" s="754"/>
      <c r="AL121" s="754"/>
      <c r="AM121" s="754"/>
      <c r="AN121" s="754"/>
      <c r="AO121" s="754"/>
      <c r="AP121" s="754"/>
      <c r="AQ121" s="754"/>
      <c r="AR121" s="754"/>
      <c r="AS121" s="754"/>
      <c r="AT121" s="754"/>
      <c r="AU121" s="754"/>
      <c r="AV121" s="754"/>
      <c r="AW121" s="754"/>
      <c r="AX121" s="754"/>
      <c r="AY121" s="754"/>
      <c r="AZ121" s="754"/>
      <c r="BA121" s="754"/>
      <c r="BB121" s="754"/>
      <c r="BC121" s="754"/>
      <c r="BD121" s="754"/>
      <c r="BE121" s="754"/>
      <c r="BF121" s="754"/>
      <c r="BG121" s="754"/>
      <c r="BH121" s="754"/>
    </row>
    <row r="122" spans="1:60">
      <c r="A122" s="754"/>
      <c r="B122" s="754"/>
      <c r="C122" s="754"/>
      <c r="D122" s="754"/>
      <c r="E122" s="754"/>
      <c r="F122" s="754"/>
      <c r="G122" s="754"/>
      <c r="H122" s="754"/>
      <c r="I122" s="754"/>
      <c r="J122" s="754"/>
      <c r="K122" s="754"/>
      <c r="L122" s="754"/>
      <c r="M122" s="754"/>
      <c r="N122" s="754"/>
      <c r="O122" s="754"/>
      <c r="P122" s="754"/>
      <c r="Q122" s="754"/>
      <c r="R122" s="754"/>
      <c r="S122" s="754"/>
      <c r="T122" s="754"/>
      <c r="U122" s="754"/>
      <c r="V122" s="754"/>
      <c r="W122" s="754"/>
      <c r="X122" s="754"/>
      <c r="Y122" s="754"/>
      <c r="Z122" s="754"/>
      <c r="AA122" s="754"/>
      <c r="AB122" s="754"/>
      <c r="AC122" s="754"/>
      <c r="AD122" s="754"/>
      <c r="AE122" s="754"/>
      <c r="AF122" s="754"/>
      <c r="AG122" s="754"/>
      <c r="AH122" s="754"/>
      <c r="AI122" s="754"/>
      <c r="AJ122" s="754"/>
      <c r="AK122" s="754"/>
      <c r="AL122" s="754"/>
      <c r="AM122" s="754"/>
      <c r="AN122" s="754"/>
      <c r="AO122" s="754"/>
      <c r="AP122" s="754"/>
      <c r="AQ122" s="754"/>
      <c r="AR122" s="754"/>
      <c r="AS122" s="754"/>
      <c r="AT122" s="754"/>
      <c r="AU122" s="754"/>
      <c r="AV122" s="754"/>
      <c r="AW122" s="754"/>
      <c r="AX122" s="754"/>
      <c r="AY122" s="754"/>
      <c r="AZ122" s="754"/>
      <c r="BA122" s="754"/>
      <c r="BB122" s="754"/>
      <c r="BC122" s="754"/>
      <c r="BD122" s="754"/>
      <c r="BE122" s="754"/>
      <c r="BF122" s="754"/>
      <c r="BG122" s="754"/>
      <c r="BH122" s="754"/>
    </row>
    <row r="123" spans="1:60">
      <c r="A123" s="754"/>
      <c r="B123" s="754"/>
      <c r="C123" s="754"/>
      <c r="D123" s="754"/>
      <c r="E123" s="754"/>
      <c r="F123" s="754"/>
      <c r="G123" s="754"/>
      <c r="H123" s="754"/>
      <c r="I123" s="754"/>
      <c r="J123" s="754"/>
      <c r="K123" s="754"/>
      <c r="L123" s="754"/>
      <c r="M123" s="754"/>
      <c r="N123" s="754"/>
      <c r="O123" s="754"/>
      <c r="P123" s="754"/>
      <c r="Q123" s="754"/>
      <c r="R123" s="754"/>
      <c r="S123" s="754"/>
      <c r="T123" s="754"/>
      <c r="U123" s="754"/>
      <c r="V123" s="754"/>
      <c r="W123" s="754"/>
      <c r="X123" s="754"/>
      <c r="Y123" s="754"/>
      <c r="Z123" s="754"/>
      <c r="AA123" s="754"/>
      <c r="AB123" s="754"/>
      <c r="AC123" s="754"/>
      <c r="AD123" s="754"/>
      <c r="AE123" s="754"/>
      <c r="AF123" s="754"/>
      <c r="AG123" s="754"/>
      <c r="AH123" s="754"/>
      <c r="AI123" s="754"/>
      <c r="AJ123" s="754"/>
      <c r="AK123" s="754"/>
      <c r="AL123" s="754"/>
      <c r="AM123" s="754"/>
      <c r="AN123" s="754"/>
      <c r="AO123" s="754"/>
      <c r="AP123" s="754"/>
      <c r="AQ123" s="754"/>
      <c r="AR123" s="754"/>
      <c r="AS123" s="754"/>
      <c r="AT123" s="754"/>
      <c r="AU123" s="754"/>
      <c r="AV123" s="754"/>
      <c r="AW123" s="754"/>
      <c r="AX123" s="754"/>
      <c r="AY123" s="754"/>
      <c r="AZ123" s="754"/>
      <c r="BA123" s="754"/>
      <c r="BB123" s="754"/>
      <c r="BC123" s="754"/>
      <c r="BD123" s="754"/>
      <c r="BE123" s="754"/>
      <c r="BF123" s="754"/>
      <c r="BG123" s="754"/>
      <c r="BH123" s="754"/>
    </row>
    <row r="124" spans="1:60">
      <c r="A124" s="754"/>
      <c r="B124" s="754"/>
      <c r="C124" s="754"/>
      <c r="D124" s="754"/>
      <c r="E124" s="754"/>
      <c r="F124" s="754"/>
      <c r="G124" s="754"/>
      <c r="H124" s="754"/>
      <c r="I124" s="754"/>
      <c r="J124" s="754"/>
      <c r="K124" s="754"/>
      <c r="L124" s="754"/>
      <c r="M124" s="754"/>
      <c r="N124" s="754"/>
      <c r="O124" s="754"/>
      <c r="P124" s="754"/>
      <c r="Q124" s="754"/>
      <c r="R124" s="754"/>
      <c r="S124" s="754"/>
      <c r="T124" s="754"/>
      <c r="U124" s="754"/>
      <c r="V124" s="754"/>
      <c r="W124" s="754"/>
      <c r="X124" s="754"/>
      <c r="Y124" s="754"/>
      <c r="Z124" s="754"/>
      <c r="AA124" s="754"/>
      <c r="AB124" s="754"/>
      <c r="AC124" s="754"/>
      <c r="AD124" s="754"/>
      <c r="AE124" s="754"/>
      <c r="AF124" s="754"/>
      <c r="AG124" s="754"/>
      <c r="AH124" s="754"/>
      <c r="AI124" s="754"/>
      <c r="AJ124" s="754"/>
      <c r="AK124" s="754"/>
      <c r="AL124" s="754"/>
      <c r="AM124" s="754"/>
      <c r="AN124" s="754"/>
      <c r="AO124" s="754"/>
      <c r="AP124" s="754"/>
      <c r="AQ124" s="754"/>
      <c r="AR124" s="754"/>
      <c r="AS124" s="754"/>
      <c r="AT124" s="754"/>
      <c r="AU124" s="754"/>
      <c r="AV124" s="754"/>
      <c r="AW124" s="754"/>
      <c r="AX124" s="754"/>
      <c r="AY124" s="754"/>
      <c r="AZ124" s="754"/>
      <c r="BA124" s="754"/>
      <c r="BB124" s="754"/>
      <c r="BC124" s="754"/>
      <c r="BD124" s="754"/>
      <c r="BE124" s="754"/>
      <c r="BF124" s="754"/>
      <c r="BG124" s="754"/>
      <c r="BH124" s="754"/>
    </row>
    <row r="125" spans="1:60">
      <c r="A125" s="754"/>
      <c r="B125" s="754"/>
      <c r="C125" s="754"/>
      <c r="D125" s="754"/>
      <c r="E125" s="754"/>
      <c r="F125" s="754"/>
      <c r="G125" s="754"/>
      <c r="H125" s="754"/>
      <c r="I125" s="754"/>
      <c r="J125" s="754"/>
      <c r="K125" s="754"/>
      <c r="L125" s="754"/>
      <c r="M125" s="754"/>
      <c r="N125" s="754"/>
      <c r="O125" s="754"/>
      <c r="P125" s="754"/>
      <c r="Q125" s="754"/>
      <c r="R125" s="754"/>
      <c r="S125" s="754"/>
      <c r="T125" s="754"/>
      <c r="U125" s="754"/>
      <c r="V125" s="754"/>
      <c r="W125" s="754"/>
      <c r="X125" s="754"/>
      <c r="Y125" s="754"/>
      <c r="Z125" s="754"/>
      <c r="AA125" s="754"/>
      <c r="AB125" s="754"/>
      <c r="AC125" s="754"/>
      <c r="AD125" s="754"/>
      <c r="AE125" s="754"/>
      <c r="AF125" s="754"/>
      <c r="AG125" s="754"/>
      <c r="AH125" s="754"/>
      <c r="AI125" s="754"/>
      <c r="AJ125" s="754"/>
      <c r="AK125" s="754"/>
      <c r="AL125" s="754"/>
      <c r="AM125" s="754"/>
      <c r="AN125" s="754"/>
      <c r="AO125" s="754"/>
      <c r="AP125" s="754"/>
      <c r="AQ125" s="754"/>
      <c r="AR125" s="754"/>
      <c r="AS125" s="754"/>
      <c r="AT125" s="754"/>
      <c r="AU125" s="754"/>
      <c r="AV125" s="754"/>
      <c r="AW125" s="754"/>
      <c r="AX125" s="754"/>
      <c r="AY125" s="754"/>
      <c r="AZ125" s="754"/>
      <c r="BA125" s="754"/>
      <c r="BB125" s="754"/>
      <c r="BC125" s="754"/>
      <c r="BD125" s="754"/>
      <c r="BE125" s="754"/>
      <c r="BF125" s="754"/>
      <c r="BG125" s="754"/>
      <c r="BH125" s="754"/>
    </row>
    <row r="126" spans="1:60">
      <c r="A126" s="754"/>
      <c r="B126" s="754"/>
      <c r="C126" s="754"/>
      <c r="D126" s="754"/>
      <c r="E126" s="754"/>
      <c r="F126" s="754"/>
      <c r="G126" s="754"/>
      <c r="H126" s="754"/>
      <c r="I126" s="754"/>
      <c r="J126" s="754"/>
      <c r="K126" s="754"/>
      <c r="L126" s="754"/>
      <c r="M126" s="754"/>
      <c r="N126" s="754"/>
      <c r="O126" s="754"/>
      <c r="P126" s="754"/>
      <c r="Q126" s="754"/>
      <c r="R126" s="754"/>
      <c r="S126" s="754"/>
      <c r="T126" s="754"/>
      <c r="U126" s="754"/>
      <c r="V126" s="754"/>
      <c r="W126" s="754"/>
      <c r="X126" s="754"/>
      <c r="Y126" s="754"/>
      <c r="Z126" s="754"/>
      <c r="AA126" s="754"/>
      <c r="AB126" s="754"/>
      <c r="AC126" s="754"/>
      <c r="AD126" s="754"/>
      <c r="AE126" s="754"/>
      <c r="AF126" s="754"/>
      <c r="AG126" s="754"/>
      <c r="AH126" s="754"/>
      <c r="AI126" s="754"/>
      <c r="AJ126" s="754"/>
      <c r="AK126" s="754"/>
      <c r="AL126" s="754"/>
      <c r="AM126" s="754"/>
      <c r="AN126" s="754"/>
      <c r="AO126" s="754"/>
      <c r="AP126" s="754"/>
      <c r="AQ126" s="754"/>
      <c r="AR126" s="754"/>
      <c r="AS126" s="754"/>
      <c r="AT126" s="754"/>
      <c r="AU126" s="754"/>
      <c r="AV126" s="754"/>
      <c r="AW126" s="754"/>
      <c r="AX126" s="754"/>
      <c r="AY126" s="754"/>
      <c r="AZ126" s="754"/>
      <c r="BA126" s="754"/>
      <c r="BB126" s="754"/>
      <c r="BC126" s="754"/>
      <c r="BD126" s="754"/>
      <c r="BE126" s="754"/>
      <c r="BF126" s="754"/>
      <c r="BG126" s="754"/>
      <c r="BH126" s="754"/>
    </row>
    <row r="127" spans="1:60">
      <c r="A127" s="754"/>
      <c r="B127" s="754"/>
      <c r="C127" s="754"/>
      <c r="D127" s="754"/>
      <c r="E127" s="754"/>
      <c r="F127" s="754"/>
      <c r="G127" s="754"/>
      <c r="H127" s="754"/>
      <c r="I127" s="754"/>
      <c r="J127" s="754"/>
      <c r="K127" s="754"/>
      <c r="L127" s="754"/>
      <c r="M127" s="754"/>
      <c r="N127" s="754"/>
      <c r="O127" s="754"/>
      <c r="P127" s="754"/>
      <c r="Q127" s="754"/>
      <c r="R127" s="754"/>
      <c r="S127" s="754"/>
      <c r="T127" s="754"/>
      <c r="U127" s="754"/>
      <c r="V127" s="754"/>
      <c r="W127" s="754"/>
      <c r="X127" s="754"/>
      <c r="Y127" s="754"/>
      <c r="Z127" s="754"/>
      <c r="AA127" s="754"/>
      <c r="AB127" s="754"/>
      <c r="AC127" s="754"/>
      <c r="AD127" s="754"/>
      <c r="AE127" s="754"/>
      <c r="AF127" s="754"/>
      <c r="AG127" s="754"/>
      <c r="AH127" s="754"/>
      <c r="AI127" s="754"/>
      <c r="AJ127" s="754"/>
      <c r="AK127" s="754"/>
      <c r="AL127" s="754"/>
      <c r="AM127" s="754"/>
      <c r="AN127" s="754"/>
      <c r="AO127" s="754"/>
      <c r="AP127" s="754"/>
      <c r="AQ127" s="754"/>
      <c r="AR127" s="754"/>
      <c r="AS127" s="754"/>
      <c r="AT127" s="754"/>
      <c r="AU127" s="754"/>
      <c r="AV127" s="754"/>
      <c r="AW127" s="754"/>
      <c r="AX127" s="754"/>
      <c r="AY127" s="754"/>
      <c r="AZ127" s="754"/>
      <c r="BA127" s="754"/>
      <c r="BB127" s="754"/>
      <c r="BC127" s="754"/>
      <c r="BD127" s="754"/>
      <c r="BE127" s="754"/>
      <c r="BF127" s="754"/>
      <c r="BG127" s="754"/>
      <c r="BH127" s="754"/>
    </row>
    <row r="128" spans="1:60">
      <c r="A128" s="754"/>
      <c r="B128" s="754"/>
      <c r="C128" s="754"/>
      <c r="D128" s="754"/>
      <c r="E128" s="754"/>
      <c r="F128" s="754"/>
      <c r="G128" s="754"/>
      <c r="H128" s="754"/>
      <c r="I128" s="754"/>
      <c r="J128" s="754"/>
      <c r="K128" s="754"/>
      <c r="L128" s="754"/>
      <c r="M128" s="754"/>
      <c r="N128" s="754"/>
      <c r="O128" s="754"/>
      <c r="P128" s="754"/>
      <c r="Q128" s="754"/>
      <c r="R128" s="754"/>
      <c r="S128" s="754"/>
      <c r="T128" s="754"/>
      <c r="U128" s="754"/>
      <c r="V128" s="754"/>
      <c r="W128" s="754"/>
      <c r="X128" s="754"/>
      <c r="Y128" s="754"/>
      <c r="Z128" s="754"/>
      <c r="AA128" s="754"/>
      <c r="AB128" s="754"/>
      <c r="AC128" s="754"/>
      <c r="AD128" s="754"/>
      <c r="AE128" s="754"/>
      <c r="AF128" s="754"/>
      <c r="AG128" s="754"/>
      <c r="AH128" s="754"/>
      <c r="AI128" s="754"/>
      <c r="AJ128" s="754"/>
      <c r="AK128" s="754"/>
      <c r="AL128" s="754"/>
      <c r="AM128" s="754"/>
      <c r="AN128" s="754"/>
      <c r="AO128" s="754"/>
      <c r="AP128" s="754"/>
      <c r="AQ128" s="754"/>
      <c r="AR128" s="754"/>
      <c r="AS128" s="754"/>
      <c r="AT128" s="754"/>
      <c r="AU128" s="754"/>
      <c r="AV128" s="754"/>
      <c r="AW128" s="754"/>
      <c r="AX128" s="754"/>
      <c r="AY128" s="754"/>
      <c r="AZ128" s="754"/>
      <c r="BA128" s="754"/>
      <c r="BB128" s="754"/>
      <c r="BC128" s="754"/>
      <c r="BD128" s="754"/>
      <c r="BE128" s="754"/>
      <c r="BF128" s="754"/>
      <c r="BG128" s="754"/>
      <c r="BH128" s="754"/>
    </row>
    <row r="129" spans="1:60">
      <c r="A129" s="754"/>
      <c r="B129" s="754"/>
      <c r="C129" s="754"/>
      <c r="D129" s="754"/>
      <c r="E129" s="754"/>
      <c r="F129" s="754"/>
      <c r="G129" s="754"/>
      <c r="H129" s="754"/>
      <c r="I129" s="754"/>
      <c r="J129" s="754"/>
      <c r="K129" s="754"/>
      <c r="L129" s="754"/>
      <c r="M129" s="754"/>
      <c r="N129" s="754"/>
      <c r="O129" s="754"/>
      <c r="P129" s="754"/>
      <c r="Q129" s="754"/>
      <c r="R129" s="754"/>
      <c r="S129" s="754"/>
      <c r="T129" s="754"/>
      <c r="U129" s="754"/>
      <c r="V129" s="754"/>
      <c r="W129" s="754"/>
      <c r="X129" s="754"/>
      <c r="Y129" s="754"/>
      <c r="Z129" s="754"/>
      <c r="AA129" s="754"/>
      <c r="AB129" s="754"/>
      <c r="AC129" s="754"/>
      <c r="AD129" s="754"/>
      <c r="AE129" s="754"/>
      <c r="AF129" s="754"/>
      <c r="AG129" s="754"/>
      <c r="AH129" s="754"/>
      <c r="AI129" s="754"/>
      <c r="AJ129" s="754"/>
      <c r="AK129" s="754"/>
      <c r="AL129" s="754"/>
      <c r="AM129" s="754"/>
      <c r="AN129" s="754"/>
      <c r="AO129" s="754"/>
      <c r="AP129" s="754"/>
      <c r="AQ129" s="754"/>
      <c r="AR129" s="754"/>
      <c r="AS129" s="754"/>
      <c r="AT129" s="754"/>
      <c r="AU129" s="754"/>
      <c r="AV129" s="754"/>
      <c r="AW129" s="754"/>
      <c r="AX129" s="754"/>
      <c r="AY129" s="754"/>
      <c r="AZ129" s="754"/>
      <c r="BA129" s="754"/>
      <c r="BB129" s="754"/>
      <c r="BC129" s="754"/>
      <c r="BD129" s="754"/>
      <c r="BE129" s="754"/>
      <c r="BF129" s="754"/>
      <c r="BG129" s="754"/>
      <c r="BH129" s="754"/>
    </row>
    <row r="130" spans="1:60">
      <c r="A130" s="754"/>
      <c r="B130" s="754"/>
      <c r="C130" s="754"/>
      <c r="D130" s="754"/>
      <c r="E130" s="754"/>
      <c r="F130" s="754"/>
      <c r="G130" s="754"/>
      <c r="H130" s="754"/>
      <c r="I130" s="754"/>
      <c r="J130" s="754"/>
      <c r="K130" s="754"/>
      <c r="L130" s="754"/>
      <c r="M130" s="754"/>
      <c r="N130" s="754"/>
      <c r="O130" s="754"/>
      <c r="P130" s="754"/>
      <c r="Q130" s="754"/>
      <c r="R130" s="754"/>
      <c r="S130" s="754"/>
      <c r="T130" s="754"/>
      <c r="U130" s="754"/>
      <c r="V130" s="754"/>
      <c r="W130" s="754"/>
      <c r="X130" s="754"/>
      <c r="Y130" s="754"/>
      <c r="Z130" s="754"/>
      <c r="AA130" s="754"/>
      <c r="AB130" s="754"/>
      <c r="AC130" s="754"/>
      <c r="AD130" s="754"/>
      <c r="AE130" s="754"/>
      <c r="AF130" s="754"/>
      <c r="AG130" s="754"/>
      <c r="AH130" s="754"/>
      <c r="AI130" s="754"/>
      <c r="AJ130" s="754"/>
      <c r="AK130" s="754"/>
      <c r="AL130" s="754"/>
      <c r="AM130" s="754"/>
      <c r="AN130" s="754"/>
      <c r="AO130" s="754"/>
      <c r="AP130" s="754"/>
      <c r="AQ130" s="754"/>
      <c r="AR130" s="754"/>
      <c r="AS130" s="754"/>
      <c r="AT130" s="754"/>
      <c r="AU130" s="754"/>
      <c r="AV130" s="754"/>
      <c r="AW130" s="754"/>
      <c r="AX130" s="754"/>
      <c r="AY130" s="754"/>
      <c r="AZ130" s="754"/>
      <c r="BA130" s="754"/>
      <c r="BB130" s="754"/>
      <c r="BC130" s="754"/>
      <c r="BD130" s="754"/>
      <c r="BE130" s="754"/>
      <c r="BF130" s="754"/>
      <c r="BG130" s="754"/>
      <c r="BH130" s="754"/>
    </row>
    <row r="131" spans="1:60">
      <c r="A131" s="754"/>
      <c r="B131" s="754"/>
      <c r="C131" s="754"/>
      <c r="D131" s="754"/>
      <c r="E131" s="754"/>
      <c r="F131" s="754"/>
      <c r="G131" s="754"/>
      <c r="H131" s="754"/>
      <c r="I131" s="754"/>
      <c r="J131" s="754"/>
      <c r="K131" s="754"/>
      <c r="L131" s="754"/>
      <c r="M131" s="754"/>
      <c r="N131" s="754"/>
      <c r="O131" s="754"/>
      <c r="P131" s="754"/>
      <c r="Q131" s="754"/>
      <c r="R131" s="754"/>
      <c r="S131" s="754"/>
      <c r="T131" s="754"/>
      <c r="U131" s="754"/>
      <c r="V131" s="754"/>
      <c r="W131" s="754"/>
      <c r="X131" s="754"/>
      <c r="Y131" s="754"/>
      <c r="Z131" s="754"/>
      <c r="AA131" s="754"/>
      <c r="AB131" s="754"/>
      <c r="AC131" s="754"/>
      <c r="AD131" s="754"/>
      <c r="AE131" s="754"/>
      <c r="AF131" s="754"/>
      <c r="AG131" s="754"/>
      <c r="AH131" s="754"/>
      <c r="AI131" s="754"/>
      <c r="AJ131" s="754"/>
      <c r="AK131" s="754"/>
      <c r="AL131" s="754"/>
      <c r="AM131" s="754"/>
      <c r="AN131" s="754"/>
      <c r="AO131" s="754"/>
      <c r="AP131" s="754"/>
      <c r="AQ131" s="754"/>
      <c r="AR131" s="754"/>
      <c r="AS131" s="754"/>
      <c r="AT131" s="754"/>
      <c r="AU131" s="754"/>
      <c r="AV131" s="754"/>
      <c r="AW131" s="754"/>
      <c r="AX131" s="754"/>
      <c r="AY131" s="754"/>
      <c r="AZ131" s="754"/>
      <c r="BA131" s="754"/>
      <c r="BB131" s="754"/>
      <c r="BC131" s="754"/>
      <c r="BD131" s="754"/>
      <c r="BE131" s="754"/>
      <c r="BF131" s="754"/>
      <c r="BG131" s="754"/>
      <c r="BH131" s="754"/>
    </row>
    <row r="132" spans="1:60">
      <c r="A132" s="754"/>
      <c r="B132" s="754"/>
      <c r="C132" s="754"/>
      <c r="D132" s="754"/>
      <c r="E132" s="754"/>
      <c r="F132" s="754"/>
      <c r="G132" s="754"/>
      <c r="H132" s="754"/>
      <c r="I132" s="754"/>
      <c r="J132" s="754"/>
      <c r="K132" s="754"/>
      <c r="L132" s="754"/>
      <c r="M132" s="754"/>
      <c r="N132" s="754"/>
      <c r="O132" s="754"/>
      <c r="P132" s="754"/>
      <c r="Q132" s="754"/>
      <c r="R132" s="754"/>
      <c r="S132" s="754"/>
      <c r="T132" s="754"/>
      <c r="U132" s="754"/>
      <c r="V132" s="754"/>
      <c r="W132" s="754"/>
      <c r="X132" s="754"/>
      <c r="Y132" s="754"/>
      <c r="Z132" s="754"/>
      <c r="AA132" s="754"/>
      <c r="AB132" s="754"/>
      <c r="AC132" s="754"/>
      <c r="AD132" s="754"/>
      <c r="AE132" s="754"/>
      <c r="AF132" s="754"/>
      <c r="AG132" s="754"/>
      <c r="AH132" s="754"/>
      <c r="AI132" s="754"/>
      <c r="AJ132" s="754"/>
      <c r="AK132" s="754"/>
      <c r="AL132" s="754"/>
      <c r="AM132" s="754"/>
      <c r="AN132" s="754"/>
      <c r="AO132" s="754"/>
      <c r="AP132" s="754"/>
      <c r="AQ132" s="754"/>
      <c r="AR132" s="754"/>
      <c r="AS132" s="754"/>
      <c r="AT132" s="754"/>
      <c r="AU132" s="754"/>
      <c r="AV132" s="754"/>
      <c r="AW132" s="754"/>
      <c r="AX132" s="754"/>
      <c r="AY132" s="754"/>
      <c r="AZ132" s="754"/>
      <c r="BA132" s="754"/>
      <c r="BB132" s="754"/>
      <c r="BC132" s="754"/>
      <c r="BD132" s="754"/>
      <c r="BE132" s="754"/>
      <c r="BF132" s="754"/>
      <c r="BG132" s="754"/>
      <c r="BH132" s="754"/>
    </row>
    <row r="133" spans="1:60">
      <c r="A133" s="754"/>
      <c r="B133" s="754"/>
      <c r="C133" s="754"/>
      <c r="D133" s="754"/>
      <c r="E133" s="754"/>
      <c r="F133" s="754"/>
      <c r="G133" s="754"/>
      <c r="H133" s="754"/>
      <c r="I133" s="754"/>
      <c r="J133" s="754"/>
      <c r="K133" s="754"/>
      <c r="L133" s="754"/>
      <c r="M133" s="754"/>
      <c r="N133" s="754"/>
      <c r="O133" s="754"/>
      <c r="P133" s="754"/>
      <c r="Q133" s="754"/>
      <c r="R133" s="754"/>
      <c r="S133" s="754"/>
      <c r="T133" s="754"/>
      <c r="U133" s="754"/>
      <c r="V133" s="754"/>
      <c r="W133" s="754"/>
      <c r="X133" s="754"/>
      <c r="Y133" s="754"/>
      <c r="Z133" s="754"/>
      <c r="AA133" s="754"/>
      <c r="AB133" s="754"/>
      <c r="AC133" s="754"/>
      <c r="AD133" s="754"/>
      <c r="AE133" s="754"/>
      <c r="AF133" s="754"/>
      <c r="AG133" s="754"/>
      <c r="AH133" s="754"/>
      <c r="AI133" s="754"/>
      <c r="AJ133" s="754"/>
      <c r="AK133" s="754"/>
      <c r="AL133" s="754"/>
      <c r="AM133" s="754"/>
      <c r="AN133" s="754"/>
      <c r="AO133" s="754"/>
      <c r="AP133" s="754"/>
      <c r="AQ133" s="754"/>
      <c r="AR133" s="754"/>
      <c r="AS133" s="754"/>
      <c r="AT133" s="754"/>
      <c r="AU133" s="754"/>
      <c r="AV133" s="754"/>
      <c r="AW133" s="754"/>
      <c r="AX133" s="754"/>
      <c r="AY133" s="754"/>
      <c r="AZ133" s="754"/>
      <c r="BA133" s="754"/>
      <c r="BB133" s="754"/>
      <c r="BC133" s="754"/>
      <c r="BD133" s="754"/>
      <c r="BE133" s="754"/>
      <c r="BF133" s="754"/>
      <c r="BG133" s="754"/>
      <c r="BH133" s="754"/>
    </row>
    <row r="134" spans="1:60">
      <c r="A134" s="754"/>
      <c r="B134" s="754"/>
      <c r="C134" s="754"/>
      <c r="D134" s="754"/>
      <c r="E134" s="754"/>
      <c r="F134" s="754"/>
      <c r="G134" s="754"/>
      <c r="H134" s="754"/>
      <c r="I134" s="754"/>
      <c r="J134" s="754"/>
      <c r="K134" s="754"/>
      <c r="L134" s="754"/>
      <c r="M134" s="754"/>
      <c r="N134" s="754"/>
      <c r="O134" s="754"/>
      <c r="P134" s="754"/>
      <c r="Q134" s="754"/>
      <c r="R134" s="754"/>
      <c r="S134" s="754"/>
      <c r="T134" s="754"/>
      <c r="U134" s="754"/>
      <c r="V134" s="754"/>
      <c r="W134" s="754"/>
      <c r="X134" s="754"/>
      <c r="Y134" s="754"/>
      <c r="Z134" s="754"/>
      <c r="AA134" s="754"/>
      <c r="AB134" s="754"/>
      <c r="AC134" s="754"/>
      <c r="AD134" s="754"/>
      <c r="AE134" s="754"/>
      <c r="AF134" s="754"/>
      <c r="AG134" s="754"/>
      <c r="AH134" s="754"/>
      <c r="AI134" s="754"/>
      <c r="AJ134" s="754"/>
      <c r="AK134" s="754"/>
      <c r="AL134" s="754"/>
      <c r="AM134" s="754"/>
      <c r="AN134" s="754"/>
      <c r="AO134" s="754"/>
      <c r="AP134" s="754"/>
      <c r="AQ134" s="754"/>
      <c r="AR134" s="754"/>
      <c r="AS134" s="754"/>
      <c r="AT134" s="754"/>
      <c r="AU134" s="754"/>
      <c r="AV134" s="754"/>
      <c r="AW134" s="754"/>
      <c r="AX134" s="754"/>
      <c r="AY134" s="754"/>
      <c r="AZ134" s="754"/>
      <c r="BA134" s="754"/>
      <c r="BB134" s="754"/>
      <c r="BC134" s="754"/>
      <c r="BD134" s="754"/>
      <c r="BE134" s="754"/>
      <c r="BF134" s="754"/>
      <c r="BG134" s="754"/>
      <c r="BH134" s="754"/>
    </row>
    <row r="135" spans="1:60">
      <c r="A135" s="754"/>
      <c r="B135" s="754"/>
      <c r="C135" s="754"/>
      <c r="D135" s="754"/>
      <c r="E135" s="754"/>
      <c r="F135" s="754"/>
      <c r="G135" s="754"/>
      <c r="H135" s="754"/>
      <c r="I135" s="754"/>
      <c r="J135" s="754"/>
      <c r="K135" s="754"/>
      <c r="L135" s="754"/>
      <c r="M135" s="754"/>
      <c r="N135" s="754"/>
      <c r="O135" s="754"/>
      <c r="P135" s="754"/>
      <c r="Q135" s="754"/>
      <c r="R135" s="754"/>
      <c r="S135" s="754"/>
      <c r="T135" s="754"/>
      <c r="U135" s="754"/>
      <c r="V135" s="754"/>
      <c r="W135" s="754"/>
      <c r="X135" s="754"/>
      <c r="Y135" s="754"/>
      <c r="Z135" s="754"/>
      <c r="AA135" s="754"/>
      <c r="AB135" s="754"/>
      <c r="AC135" s="754"/>
      <c r="AD135" s="754"/>
      <c r="AE135" s="754"/>
      <c r="AF135" s="754"/>
      <c r="AG135" s="754"/>
      <c r="AH135" s="754"/>
      <c r="AI135" s="754"/>
      <c r="AJ135" s="754"/>
      <c r="AK135" s="754"/>
      <c r="AL135" s="754"/>
      <c r="AM135" s="754"/>
      <c r="AN135" s="754"/>
      <c r="AO135" s="754"/>
      <c r="AP135" s="754"/>
      <c r="AQ135" s="754"/>
      <c r="AR135" s="754"/>
      <c r="AS135" s="754"/>
      <c r="AT135" s="754"/>
      <c r="AU135" s="754"/>
      <c r="AV135" s="754"/>
      <c r="AW135" s="754"/>
      <c r="AX135" s="754"/>
      <c r="AY135" s="754"/>
      <c r="AZ135" s="754"/>
      <c r="BA135" s="754"/>
      <c r="BB135" s="754"/>
      <c r="BC135" s="754"/>
      <c r="BD135" s="754"/>
      <c r="BE135" s="754"/>
      <c r="BF135" s="754"/>
      <c r="BG135" s="754"/>
      <c r="BH135" s="754"/>
    </row>
    <row r="136" spans="1:60">
      <c r="A136" s="754"/>
      <c r="B136" s="754"/>
      <c r="C136" s="754"/>
      <c r="D136" s="754"/>
      <c r="E136" s="754"/>
      <c r="F136" s="754"/>
      <c r="G136" s="754"/>
      <c r="H136" s="754"/>
      <c r="I136" s="754"/>
      <c r="J136" s="754"/>
      <c r="K136" s="754"/>
      <c r="L136" s="754"/>
      <c r="M136" s="754"/>
      <c r="N136" s="754"/>
      <c r="O136" s="754"/>
      <c r="P136" s="754"/>
      <c r="Q136" s="754"/>
      <c r="R136" s="754"/>
      <c r="S136" s="754"/>
      <c r="T136" s="754"/>
      <c r="U136" s="754"/>
      <c r="V136" s="754"/>
      <c r="W136" s="754"/>
      <c r="X136" s="754"/>
      <c r="Y136" s="754"/>
      <c r="Z136" s="754"/>
      <c r="AA136" s="754"/>
      <c r="AB136" s="754"/>
      <c r="AC136" s="754"/>
      <c r="AD136" s="754"/>
      <c r="AE136" s="754"/>
      <c r="AF136" s="754"/>
      <c r="AG136" s="754"/>
      <c r="AH136" s="754"/>
      <c r="AI136" s="754"/>
      <c r="AJ136" s="754"/>
      <c r="AK136" s="754"/>
      <c r="AL136" s="754"/>
      <c r="AM136" s="754"/>
      <c r="AN136" s="754"/>
      <c r="AO136" s="754"/>
      <c r="AP136" s="754"/>
      <c r="AQ136" s="754"/>
      <c r="AR136" s="754"/>
      <c r="AS136" s="754"/>
      <c r="AT136" s="754"/>
      <c r="AU136" s="754"/>
      <c r="AV136" s="754"/>
      <c r="AW136" s="754"/>
      <c r="AX136" s="754"/>
      <c r="AY136" s="754"/>
      <c r="AZ136" s="754"/>
      <c r="BA136" s="754"/>
      <c r="BB136" s="754"/>
      <c r="BC136" s="754"/>
      <c r="BD136" s="754"/>
      <c r="BE136" s="754"/>
      <c r="BF136" s="754"/>
      <c r="BG136" s="754"/>
      <c r="BH136" s="754"/>
    </row>
    <row r="137" spans="1:60">
      <c r="A137" s="754"/>
      <c r="B137" s="754"/>
      <c r="C137" s="754"/>
      <c r="D137" s="754"/>
      <c r="E137" s="754"/>
      <c r="F137" s="754"/>
      <c r="G137" s="754"/>
      <c r="H137" s="754"/>
      <c r="I137" s="754"/>
      <c r="J137" s="754"/>
      <c r="K137" s="754"/>
      <c r="L137" s="754"/>
      <c r="M137" s="754"/>
      <c r="N137" s="754"/>
      <c r="O137" s="754"/>
      <c r="P137" s="754"/>
      <c r="Q137" s="754"/>
      <c r="R137" s="754"/>
      <c r="S137" s="754"/>
      <c r="T137" s="754"/>
      <c r="U137" s="754"/>
      <c r="V137" s="754"/>
      <c r="W137" s="754"/>
      <c r="X137" s="754"/>
      <c r="Y137" s="754"/>
      <c r="Z137" s="754"/>
      <c r="AA137" s="754"/>
      <c r="AB137" s="754"/>
      <c r="AC137" s="754"/>
      <c r="AD137" s="754"/>
      <c r="AE137" s="754"/>
      <c r="AF137" s="754"/>
      <c r="AG137" s="754"/>
      <c r="AH137" s="754"/>
      <c r="AI137" s="754"/>
      <c r="AJ137" s="754"/>
      <c r="AK137" s="754"/>
      <c r="AL137" s="754"/>
      <c r="AM137" s="754"/>
      <c r="AN137" s="754"/>
      <c r="AO137" s="754"/>
      <c r="AP137" s="754"/>
      <c r="AQ137" s="754"/>
      <c r="AR137" s="754"/>
      <c r="AS137" s="754"/>
      <c r="AT137" s="754"/>
      <c r="AU137" s="754"/>
      <c r="AV137" s="754"/>
      <c r="AW137" s="754"/>
      <c r="AX137" s="754"/>
      <c r="AY137" s="754"/>
      <c r="AZ137" s="754"/>
      <c r="BA137" s="754"/>
      <c r="BB137" s="754"/>
      <c r="BC137" s="754"/>
      <c r="BD137" s="754"/>
      <c r="BE137" s="754"/>
      <c r="BF137" s="754"/>
      <c r="BG137" s="754"/>
      <c r="BH137" s="754"/>
    </row>
    <row r="138" spans="1:60">
      <c r="A138" s="754"/>
      <c r="B138" s="754"/>
      <c r="C138" s="754"/>
      <c r="D138" s="754"/>
      <c r="E138" s="754"/>
      <c r="F138" s="754"/>
      <c r="G138" s="754"/>
      <c r="H138" s="754"/>
      <c r="I138" s="754"/>
      <c r="J138" s="754"/>
      <c r="K138" s="754"/>
      <c r="L138" s="754"/>
      <c r="M138" s="754"/>
      <c r="N138" s="754"/>
      <c r="O138" s="754"/>
      <c r="P138" s="754"/>
      <c r="Q138" s="754"/>
      <c r="R138" s="754"/>
      <c r="S138" s="754"/>
      <c r="T138" s="754"/>
      <c r="U138" s="754"/>
      <c r="V138" s="754"/>
      <c r="W138" s="754"/>
      <c r="X138" s="754"/>
      <c r="Y138" s="754"/>
      <c r="Z138" s="754"/>
      <c r="AA138" s="754"/>
      <c r="AB138" s="754"/>
      <c r="AC138" s="754"/>
      <c r="AD138" s="754"/>
      <c r="AE138" s="754"/>
      <c r="AF138" s="754"/>
      <c r="AG138" s="754"/>
      <c r="AH138" s="754"/>
      <c r="AI138" s="754"/>
      <c r="AJ138" s="754"/>
      <c r="AK138" s="754"/>
      <c r="AL138" s="754"/>
      <c r="AM138" s="754"/>
      <c r="AN138" s="754"/>
      <c r="AO138" s="754"/>
      <c r="AP138" s="754"/>
      <c r="AQ138" s="754"/>
      <c r="AR138" s="754"/>
      <c r="AS138" s="754"/>
      <c r="AT138" s="754"/>
      <c r="AU138" s="754"/>
      <c r="AV138" s="754"/>
      <c r="AW138" s="754"/>
      <c r="AX138" s="754"/>
      <c r="AY138" s="754"/>
      <c r="AZ138" s="754"/>
      <c r="BA138" s="754"/>
      <c r="BB138" s="754"/>
      <c r="BC138" s="754"/>
      <c r="BD138" s="754"/>
      <c r="BE138" s="754"/>
      <c r="BF138" s="754"/>
      <c r="BG138" s="754"/>
      <c r="BH138" s="754"/>
    </row>
    <row r="139" spans="1:60">
      <c r="A139" s="754"/>
      <c r="B139" s="754"/>
      <c r="C139" s="754"/>
      <c r="D139" s="754"/>
      <c r="E139" s="754"/>
      <c r="F139" s="754"/>
      <c r="G139" s="754"/>
      <c r="H139" s="754"/>
      <c r="I139" s="754"/>
      <c r="J139" s="754"/>
      <c r="K139" s="754"/>
      <c r="L139" s="754"/>
      <c r="M139" s="754"/>
      <c r="N139" s="754"/>
      <c r="O139" s="754"/>
      <c r="P139" s="754"/>
      <c r="Q139" s="754"/>
      <c r="R139" s="754"/>
      <c r="S139" s="754"/>
      <c r="T139" s="754"/>
      <c r="U139" s="754"/>
      <c r="V139" s="754"/>
      <c r="W139" s="754"/>
      <c r="X139" s="754"/>
      <c r="Y139" s="754"/>
      <c r="Z139" s="754"/>
      <c r="AA139" s="754"/>
      <c r="AB139" s="754"/>
      <c r="AC139" s="754"/>
      <c r="AD139" s="754"/>
      <c r="AE139" s="754"/>
      <c r="AF139" s="754"/>
      <c r="AG139" s="754"/>
      <c r="AH139" s="754"/>
      <c r="AI139" s="754"/>
      <c r="AJ139" s="754"/>
      <c r="AK139" s="754"/>
      <c r="AL139" s="754"/>
      <c r="AM139" s="754"/>
      <c r="AN139" s="754"/>
      <c r="AO139" s="754"/>
      <c r="AP139" s="754"/>
      <c r="AQ139" s="754"/>
      <c r="AR139" s="754"/>
      <c r="AS139" s="754"/>
      <c r="AT139" s="754"/>
      <c r="AU139" s="754"/>
      <c r="AV139" s="754"/>
      <c r="AW139" s="754"/>
      <c r="AX139" s="754"/>
      <c r="AY139" s="754"/>
      <c r="AZ139" s="754"/>
      <c r="BA139" s="754"/>
      <c r="BB139" s="754"/>
      <c r="BC139" s="754"/>
      <c r="BD139" s="754"/>
      <c r="BE139" s="754"/>
      <c r="BF139" s="754"/>
      <c r="BG139" s="754"/>
      <c r="BH139" s="754"/>
    </row>
    <row r="140" spans="1:60">
      <c r="A140" s="754"/>
      <c r="B140" s="754"/>
      <c r="C140" s="754"/>
      <c r="D140" s="754"/>
      <c r="E140" s="754"/>
      <c r="F140" s="754"/>
      <c r="G140" s="754"/>
      <c r="H140" s="754"/>
      <c r="I140" s="754"/>
      <c r="J140" s="754"/>
      <c r="K140" s="754"/>
      <c r="L140" s="754"/>
      <c r="M140" s="754"/>
      <c r="N140" s="754"/>
      <c r="O140" s="754"/>
      <c r="P140" s="754"/>
      <c r="Q140" s="754"/>
      <c r="R140" s="754"/>
      <c r="S140" s="754"/>
      <c r="T140" s="754"/>
      <c r="U140" s="754"/>
      <c r="V140" s="754"/>
      <c r="W140" s="754"/>
      <c r="X140" s="754"/>
      <c r="Y140" s="754"/>
      <c r="Z140" s="754"/>
      <c r="AA140" s="754"/>
      <c r="AB140" s="754"/>
      <c r="AC140" s="754"/>
      <c r="AD140" s="754"/>
      <c r="AE140" s="754"/>
      <c r="AF140" s="754"/>
      <c r="AG140" s="754"/>
      <c r="AH140" s="754"/>
      <c r="AI140" s="754"/>
      <c r="AJ140" s="754"/>
      <c r="AK140" s="754"/>
      <c r="AL140" s="754"/>
      <c r="AM140" s="754"/>
      <c r="AN140" s="754"/>
      <c r="AO140" s="754"/>
      <c r="AP140" s="754"/>
      <c r="AQ140" s="754"/>
      <c r="AR140" s="754"/>
      <c r="AS140" s="754"/>
      <c r="AT140" s="754"/>
      <c r="AU140" s="754"/>
      <c r="AV140" s="754"/>
      <c r="AW140" s="754"/>
      <c r="AX140" s="754"/>
      <c r="AY140" s="754"/>
      <c r="AZ140" s="754"/>
      <c r="BA140" s="754"/>
      <c r="BB140" s="754"/>
      <c r="BC140" s="754"/>
      <c r="BD140" s="754"/>
      <c r="BE140" s="754"/>
      <c r="BF140" s="754"/>
      <c r="BG140" s="754"/>
      <c r="BH140" s="754"/>
    </row>
    <row r="141" spans="1:60">
      <c r="A141" s="754"/>
      <c r="B141" s="754"/>
      <c r="C141" s="754"/>
      <c r="D141" s="754"/>
      <c r="E141" s="754"/>
      <c r="F141" s="754"/>
      <c r="G141" s="754"/>
      <c r="H141" s="754"/>
      <c r="I141" s="754"/>
      <c r="J141" s="754"/>
      <c r="K141" s="754"/>
      <c r="L141" s="754"/>
      <c r="M141" s="754"/>
      <c r="N141" s="754"/>
      <c r="O141" s="754"/>
      <c r="P141" s="754"/>
      <c r="Q141" s="754"/>
      <c r="R141" s="754"/>
      <c r="S141" s="754"/>
      <c r="T141" s="754"/>
      <c r="U141" s="754"/>
      <c r="V141" s="754"/>
      <c r="W141" s="754"/>
      <c r="X141" s="754"/>
      <c r="Y141" s="754"/>
      <c r="Z141" s="754"/>
      <c r="AA141" s="754"/>
      <c r="AB141" s="754"/>
      <c r="AC141" s="754"/>
      <c r="AD141" s="754"/>
      <c r="AE141" s="754"/>
      <c r="AF141" s="754"/>
      <c r="AG141" s="754"/>
      <c r="AH141" s="754"/>
      <c r="AI141" s="754"/>
      <c r="AJ141" s="754"/>
      <c r="AK141" s="754"/>
      <c r="AL141" s="754"/>
      <c r="AM141" s="754"/>
      <c r="AN141" s="754"/>
      <c r="AO141" s="754"/>
      <c r="AP141" s="754"/>
      <c r="AQ141" s="754"/>
      <c r="AR141" s="754"/>
      <c r="AS141" s="754"/>
      <c r="AT141" s="754"/>
      <c r="AU141" s="754"/>
      <c r="AV141" s="754"/>
      <c r="AW141" s="754"/>
      <c r="AX141" s="754"/>
      <c r="AY141" s="754"/>
      <c r="AZ141" s="754"/>
      <c r="BA141" s="754"/>
      <c r="BB141" s="754"/>
      <c r="BC141" s="754"/>
      <c r="BD141" s="754"/>
      <c r="BE141" s="754"/>
      <c r="BF141" s="754"/>
      <c r="BG141" s="754"/>
      <c r="BH141" s="754"/>
    </row>
    <row r="142" spans="1:60">
      <c r="A142" s="754"/>
      <c r="B142" s="754"/>
      <c r="C142" s="754"/>
      <c r="D142" s="754"/>
      <c r="E142" s="754"/>
      <c r="F142" s="754"/>
      <c r="G142" s="754"/>
      <c r="H142" s="754"/>
      <c r="I142" s="754"/>
      <c r="J142" s="754"/>
      <c r="K142" s="754"/>
      <c r="L142" s="754"/>
      <c r="M142" s="754"/>
      <c r="N142" s="754"/>
      <c r="O142" s="754"/>
      <c r="P142" s="754"/>
      <c r="Q142" s="754"/>
      <c r="R142" s="754"/>
      <c r="S142" s="754"/>
      <c r="T142" s="754"/>
      <c r="U142" s="754"/>
      <c r="V142" s="754"/>
      <c r="W142" s="754"/>
      <c r="X142" s="754"/>
      <c r="Y142" s="754"/>
      <c r="Z142" s="754"/>
      <c r="AA142" s="754"/>
      <c r="AB142" s="754"/>
      <c r="AC142" s="754"/>
      <c r="AD142" s="754"/>
      <c r="AE142" s="754"/>
      <c r="AF142" s="754"/>
      <c r="AG142" s="754"/>
      <c r="AH142" s="754"/>
      <c r="AI142" s="754"/>
      <c r="AJ142" s="754"/>
      <c r="AK142" s="754"/>
      <c r="AL142" s="754"/>
      <c r="AM142" s="754"/>
      <c r="AN142" s="754"/>
      <c r="AO142" s="754"/>
      <c r="AP142" s="754"/>
      <c r="AQ142" s="754"/>
      <c r="AR142" s="754"/>
      <c r="AS142" s="754"/>
      <c r="AT142" s="754"/>
      <c r="AU142" s="754"/>
      <c r="AV142" s="754"/>
      <c r="AW142" s="754"/>
      <c r="AX142" s="754"/>
      <c r="AY142" s="754"/>
      <c r="AZ142" s="754"/>
      <c r="BA142" s="754"/>
      <c r="BB142" s="754"/>
      <c r="BC142" s="754"/>
      <c r="BD142" s="754"/>
      <c r="BE142" s="754"/>
      <c r="BF142" s="754"/>
      <c r="BG142" s="754"/>
      <c r="BH142" s="754"/>
    </row>
    <row r="143" spans="1:60">
      <c r="A143" s="754"/>
      <c r="B143" s="754"/>
      <c r="C143" s="754"/>
      <c r="D143" s="754"/>
      <c r="E143" s="754"/>
      <c r="F143" s="754"/>
      <c r="G143" s="754"/>
      <c r="H143" s="754"/>
      <c r="I143" s="754"/>
      <c r="J143" s="754"/>
      <c r="K143" s="754"/>
      <c r="L143" s="754"/>
      <c r="M143" s="754"/>
      <c r="N143" s="754"/>
      <c r="O143" s="754"/>
      <c r="P143" s="754"/>
      <c r="Q143" s="754"/>
      <c r="R143" s="754"/>
      <c r="S143" s="754"/>
      <c r="T143" s="754"/>
      <c r="U143" s="754"/>
      <c r="V143" s="754"/>
      <c r="W143" s="754"/>
      <c r="X143" s="754"/>
      <c r="Y143" s="754"/>
      <c r="Z143" s="754"/>
      <c r="AA143" s="754"/>
      <c r="AB143" s="754"/>
      <c r="AC143" s="754"/>
      <c r="AD143" s="754"/>
      <c r="AE143" s="754"/>
      <c r="AF143" s="754"/>
      <c r="AG143" s="754"/>
      <c r="AH143" s="754"/>
      <c r="AI143" s="754"/>
      <c r="AJ143" s="754"/>
      <c r="AK143" s="754"/>
      <c r="AL143" s="754"/>
      <c r="AM143" s="754"/>
      <c r="AN143" s="754"/>
      <c r="AO143" s="754"/>
      <c r="AP143" s="754"/>
      <c r="AQ143" s="754"/>
      <c r="AR143" s="754"/>
      <c r="AS143" s="754"/>
      <c r="AT143" s="754"/>
      <c r="AU143" s="754"/>
      <c r="AV143" s="754"/>
      <c r="AW143" s="754"/>
      <c r="AX143" s="754"/>
      <c r="AY143" s="754"/>
      <c r="AZ143" s="754"/>
      <c r="BA143" s="754"/>
      <c r="BB143" s="754"/>
      <c r="BC143" s="754"/>
      <c r="BD143" s="754"/>
      <c r="BE143" s="754"/>
      <c r="BF143" s="754"/>
      <c r="BG143" s="754"/>
      <c r="BH143" s="754"/>
    </row>
    <row r="144" spans="1:60">
      <c r="A144" s="754"/>
      <c r="B144" s="754"/>
      <c r="C144" s="754"/>
      <c r="D144" s="754"/>
      <c r="E144" s="754"/>
      <c r="F144" s="754"/>
      <c r="G144" s="754"/>
      <c r="H144" s="754"/>
      <c r="I144" s="754"/>
      <c r="J144" s="754"/>
      <c r="K144" s="754"/>
      <c r="L144" s="754"/>
      <c r="M144" s="754"/>
      <c r="N144" s="754"/>
      <c r="O144" s="754"/>
      <c r="P144" s="754"/>
      <c r="Q144" s="754"/>
      <c r="R144" s="754"/>
      <c r="S144" s="754"/>
      <c r="T144" s="754"/>
      <c r="U144" s="754"/>
      <c r="V144" s="754"/>
      <c r="W144" s="754"/>
      <c r="X144" s="754"/>
      <c r="Y144" s="754"/>
      <c r="Z144" s="754"/>
      <c r="AA144" s="754"/>
      <c r="AB144" s="754"/>
      <c r="AC144" s="754"/>
      <c r="AD144" s="754"/>
      <c r="AE144" s="754"/>
      <c r="AF144" s="754"/>
      <c r="AG144" s="754"/>
      <c r="AH144" s="754"/>
      <c r="AI144" s="754"/>
      <c r="AJ144" s="754"/>
      <c r="AK144" s="754"/>
      <c r="AL144" s="754"/>
      <c r="AM144" s="754"/>
      <c r="AN144" s="754"/>
      <c r="AO144" s="754"/>
      <c r="AP144" s="754"/>
      <c r="AQ144" s="754"/>
      <c r="AR144" s="754"/>
      <c r="AS144" s="754"/>
      <c r="AT144" s="754"/>
      <c r="AU144" s="754"/>
      <c r="AV144" s="754"/>
      <c r="AW144" s="754"/>
      <c r="AX144" s="754"/>
      <c r="AY144" s="754"/>
      <c r="AZ144" s="754"/>
      <c r="BA144" s="754"/>
      <c r="BB144" s="754"/>
      <c r="BC144" s="754"/>
      <c r="BD144" s="754"/>
      <c r="BE144" s="754"/>
      <c r="BF144" s="754"/>
      <c r="BG144" s="754"/>
      <c r="BH144" s="754"/>
    </row>
    <row r="145" spans="1:60">
      <c r="A145" s="754"/>
      <c r="B145" s="754"/>
      <c r="C145" s="754"/>
      <c r="D145" s="754"/>
      <c r="E145" s="754"/>
      <c r="F145" s="754"/>
      <c r="G145" s="754"/>
      <c r="H145" s="754"/>
      <c r="I145" s="754"/>
      <c r="J145" s="754"/>
      <c r="K145" s="754"/>
      <c r="L145" s="754"/>
      <c r="M145" s="754"/>
      <c r="N145" s="754"/>
      <c r="O145" s="754"/>
      <c r="P145" s="754"/>
      <c r="Q145" s="754"/>
      <c r="R145" s="754"/>
      <c r="S145" s="754"/>
      <c r="T145" s="754"/>
      <c r="U145" s="754"/>
      <c r="V145" s="754"/>
      <c r="W145" s="754"/>
      <c r="X145" s="754"/>
      <c r="Y145" s="754"/>
      <c r="Z145" s="754"/>
      <c r="AA145" s="754"/>
      <c r="AB145" s="754"/>
      <c r="AC145" s="754"/>
      <c r="AD145" s="754"/>
      <c r="AE145" s="754"/>
      <c r="AF145" s="754"/>
      <c r="AG145" s="754"/>
      <c r="AH145" s="754"/>
      <c r="AI145" s="754"/>
      <c r="AJ145" s="754"/>
      <c r="AK145" s="754"/>
      <c r="AL145" s="754"/>
      <c r="AM145" s="754"/>
      <c r="AN145" s="754"/>
      <c r="AO145" s="754"/>
      <c r="AP145" s="754"/>
      <c r="AQ145" s="754"/>
      <c r="AR145" s="754"/>
      <c r="AS145" s="754"/>
      <c r="AT145" s="754"/>
      <c r="AU145" s="754"/>
      <c r="AV145" s="754"/>
      <c r="AW145" s="754"/>
      <c r="AX145" s="754"/>
      <c r="AY145" s="754"/>
      <c r="AZ145" s="754"/>
      <c r="BA145" s="754"/>
      <c r="BB145" s="754"/>
      <c r="BC145" s="754"/>
      <c r="BD145" s="754"/>
      <c r="BE145" s="754"/>
      <c r="BF145" s="754"/>
      <c r="BG145" s="754"/>
      <c r="BH145" s="754"/>
    </row>
    <row r="146" spans="1:60">
      <c r="A146" s="754"/>
      <c r="B146" s="754"/>
      <c r="C146" s="754"/>
      <c r="D146" s="754"/>
      <c r="E146" s="754"/>
      <c r="F146" s="754"/>
      <c r="G146" s="754"/>
      <c r="H146" s="754"/>
      <c r="I146" s="754"/>
      <c r="J146" s="754"/>
      <c r="K146" s="754"/>
      <c r="L146" s="754"/>
      <c r="M146" s="754"/>
      <c r="N146" s="754"/>
      <c r="O146" s="754"/>
      <c r="P146" s="754"/>
      <c r="Q146" s="754"/>
      <c r="R146" s="754"/>
      <c r="S146" s="754"/>
      <c r="T146" s="754"/>
      <c r="U146" s="754"/>
      <c r="V146" s="754"/>
      <c r="W146" s="754"/>
      <c r="X146" s="754"/>
      <c r="Y146" s="754"/>
      <c r="Z146" s="754"/>
      <c r="AA146" s="754"/>
      <c r="AB146" s="754"/>
      <c r="AC146" s="754"/>
      <c r="AD146" s="754"/>
      <c r="AE146" s="754"/>
      <c r="AF146" s="754"/>
      <c r="AG146" s="754"/>
      <c r="AH146" s="754"/>
      <c r="AI146" s="754"/>
      <c r="AJ146" s="754"/>
      <c r="AK146" s="754"/>
      <c r="AL146" s="754"/>
      <c r="AM146" s="754"/>
      <c r="AN146" s="754"/>
      <c r="AO146" s="754"/>
      <c r="AP146" s="754"/>
      <c r="AQ146" s="754"/>
      <c r="AR146" s="754"/>
      <c r="AS146" s="754"/>
      <c r="AT146" s="754"/>
      <c r="AU146" s="754"/>
      <c r="AV146" s="754"/>
      <c r="AW146" s="754"/>
      <c r="AX146" s="754"/>
      <c r="AY146" s="754"/>
      <c r="AZ146" s="754"/>
      <c r="BA146" s="754"/>
      <c r="BB146" s="754"/>
      <c r="BC146" s="754"/>
      <c r="BD146" s="754"/>
      <c r="BE146" s="754"/>
      <c r="BF146" s="754"/>
      <c r="BG146" s="754"/>
      <c r="BH146" s="754"/>
    </row>
    <row r="147" spans="1:60">
      <c r="A147" s="754"/>
      <c r="B147" s="754"/>
      <c r="C147" s="754"/>
      <c r="D147" s="754"/>
      <c r="E147" s="754"/>
      <c r="F147" s="754"/>
      <c r="G147" s="754"/>
      <c r="H147" s="754"/>
      <c r="I147" s="754"/>
      <c r="J147" s="754"/>
      <c r="K147" s="754"/>
      <c r="L147" s="754"/>
      <c r="M147" s="754"/>
      <c r="N147" s="754"/>
      <c r="O147" s="754"/>
      <c r="P147" s="754"/>
      <c r="Q147" s="754"/>
      <c r="R147" s="754"/>
      <c r="S147" s="754"/>
      <c r="T147" s="754"/>
      <c r="U147" s="754"/>
      <c r="V147" s="754"/>
      <c r="W147" s="754"/>
      <c r="X147" s="754"/>
      <c r="Y147" s="754"/>
      <c r="Z147" s="754"/>
      <c r="AA147" s="754"/>
      <c r="AB147" s="754"/>
      <c r="AC147" s="754"/>
      <c r="AD147" s="754"/>
      <c r="AE147" s="754"/>
      <c r="AF147" s="754"/>
      <c r="AG147" s="754"/>
      <c r="AH147" s="754"/>
      <c r="AI147" s="754"/>
      <c r="AJ147" s="754"/>
      <c r="AK147" s="754"/>
      <c r="AL147" s="754"/>
      <c r="AM147" s="754"/>
      <c r="AN147" s="754"/>
      <c r="AO147" s="754"/>
      <c r="AP147" s="754"/>
      <c r="AQ147" s="754"/>
      <c r="AR147" s="754"/>
      <c r="AS147" s="754"/>
      <c r="AT147" s="754"/>
      <c r="AU147" s="754"/>
      <c r="AV147" s="754"/>
      <c r="AW147" s="754"/>
      <c r="AX147" s="754"/>
      <c r="AY147" s="754"/>
      <c r="AZ147" s="754"/>
      <c r="BA147" s="754"/>
      <c r="BB147" s="754"/>
      <c r="BC147" s="754"/>
      <c r="BD147" s="754"/>
      <c r="BE147" s="754"/>
      <c r="BF147" s="754"/>
      <c r="BG147" s="754"/>
      <c r="BH147" s="754"/>
    </row>
    <row r="148" spans="1:60">
      <c r="A148" s="754"/>
      <c r="B148" s="754"/>
      <c r="C148" s="754"/>
      <c r="D148" s="754"/>
      <c r="E148" s="754"/>
      <c r="F148" s="754"/>
      <c r="G148" s="754"/>
      <c r="H148" s="754"/>
      <c r="I148" s="754"/>
      <c r="J148" s="754"/>
      <c r="K148" s="754"/>
      <c r="L148" s="754"/>
      <c r="M148" s="754"/>
      <c r="N148" s="754"/>
      <c r="O148" s="754"/>
      <c r="P148" s="754"/>
      <c r="Q148" s="754"/>
      <c r="R148" s="754"/>
      <c r="S148" s="754"/>
      <c r="T148" s="754"/>
      <c r="U148" s="754"/>
      <c r="V148" s="754"/>
      <c r="W148" s="754"/>
      <c r="X148" s="754"/>
      <c r="Y148" s="754"/>
      <c r="Z148" s="754"/>
      <c r="AA148" s="754"/>
      <c r="AB148" s="754"/>
      <c r="AC148" s="754"/>
      <c r="AD148" s="754"/>
      <c r="AE148" s="754"/>
      <c r="AF148" s="754"/>
      <c r="AG148" s="754"/>
      <c r="AH148" s="754"/>
      <c r="AI148" s="754"/>
      <c r="AJ148" s="754"/>
      <c r="AK148" s="754"/>
      <c r="AL148" s="754"/>
      <c r="AM148" s="754"/>
      <c r="AN148" s="754"/>
      <c r="AO148" s="754"/>
      <c r="AP148" s="754"/>
      <c r="AQ148" s="754"/>
      <c r="AR148" s="754"/>
      <c r="AS148" s="754"/>
      <c r="AT148" s="754"/>
      <c r="AU148" s="754"/>
      <c r="AV148" s="754"/>
      <c r="AW148" s="754"/>
      <c r="AX148" s="754"/>
      <c r="AY148" s="754"/>
      <c r="AZ148" s="754"/>
      <c r="BA148" s="754"/>
      <c r="BB148" s="754"/>
      <c r="BC148" s="754"/>
      <c r="BD148" s="754"/>
      <c r="BE148" s="754"/>
      <c r="BF148" s="754"/>
      <c r="BG148" s="754"/>
      <c r="BH148" s="754"/>
    </row>
    <row r="149" spans="1:60">
      <c r="A149" s="754"/>
      <c r="B149" s="754"/>
      <c r="C149" s="754"/>
      <c r="D149" s="754"/>
      <c r="E149" s="754"/>
      <c r="F149" s="754"/>
      <c r="G149" s="754"/>
      <c r="H149" s="754"/>
      <c r="I149" s="754"/>
      <c r="J149" s="754"/>
      <c r="K149" s="754"/>
      <c r="L149" s="754"/>
      <c r="M149" s="754"/>
      <c r="N149" s="754"/>
      <c r="O149" s="754"/>
      <c r="P149" s="754"/>
      <c r="Q149" s="754"/>
      <c r="R149" s="754"/>
      <c r="S149" s="754"/>
      <c r="T149" s="754"/>
      <c r="U149" s="754"/>
      <c r="V149" s="754"/>
      <c r="W149" s="754"/>
      <c r="X149" s="754"/>
      <c r="Y149" s="754"/>
      <c r="Z149" s="754"/>
      <c r="AA149" s="754"/>
      <c r="AB149" s="754"/>
      <c r="AC149" s="754"/>
      <c r="AD149" s="754"/>
      <c r="AE149" s="754"/>
      <c r="AF149" s="754"/>
      <c r="AG149" s="754"/>
      <c r="AH149" s="754"/>
      <c r="AI149" s="754"/>
      <c r="AJ149" s="754"/>
      <c r="AK149" s="754"/>
      <c r="AL149" s="754"/>
      <c r="AM149" s="754"/>
      <c r="AN149" s="754"/>
      <c r="AO149" s="754"/>
      <c r="AP149" s="754"/>
      <c r="AQ149" s="754"/>
      <c r="AR149" s="754"/>
      <c r="AS149" s="754"/>
      <c r="AT149" s="754"/>
      <c r="AU149" s="754"/>
      <c r="AV149" s="754"/>
      <c r="AW149" s="754"/>
      <c r="AX149" s="754"/>
      <c r="AY149" s="754"/>
      <c r="AZ149" s="754"/>
      <c r="BA149" s="754"/>
      <c r="BB149" s="754"/>
      <c r="BC149" s="754"/>
      <c r="BD149" s="754"/>
      <c r="BE149" s="754"/>
      <c r="BF149" s="754"/>
      <c r="BG149" s="754"/>
      <c r="BH149" s="754"/>
    </row>
    <row r="150" spans="1:60">
      <c r="A150" s="754"/>
      <c r="B150" s="754"/>
      <c r="C150" s="754"/>
      <c r="D150" s="754"/>
      <c r="E150" s="754"/>
      <c r="F150" s="754"/>
      <c r="G150" s="754"/>
      <c r="H150" s="754"/>
      <c r="I150" s="754"/>
      <c r="J150" s="754"/>
      <c r="K150" s="754"/>
      <c r="L150" s="754"/>
      <c r="M150" s="754"/>
      <c r="N150" s="754"/>
      <c r="O150" s="754"/>
      <c r="P150" s="754"/>
      <c r="Q150" s="754"/>
      <c r="R150" s="754"/>
      <c r="S150" s="754"/>
      <c r="T150" s="754"/>
      <c r="U150" s="754"/>
      <c r="V150" s="754"/>
      <c r="W150" s="754"/>
      <c r="X150" s="754"/>
      <c r="Y150" s="754"/>
      <c r="Z150" s="754"/>
      <c r="AA150" s="754"/>
      <c r="AB150" s="754"/>
      <c r="AC150" s="754"/>
      <c r="AD150" s="754"/>
      <c r="AE150" s="754"/>
      <c r="AF150" s="754"/>
      <c r="AG150" s="754"/>
      <c r="AH150" s="754"/>
      <c r="AI150" s="754"/>
      <c r="AJ150" s="754"/>
      <c r="AK150" s="754"/>
      <c r="AL150" s="754"/>
      <c r="AM150" s="754"/>
      <c r="AN150" s="754"/>
      <c r="AO150" s="754"/>
      <c r="AP150" s="754"/>
      <c r="AQ150" s="754"/>
      <c r="AR150" s="754"/>
      <c r="AS150" s="754"/>
      <c r="AT150" s="754"/>
      <c r="AU150" s="754"/>
      <c r="AV150" s="754"/>
      <c r="AW150" s="754"/>
      <c r="AX150" s="754"/>
      <c r="AY150" s="754"/>
      <c r="AZ150" s="754"/>
      <c r="BA150" s="754"/>
      <c r="BB150" s="754"/>
      <c r="BC150" s="754"/>
      <c r="BD150" s="754"/>
      <c r="BE150" s="754"/>
      <c r="BF150" s="754"/>
      <c r="BG150" s="754"/>
      <c r="BH150" s="754"/>
    </row>
    <row r="151" spans="1:60">
      <c r="A151" s="754"/>
      <c r="B151" s="754"/>
      <c r="C151" s="754"/>
      <c r="D151" s="754"/>
      <c r="E151" s="754"/>
      <c r="F151" s="754"/>
      <c r="G151" s="754"/>
      <c r="H151" s="754"/>
      <c r="I151" s="754"/>
      <c r="J151" s="754"/>
      <c r="K151" s="754"/>
      <c r="L151" s="754"/>
      <c r="M151" s="754"/>
      <c r="N151" s="754"/>
      <c r="O151" s="754"/>
      <c r="P151" s="754"/>
      <c r="Q151" s="754"/>
      <c r="R151" s="754"/>
      <c r="S151" s="754"/>
      <c r="T151" s="754"/>
      <c r="U151" s="754"/>
      <c r="V151" s="754"/>
      <c r="W151" s="754"/>
      <c r="X151" s="754"/>
      <c r="Y151" s="754"/>
      <c r="Z151" s="754"/>
      <c r="AA151" s="754"/>
      <c r="AB151" s="754"/>
      <c r="AC151" s="754"/>
      <c r="AD151" s="754"/>
      <c r="AE151" s="754"/>
      <c r="AF151" s="754"/>
      <c r="AG151" s="754"/>
      <c r="AH151" s="754"/>
      <c r="AI151" s="754"/>
      <c r="AJ151" s="754"/>
      <c r="AK151" s="754"/>
      <c r="AL151" s="754"/>
      <c r="AM151" s="754"/>
      <c r="AN151" s="754"/>
      <c r="AO151" s="754"/>
      <c r="AP151" s="754"/>
      <c r="AQ151" s="754"/>
      <c r="AR151" s="754"/>
      <c r="AS151" s="754"/>
      <c r="AT151" s="754"/>
      <c r="AU151" s="754"/>
      <c r="AV151" s="754"/>
      <c r="AW151" s="754"/>
      <c r="AX151" s="754"/>
      <c r="AY151" s="754"/>
      <c r="AZ151" s="754"/>
      <c r="BA151" s="754"/>
      <c r="BB151" s="754"/>
      <c r="BC151" s="754"/>
      <c r="BD151" s="754"/>
      <c r="BE151" s="754"/>
      <c r="BF151" s="754"/>
      <c r="BG151" s="754"/>
      <c r="BH151" s="754"/>
    </row>
    <row r="152" spans="1:60">
      <c r="A152" s="754"/>
      <c r="B152" s="754"/>
      <c r="C152" s="754"/>
      <c r="D152" s="754"/>
      <c r="E152" s="754"/>
      <c r="F152" s="754"/>
      <c r="G152" s="754"/>
      <c r="H152" s="754"/>
      <c r="I152" s="754"/>
      <c r="J152" s="754"/>
      <c r="K152" s="754"/>
      <c r="L152" s="754"/>
      <c r="M152" s="754"/>
      <c r="N152" s="754"/>
      <c r="O152" s="754"/>
      <c r="P152" s="754"/>
      <c r="Q152" s="754"/>
      <c r="R152" s="754"/>
      <c r="S152" s="754"/>
      <c r="T152" s="754"/>
      <c r="U152" s="754"/>
      <c r="V152" s="754"/>
      <c r="W152" s="754"/>
      <c r="X152" s="754"/>
      <c r="Y152" s="754"/>
      <c r="Z152" s="754"/>
      <c r="AA152" s="754"/>
      <c r="AB152" s="754"/>
      <c r="AC152" s="754"/>
      <c r="AD152" s="754"/>
      <c r="AE152" s="754"/>
      <c r="AF152" s="754"/>
      <c r="AG152" s="754"/>
      <c r="AH152" s="754"/>
      <c r="AI152" s="754"/>
      <c r="AJ152" s="754"/>
      <c r="AK152" s="754"/>
      <c r="AL152" s="754"/>
      <c r="AM152" s="754"/>
      <c r="AN152" s="754"/>
      <c r="AO152" s="754"/>
      <c r="AP152" s="754"/>
      <c r="AQ152" s="754"/>
      <c r="AR152" s="754"/>
      <c r="AS152" s="754"/>
      <c r="AT152" s="754"/>
      <c r="AU152" s="754"/>
      <c r="AV152" s="754"/>
      <c r="AW152" s="754"/>
      <c r="AX152" s="754"/>
      <c r="AY152" s="754"/>
      <c r="AZ152" s="754"/>
      <c r="BA152" s="754"/>
      <c r="BB152" s="754"/>
      <c r="BC152" s="754"/>
      <c r="BD152" s="754"/>
      <c r="BE152" s="754"/>
      <c r="BF152" s="754"/>
      <c r="BG152" s="754"/>
      <c r="BH152" s="754"/>
    </row>
    <row r="153" spans="1:60">
      <c r="A153" s="754"/>
      <c r="B153" s="754"/>
      <c r="C153" s="754"/>
      <c r="D153" s="754"/>
      <c r="E153" s="754"/>
      <c r="F153" s="754"/>
      <c r="G153" s="754"/>
      <c r="H153" s="754"/>
      <c r="I153" s="754"/>
      <c r="J153" s="754"/>
      <c r="K153" s="754"/>
      <c r="L153" s="754"/>
      <c r="M153" s="754"/>
      <c r="N153" s="754"/>
      <c r="O153" s="754"/>
      <c r="P153" s="754"/>
      <c r="Q153" s="754"/>
      <c r="R153" s="754"/>
      <c r="S153" s="754"/>
      <c r="T153" s="754"/>
      <c r="U153" s="754"/>
      <c r="V153" s="754"/>
      <c r="W153" s="754"/>
      <c r="X153" s="754"/>
      <c r="Y153" s="754"/>
      <c r="Z153" s="754"/>
      <c r="AA153" s="754"/>
      <c r="AB153" s="754"/>
      <c r="AC153" s="754"/>
      <c r="AD153" s="754"/>
      <c r="AE153" s="754"/>
      <c r="AF153" s="754"/>
      <c r="AG153" s="754"/>
      <c r="AH153" s="754"/>
      <c r="AI153" s="754"/>
      <c r="AJ153" s="754"/>
      <c r="AK153" s="754"/>
      <c r="AL153" s="754"/>
      <c r="AM153" s="754"/>
      <c r="AN153" s="754"/>
      <c r="AO153" s="754"/>
      <c r="AP153" s="754"/>
      <c r="AQ153" s="754"/>
      <c r="AR153" s="754"/>
      <c r="AS153" s="754"/>
      <c r="AT153" s="754"/>
      <c r="AU153" s="754"/>
      <c r="AV153" s="754"/>
      <c r="AW153" s="754"/>
      <c r="AX153" s="754"/>
      <c r="AY153" s="754"/>
      <c r="AZ153" s="754"/>
      <c r="BA153" s="754"/>
      <c r="BB153" s="754"/>
      <c r="BC153" s="754"/>
      <c r="BD153" s="754"/>
      <c r="BE153" s="754"/>
      <c r="BF153" s="754"/>
      <c r="BG153" s="754"/>
      <c r="BH153" s="754"/>
    </row>
    <row r="154" spans="1:60">
      <c r="A154" s="754"/>
      <c r="B154" s="754"/>
      <c r="C154" s="754"/>
      <c r="D154" s="754"/>
      <c r="E154" s="754"/>
      <c r="F154" s="754"/>
      <c r="G154" s="754"/>
      <c r="H154" s="754"/>
      <c r="I154" s="754"/>
      <c r="J154" s="754"/>
      <c r="K154" s="754"/>
      <c r="L154" s="754"/>
      <c r="M154" s="754"/>
      <c r="N154" s="754"/>
      <c r="O154" s="754"/>
      <c r="P154" s="754"/>
      <c r="Q154" s="754"/>
      <c r="R154" s="754"/>
      <c r="S154" s="754"/>
      <c r="T154" s="754"/>
      <c r="U154" s="754"/>
      <c r="V154" s="754"/>
      <c r="W154" s="754"/>
      <c r="X154" s="754"/>
      <c r="Y154" s="754"/>
      <c r="Z154" s="754"/>
      <c r="AA154" s="754"/>
      <c r="AB154" s="754"/>
      <c r="AC154" s="754"/>
      <c r="AD154" s="754"/>
      <c r="AE154" s="754"/>
      <c r="AF154" s="754"/>
      <c r="AG154" s="754"/>
      <c r="AH154" s="754"/>
      <c r="AI154" s="754"/>
      <c r="AJ154" s="754"/>
      <c r="AK154" s="754"/>
      <c r="AL154" s="754"/>
      <c r="AM154" s="754"/>
      <c r="AN154" s="754"/>
      <c r="AO154" s="754"/>
      <c r="AP154" s="754"/>
      <c r="AQ154" s="754"/>
      <c r="AR154" s="754"/>
      <c r="AS154" s="754"/>
      <c r="AT154" s="754"/>
      <c r="AU154" s="754"/>
      <c r="AV154" s="754"/>
      <c r="AW154" s="754"/>
      <c r="AX154" s="754"/>
      <c r="AY154" s="754"/>
      <c r="AZ154" s="754"/>
      <c r="BA154" s="754"/>
      <c r="BB154" s="754"/>
      <c r="BC154" s="754"/>
      <c r="BD154" s="754"/>
      <c r="BE154" s="754"/>
      <c r="BF154" s="754"/>
      <c r="BG154" s="754"/>
      <c r="BH154" s="754"/>
    </row>
    <row r="155" spans="1:60">
      <c r="A155" s="754"/>
      <c r="B155" s="754"/>
      <c r="C155" s="754"/>
      <c r="D155" s="754"/>
      <c r="E155" s="754"/>
      <c r="F155" s="754"/>
      <c r="G155" s="754"/>
      <c r="H155" s="754"/>
      <c r="I155" s="754"/>
      <c r="J155" s="754"/>
      <c r="K155" s="754"/>
      <c r="L155" s="754"/>
      <c r="M155" s="754"/>
      <c r="N155" s="754"/>
      <c r="O155" s="754"/>
      <c r="P155" s="754"/>
      <c r="Q155" s="754"/>
      <c r="R155" s="754"/>
      <c r="S155" s="754"/>
      <c r="T155" s="754"/>
      <c r="U155" s="754"/>
      <c r="V155" s="754"/>
      <c r="W155" s="754"/>
      <c r="X155" s="754"/>
      <c r="Y155" s="754"/>
      <c r="Z155" s="754"/>
      <c r="AA155" s="754"/>
      <c r="AB155" s="754"/>
      <c r="AC155" s="754"/>
      <c r="AD155" s="754"/>
      <c r="AE155" s="754"/>
      <c r="AF155" s="754"/>
      <c r="AG155" s="754"/>
      <c r="AH155" s="754"/>
      <c r="AI155" s="754"/>
      <c r="AJ155" s="754"/>
      <c r="AK155" s="754"/>
      <c r="AL155" s="754"/>
      <c r="AM155" s="754"/>
      <c r="AN155" s="754"/>
      <c r="AO155" s="754"/>
      <c r="AP155" s="754"/>
      <c r="AQ155" s="754"/>
      <c r="AR155" s="754"/>
      <c r="AS155" s="754"/>
      <c r="AT155" s="754"/>
      <c r="AU155" s="754"/>
      <c r="AV155" s="754"/>
      <c r="AW155" s="754"/>
      <c r="AX155" s="754"/>
      <c r="AY155" s="754"/>
      <c r="AZ155" s="754"/>
      <c r="BA155" s="754"/>
      <c r="BB155" s="754"/>
      <c r="BC155" s="754"/>
      <c r="BD155" s="754"/>
      <c r="BE155" s="754"/>
      <c r="BF155" s="754"/>
      <c r="BG155" s="754"/>
      <c r="BH155" s="754"/>
    </row>
    <row r="156" spans="1:60">
      <c r="A156" s="754"/>
      <c r="B156" s="754"/>
      <c r="C156" s="754"/>
      <c r="D156" s="754"/>
      <c r="E156" s="754"/>
      <c r="F156" s="754"/>
      <c r="G156" s="754"/>
      <c r="H156" s="754"/>
      <c r="I156" s="754"/>
      <c r="J156" s="754"/>
      <c r="K156" s="754"/>
      <c r="L156" s="754"/>
      <c r="M156" s="754"/>
      <c r="N156" s="754"/>
      <c r="O156" s="754"/>
      <c r="P156" s="754"/>
      <c r="Q156" s="754"/>
      <c r="R156" s="754"/>
      <c r="S156" s="754"/>
      <c r="T156" s="754"/>
      <c r="U156" s="754"/>
      <c r="V156" s="754"/>
      <c r="W156" s="754"/>
      <c r="X156" s="754"/>
      <c r="Y156" s="754"/>
      <c r="Z156" s="754"/>
      <c r="AA156" s="754"/>
      <c r="AB156" s="754"/>
      <c r="AC156" s="754"/>
      <c r="AD156" s="754"/>
      <c r="AE156" s="754"/>
      <c r="AF156" s="754"/>
      <c r="AG156" s="754"/>
      <c r="AH156" s="754"/>
      <c r="AI156" s="754"/>
      <c r="AJ156" s="754"/>
      <c r="AK156" s="754"/>
      <c r="AL156" s="754"/>
      <c r="AM156" s="754"/>
      <c r="AN156" s="754"/>
      <c r="AO156" s="754"/>
      <c r="AP156" s="754"/>
      <c r="AQ156" s="754"/>
      <c r="AR156" s="754"/>
      <c r="AS156" s="754"/>
      <c r="AT156" s="754"/>
      <c r="AU156" s="754"/>
      <c r="AV156" s="754"/>
      <c r="AW156" s="754"/>
      <c r="AX156" s="754"/>
      <c r="AY156" s="754"/>
      <c r="AZ156" s="754"/>
      <c r="BA156" s="754"/>
      <c r="BB156" s="754"/>
      <c r="BC156" s="754"/>
      <c r="BD156" s="754"/>
      <c r="BE156" s="754"/>
      <c r="BF156" s="754"/>
      <c r="BG156" s="754"/>
      <c r="BH156" s="754"/>
    </row>
    <row r="157" spans="1:60">
      <c r="A157" s="754"/>
      <c r="B157" s="754"/>
      <c r="C157" s="754"/>
      <c r="D157" s="754"/>
      <c r="E157" s="754"/>
      <c r="F157" s="754"/>
      <c r="G157" s="754"/>
      <c r="H157" s="754"/>
      <c r="I157" s="754"/>
      <c r="J157" s="754"/>
      <c r="K157" s="754"/>
      <c r="L157" s="754"/>
      <c r="M157" s="754"/>
      <c r="N157" s="754"/>
      <c r="O157" s="754"/>
      <c r="P157" s="754"/>
      <c r="Q157" s="754"/>
      <c r="R157" s="754"/>
      <c r="S157" s="754"/>
      <c r="T157" s="754"/>
      <c r="U157" s="754"/>
      <c r="V157" s="754"/>
      <c r="W157" s="754"/>
      <c r="X157" s="754"/>
      <c r="Y157" s="754"/>
      <c r="Z157" s="754"/>
      <c r="AA157" s="754"/>
      <c r="AB157" s="754"/>
      <c r="AC157" s="754"/>
      <c r="AD157" s="754"/>
      <c r="AE157" s="754"/>
      <c r="AF157" s="754"/>
      <c r="AG157" s="754"/>
      <c r="AH157" s="754"/>
      <c r="AI157" s="754"/>
      <c r="AJ157" s="754"/>
      <c r="AK157" s="754"/>
      <c r="AL157" s="754"/>
      <c r="AM157" s="754"/>
      <c r="AN157" s="754"/>
      <c r="AO157" s="754"/>
      <c r="AP157" s="754"/>
      <c r="AQ157" s="754"/>
      <c r="AR157" s="754"/>
      <c r="AS157" s="754"/>
      <c r="AT157" s="754"/>
      <c r="AU157" s="754"/>
      <c r="AV157" s="754"/>
      <c r="AW157" s="754"/>
      <c r="AX157" s="754"/>
      <c r="AY157" s="754"/>
      <c r="AZ157" s="754"/>
      <c r="BA157" s="754"/>
      <c r="BB157" s="754"/>
      <c r="BC157" s="754"/>
      <c r="BD157" s="754"/>
      <c r="BE157" s="754"/>
      <c r="BF157" s="754"/>
      <c r="BG157" s="754"/>
      <c r="BH157" s="754"/>
    </row>
    <row r="158" spans="1:60">
      <c r="A158" s="754"/>
      <c r="B158" s="754"/>
      <c r="C158" s="754"/>
      <c r="D158" s="754"/>
      <c r="E158" s="754"/>
      <c r="F158" s="754"/>
      <c r="G158" s="754"/>
      <c r="H158" s="754"/>
      <c r="I158" s="754"/>
      <c r="J158" s="754"/>
      <c r="K158" s="754"/>
      <c r="L158" s="754"/>
      <c r="M158" s="754"/>
      <c r="N158" s="754"/>
      <c r="O158" s="754"/>
      <c r="P158" s="754"/>
      <c r="Q158" s="754"/>
      <c r="R158" s="754"/>
      <c r="S158" s="754"/>
      <c r="T158" s="754"/>
      <c r="U158" s="754"/>
      <c r="V158" s="754"/>
      <c r="W158" s="754"/>
      <c r="X158" s="754"/>
      <c r="Y158" s="754"/>
      <c r="Z158" s="754"/>
      <c r="AA158" s="754"/>
      <c r="AB158" s="754"/>
      <c r="AC158" s="754"/>
      <c r="AD158" s="754"/>
      <c r="AE158" s="754"/>
      <c r="AF158" s="754"/>
      <c r="AG158" s="754"/>
      <c r="AH158" s="754"/>
      <c r="AI158" s="754"/>
      <c r="AJ158" s="754"/>
      <c r="AK158" s="754"/>
      <c r="AL158" s="754"/>
      <c r="AM158" s="754"/>
      <c r="AN158" s="754"/>
      <c r="AO158" s="754"/>
      <c r="AP158" s="754"/>
      <c r="AQ158" s="754"/>
      <c r="AR158" s="754"/>
      <c r="AS158" s="754"/>
      <c r="AT158" s="754"/>
      <c r="AU158" s="754"/>
      <c r="AV158" s="754"/>
      <c r="AW158" s="754"/>
      <c r="AX158" s="754"/>
      <c r="AY158" s="754"/>
      <c r="AZ158" s="754"/>
      <c r="BA158" s="754"/>
      <c r="BB158" s="754"/>
      <c r="BC158" s="754"/>
      <c r="BD158" s="754"/>
      <c r="BE158" s="754"/>
      <c r="BF158" s="754"/>
      <c r="BG158" s="754"/>
      <c r="BH158" s="754"/>
    </row>
    <row r="159" spans="1:60">
      <c r="A159" s="754"/>
      <c r="B159" s="754"/>
      <c r="C159" s="754"/>
      <c r="D159" s="754"/>
      <c r="E159" s="754"/>
      <c r="F159" s="754"/>
      <c r="G159" s="754"/>
      <c r="H159" s="754"/>
      <c r="I159" s="754"/>
      <c r="J159" s="754"/>
      <c r="K159" s="754"/>
      <c r="L159" s="754"/>
      <c r="M159" s="754"/>
      <c r="N159" s="754"/>
      <c r="O159" s="754"/>
      <c r="P159" s="754"/>
      <c r="Q159" s="754"/>
      <c r="R159" s="754"/>
      <c r="S159" s="754"/>
      <c r="T159" s="754"/>
      <c r="U159" s="754"/>
      <c r="V159" s="754"/>
      <c r="W159" s="754"/>
      <c r="X159" s="754"/>
      <c r="Y159" s="754"/>
      <c r="Z159" s="754"/>
      <c r="AA159" s="754"/>
      <c r="AB159" s="754"/>
      <c r="AC159" s="754"/>
      <c r="AD159" s="754"/>
      <c r="AE159" s="754"/>
      <c r="AF159" s="754"/>
      <c r="AG159" s="754"/>
      <c r="AH159" s="754"/>
      <c r="AI159" s="754"/>
      <c r="AJ159" s="754"/>
      <c r="AK159" s="754"/>
      <c r="AL159" s="754"/>
      <c r="AM159" s="754"/>
      <c r="AN159" s="754"/>
      <c r="AO159" s="754"/>
      <c r="AP159" s="754"/>
      <c r="AQ159" s="754"/>
      <c r="AR159" s="754"/>
      <c r="AS159" s="754"/>
      <c r="AT159" s="754"/>
      <c r="AU159" s="754"/>
      <c r="AV159" s="754"/>
      <c r="AW159" s="754"/>
      <c r="AX159" s="754"/>
      <c r="AY159" s="754"/>
      <c r="AZ159" s="754"/>
      <c r="BA159" s="754"/>
      <c r="BB159" s="754"/>
      <c r="BC159" s="754"/>
      <c r="BD159" s="754"/>
      <c r="BE159" s="754"/>
      <c r="BF159" s="754"/>
      <c r="BG159" s="754"/>
      <c r="BH159" s="754"/>
    </row>
    <row r="160" spans="1:60">
      <c r="A160" s="754"/>
      <c r="B160" s="754"/>
      <c r="C160" s="754"/>
      <c r="D160" s="754"/>
      <c r="E160" s="754"/>
      <c r="F160" s="754"/>
      <c r="G160" s="754"/>
      <c r="H160" s="754"/>
      <c r="I160" s="754"/>
      <c r="J160" s="754"/>
      <c r="K160" s="754"/>
      <c r="L160" s="754"/>
      <c r="M160" s="754"/>
      <c r="N160" s="754"/>
      <c r="O160" s="754"/>
      <c r="P160" s="754"/>
      <c r="Q160" s="754"/>
      <c r="R160" s="754"/>
      <c r="S160" s="754"/>
      <c r="T160" s="754"/>
      <c r="U160" s="754"/>
      <c r="V160" s="754"/>
      <c r="W160" s="754"/>
      <c r="X160" s="754"/>
      <c r="Y160" s="754"/>
      <c r="Z160" s="754"/>
      <c r="AA160" s="754"/>
      <c r="AB160" s="754"/>
      <c r="AC160" s="754"/>
      <c r="AD160" s="754"/>
      <c r="AE160" s="754"/>
      <c r="AF160" s="754"/>
      <c r="AG160" s="754"/>
      <c r="AH160" s="754"/>
      <c r="AI160" s="754"/>
      <c r="AJ160" s="754"/>
      <c r="AK160" s="754"/>
      <c r="AL160" s="754"/>
      <c r="AM160" s="754"/>
      <c r="AN160" s="754"/>
      <c r="AO160" s="754"/>
      <c r="AP160" s="754"/>
      <c r="AQ160" s="754"/>
      <c r="AR160" s="754"/>
      <c r="AS160" s="754"/>
      <c r="AT160" s="754"/>
      <c r="AU160" s="754"/>
      <c r="AV160" s="754"/>
      <c r="AW160" s="754"/>
      <c r="AX160" s="754"/>
      <c r="AY160" s="754"/>
      <c r="AZ160" s="754"/>
      <c r="BA160" s="754"/>
      <c r="BB160" s="754"/>
      <c r="BC160" s="754"/>
      <c r="BD160" s="754"/>
      <c r="BE160" s="754"/>
      <c r="BF160" s="754"/>
      <c r="BG160" s="754"/>
      <c r="BH160" s="754"/>
    </row>
    <row r="161" spans="1:60">
      <c r="A161" s="754"/>
      <c r="B161" s="754"/>
      <c r="C161" s="754"/>
      <c r="D161" s="754"/>
      <c r="E161" s="754"/>
      <c r="F161" s="754"/>
      <c r="G161" s="754"/>
      <c r="H161" s="754"/>
      <c r="I161" s="754"/>
      <c r="J161" s="754"/>
      <c r="K161" s="754"/>
      <c r="L161" s="754"/>
      <c r="M161" s="754"/>
      <c r="N161" s="754"/>
      <c r="O161" s="754"/>
      <c r="P161" s="754"/>
      <c r="Q161" s="754"/>
      <c r="R161" s="754"/>
      <c r="S161" s="754"/>
      <c r="T161" s="754"/>
      <c r="U161" s="754"/>
      <c r="V161" s="754"/>
      <c r="W161" s="754"/>
      <c r="X161" s="754"/>
      <c r="Y161" s="754"/>
      <c r="Z161" s="754"/>
      <c r="AA161" s="754"/>
      <c r="AB161" s="754"/>
      <c r="AC161" s="754"/>
      <c r="AD161" s="754"/>
      <c r="AE161" s="754"/>
      <c r="AF161" s="754"/>
      <c r="AG161" s="754"/>
      <c r="AH161" s="754"/>
      <c r="AI161" s="754"/>
      <c r="AJ161" s="754"/>
      <c r="AK161" s="754"/>
      <c r="AL161" s="754"/>
      <c r="AM161" s="754"/>
      <c r="AN161" s="754"/>
      <c r="AO161" s="754"/>
      <c r="AP161" s="754"/>
      <c r="AQ161" s="754"/>
      <c r="AR161" s="754"/>
      <c r="AS161" s="754"/>
      <c r="AT161" s="754"/>
      <c r="AU161" s="754"/>
      <c r="AV161" s="754"/>
      <c r="AW161" s="754"/>
      <c r="AX161" s="754"/>
      <c r="AY161" s="754"/>
      <c r="AZ161" s="754"/>
      <c r="BA161" s="754"/>
      <c r="BB161" s="754"/>
      <c r="BC161" s="754"/>
      <c r="BD161" s="754"/>
      <c r="BE161" s="754"/>
      <c r="BF161" s="754"/>
      <c r="BG161" s="754"/>
      <c r="BH161" s="754"/>
    </row>
    <row r="162" spans="1:60">
      <c r="A162" s="754"/>
      <c r="B162" s="754"/>
      <c r="C162" s="754"/>
      <c r="D162" s="754"/>
      <c r="E162" s="754"/>
      <c r="F162" s="754"/>
      <c r="G162" s="754"/>
      <c r="H162" s="754"/>
      <c r="I162" s="754"/>
      <c r="J162" s="754"/>
      <c r="K162" s="754"/>
      <c r="L162" s="754"/>
      <c r="M162" s="754"/>
      <c r="N162" s="754"/>
      <c r="O162" s="754"/>
      <c r="P162" s="754"/>
      <c r="Q162" s="754"/>
      <c r="R162" s="754"/>
      <c r="S162" s="754"/>
      <c r="T162" s="754"/>
      <c r="U162" s="754"/>
      <c r="V162" s="754"/>
      <c r="W162" s="754"/>
      <c r="X162" s="754"/>
      <c r="Y162" s="754"/>
      <c r="Z162" s="754"/>
      <c r="AA162" s="754"/>
      <c r="AB162" s="754"/>
      <c r="AC162" s="754"/>
      <c r="AD162" s="754"/>
      <c r="AE162" s="754"/>
      <c r="AF162" s="754"/>
      <c r="AG162" s="754"/>
      <c r="AH162" s="754"/>
      <c r="AI162" s="754"/>
      <c r="AJ162" s="754"/>
      <c r="AK162" s="754"/>
      <c r="AL162" s="754"/>
      <c r="AM162" s="754"/>
      <c r="AN162" s="754"/>
      <c r="AO162" s="754"/>
      <c r="AP162" s="754"/>
      <c r="AQ162" s="754"/>
      <c r="AR162" s="754"/>
      <c r="AS162" s="754"/>
      <c r="AT162" s="754"/>
      <c r="AU162" s="754"/>
      <c r="AV162" s="754"/>
      <c r="AW162" s="754"/>
      <c r="AX162" s="754"/>
      <c r="AY162" s="754"/>
      <c r="AZ162" s="754"/>
      <c r="BA162" s="754"/>
      <c r="BB162" s="754"/>
      <c r="BC162" s="754"/>
      <c r="BD162" s="754"/>
      <c r="BE162" s="754"/>
      <c r="BF162" s="754"/>
      <c r="BG162" s="754"/>
      <c r="BH162" s="754"/>
    </row>
    <row r="163" spans="1:60">
      <c r="A163" s="754"/>
      <c r="B163" s="754"/>
      <c r="C163" s="754"/>
      <c r="D163" s="754"/>
      <c r="E163" s="754"/>
      <c r="F163" s="754"/>
      <c r="G163" s="754"/>
      <c r="H163" s="754"/>
      <c r="I163" s="754"/>
      <c r="J163" s="754"/>
      <c r="K163" s="754"/>
      <c r="L163" s="754"/>
      <c r="M163" s="754"/>
      <c r="N163" s="754"/>
      <c r="O163" s="754"/>
      <c r="P163" s="754"/>
      <c r="Q163" s="754"/>
      <c r="R163" s="754"/>
      <c r="S163" s="754"/>
      <c r="T163" s="754"/>
      <c r="U163" s="754"/>
      <c r="V163" s="754"/>
      <c r="W163" s="754"/>
      <c r="X163" s="754"/>
      <c r="Y163" s="754"/>
      <c r="Z163" s="754"/>
      <c r="AA163" s="754"/>
      <c r="AB163" s="754"/>
      <c r="AC163" s="754"/>
      <c r="AD163" s="754"/>
      <c r="AE163" s="754"/>
      <c r="AF163" s="754"/>
      <c r="AG163" s="754"/>
      <c r="AH163" s="754"/>
      <c r="AI163" s="754"/>
      <c r="AJ163" s="754"/>
      <c r="AK163" s="754"/>
      <c r="AL163" s="754"/>
      <c r="AM163" s="754"/>
      <c r="AN163" s="754"/>
      <c r="AO163" s="754"/>
      <c r="AP163" s="754"/>
      <c r="AQ163" s="754"/>
      <c r="AR163" s="754"/>
      <c r="AS163" s="754"/>
      <c r="AT163" s="754"/>
      <c r="AU163" s="754"/>
      <c r="AV163" s="754"/>
      <c r="AW163" s="754"/>
      <c r="AX163" s="754"/>
      <c r="AY163" s="754"/>
      <c r="AZ163" s="754"/>
      <c r="BA163" s="754"/>
      <c r="BB163" s="754"/>
      <c r="BC163" s="754"/>
      <c r="BD163" s="754"/>
      <c r="BE163" s="754"/>
      <c r="BF163" s="754"/>
      <c r="BG163" s="754"/>
      <c r="BH163" s="754"/>
    </row>
    <row r="164" spans="1:60">
      <c r="A164" s="754"/>
      <c r="B164" s="754"/>
      <c r="C164" s="754"/>
      <c r="D164" s="754"/>
      <c r="E164" s="754"/>
      <c r="F164" s="754"/>
      <c r="G164" s="754"/>
      <c r="H164" s="754"/>
      <c r="I164" s="754"/>
      <c r="J164" s="754"/>
      <c r="K164" s="754"/>
      <c r="L164" s="754"/>
      <c r="M164" s="754"/>
      <c r="N164" s="754"/>
      <c r="O164" s="754"/>
      <c r="P164" s="754"/>
      <c r="Q164" s="754"/>
      <c r="R164" s="754"/>
      <c r="S164" s="754"/>
      <c r="T164" s="754"/>
      <c r="U164" s="754"/>
      <c r="V164" s="754"/>
      <c r="W164" s="754"/>
      <c r="X164" s="754"/>
      <c r="Y164" s="754"/>
      <c r="Z164" s="754"/>
      <c r="AA164" s="754"/>
      <c r="AB164" s="754"/>
      <c r="AC164" s="754"/>
      <c r="AD164" s="754"/>
      <c r="AE164" s="754"/>
      <c r="AF164" s="754"/>
      <c r="AG164" s="754"/>
      <c r="AH164" s="754"/>
      <c r="AI164" s="754"/>
      <c r="AJ164" s="754"/>
      <c r="AK164" s="754"/>
      <c r="AL164" s="754"/>
      <c r="AM164" s="754"/>
      <c r="AN164" s="754"/>
      <c r="AO164" s="754"/>
      <c r="AP164" s="754"/>
      <c r="AQ164" s="754"/>
      <c r="AR164" s="754"/>
      <c r="AS164" s="754"/>
      <c r="AT164" s="754"/>
      <c r="AU164" s="754"/>
      <c r="AV164" s="754"/>
      <c r="AW164" s="754"/>
      <c r="AX164" s="754"/>
      <c r="AY164" s="754"/>
      <c r="AZ164" s="754"/>
      <c r="BA164" s="754"/>
      <c r="BB164" s="754"/>
      <c r="BC164" s="754"/>
      <c r="BD164" s="754"/>
      <c r="BE164" s="754"/>
      <c r="BF164" s="754"/>
      <c r="BG164" s="754"/>
      <c r="BH164" s="754"/>
    </row>
    <row r="165" spans="1:60">
      <c r="A165" s="754"/>
      <c r="B165" s="754"/>
      <c r="C165" s="754"/>
      <c r="D165" s="754"/>
      <c r="E165" s="754"/>
      <c r="F165" s="754"/>
      <c r="G165" s="754"/>
      <c r="H165" s="754"/>
      <c r="I165" s="754"/>
      <c r="J165" s="754"/>
      <c r="K165" s="754"/>
      <c r="L165" s="754"/>
      <c r="M165" s="754"/>
      <c r="N165" s="754"/>
      <c r="O165" s="754"/>
      <c r="P165" s="754"/>
      <c r="Q165" s="754"/>
      <c r="R165" s="754"/>
      <c r="S165" s="754"/>
      <c r="T165" s="754"/>
      <c r="U165" s="754"/>
      <c r="V165" s="754"/>
      <c r="W165" s="754"/>
      <c r="X165" s="754"/>
      <c r="Y165" s="754"/>
      <c r="Z165" s="754"/>
      <c r="AA165" s="754"/>
      <c r="AB165" s="754"/>
      <c r="AC165" s="754"/>
      <c r="AD165" s="754"/>
      <c r="AE165" s="754"/>
      <c r="AF165" s="754"/>
      <c r="AG165" s="754"/>
      <c r="AH165" s="754"/>
      <c r="AI165" s="754"/>
      <c r="AJ165" s="754"/>
      <c r="AK165" s="754"/>
      <c r="AL165" s="754"/>
      <c r="AM165" s="754"/>
      <c r="AN165" s="754"/>
      <c r="AO165" s="754"/>
      <c r="AP165" s="754"/>
      <c r="AQ165" s="754"/>
      <c r="AR165" s="754"/>
      <c r="AS165" s="754"/>
      <c r="AT165" s="754"/>
      <c r="AU165" s="754"/>
      <c r="AV165" s="754"/>
      <c r="AW165" s="754"/>
      <c r="AX165" s="754"/>
      <c r="AY165" s="754"/>
      <c r="AZ165" s="754"/>
      <c r="BA165" s="754"/>
      <c r="BB165" s="754"/>
      <c r="BC165" s="754"/>
      <c r="BD165" s="754"/>
      <c r="BE165" s="754"/>
      <c r="BF165" s="754"/>
      <c r="BG165" s="754"/>
      <c r="BH165" s="754"/>
    </row>
    <row r="166" spans="1:60">
      <c r="A166" s="754"/>
      <c r="B166" s="754"/>
      <c r="C166" s="754"/>
      <c r="D166" s="754"/>
      <c r="E166" s="754"/>
      <c r="F166" s="754"/>
      <c r="G166" s="754"/>
      <c r="H166" s="754"/>
      <c r="I166" s="754"/>
      <c r="J166" s="754"/>
      <c r="K166" s="754"/>
      <c r="L166" s="754"/>
      <c r="M166" s="754"/>
      <c r="N166" s="754"/>
      <c r="O166" s="754"/>
      <c r="P166" s="754"/>
      <c r="Q166" s="754"/>
      <c r="R166" s="754"/>
      <c r="S166" s="754"/>
      <c r="T166" s="754"/>
      <c r="U166" s="754"/>
      <c r="V166" s="754"/>
      <c r="W166" s="754"/>
      <c r="X166" s="754"/>
      <c r="Y166" s="754"/>
      <c r="Z166" s="754"/>
      <c r="AA166" s="754"/>
      <c r="AB166" s="754"/>
      <c r="AC166" s="754"/>
      <c r="AD166" s="754"/>
      <c r="AE166" s="754"/>
      <c r="AF166" s="754"/>
      <c r="AG166" s="754"/>
      <c r="AH166" s="754"/>
      <c r="AI166" s="754"/>
      <c r="AJ166" s="754"/>
      <c r="AK166" s="754"/>
      <c r="AL166" s="754"/>
      <c r="AM166" s="754"/>
      <c r="AN166" s="754"/>
      <c r="AO166" s="754"/>
      <c r="AP166" s="754"/>
      <c r="AQ166" s="754"/>
      <c r="AR166" s="754"/>
      <c r="AS166" s="754"/>
      <c r="AT166" s="754"/>
      <c r="AU166" s="754"/>
      <c r="AV166" s="754"/>
      <c r="AW166" s="754"/>
      <c r="AX166" s="754"/>
      <c r="AY166" s="754"/>
      <c r="AZ166" s="754"/>
      <c r="BA166" s="754"/>
      <c r="BB166" s="754"/>
      <c r="BC166" s="754"/>
      <c r="BD166" s="754"/>
      <c r="BE166" s="754"/>
      <c r="BF166" s="754"/>
      <c r="BG166" s="754"/>
      <c r="BH166" s="754"/>
    </row>
    <row r="167" spans="1:60">
      <c r="A167" s="754"/>
      <c r="B167" s="754"/>
      <c r="C167" s="754"/>
      <c r="D167" s="754"/>
      <c r="E167" s="754"/>
      <c r="F167" s="754"/>
      <c r="G167" s="754"/>
      <c r="H167" s="754"/>
      <c r="I167" s="754"/>
      <c r="J167" s="754"/>
      <c r="K167" s="754"/>
      <c r="L167" s="754"/>
      <c r="M167" s="754"/>
      <c r="N167" s="754"/>
      <c r="O167" s="754"/>
      <c r="P167" s="754"/>
      <c r="Q167" s="754"/>
      <c r="R167" s="754"/>
      <c r="S167" s="754"/>
      <c r="T167" s="754"/>
      <c r="U167" s="754"/>
      <c r="V167" s="754"/>
      <c r="W167" s="754"/>
      <c r="X167" s="754"/>
      <c r="Y167" s="754"/>
      <c r="Z167" s="754"/>
      <c r="AA167" s="754"/>
      <c r="AB167" s="754"/>
      <c r="AC167" s="754"/>
      <c r="AD167" s="754"/>
      <c r="AE167" s="754"/>
      <c r="AF167" s="754"/>
      <c r="AG167" s="754"/>
      <c r="AH167" s="754"/>
      <c r="AI167" s="754"/>
      <c r="AJ167" s="754"/>
      <c r="AK167" s="754"/>
      <c r="AL167" s="754"/>
      <c r="AM167" s="754"/>
      <c r="AN167" s="754"/>
      <c r="AO167" s="754"/>
      <c r="AP167" s="754"/>
      <c r="AQ167" s="754"/>
      <c r="AR167" s="754"/>
      <c r="AS167" s="754"/>
      <c r="AT167" s="754"/>
      <c r="AU167" s="754"/>
      <c r="AV167" s="754"/>
      <c r="AW167" s="754"/>
      <c r="AX167" s="754"/>
      <c r="AY167" s="754"/>
      <c r="AZ167" s="754"/>
      <c r="BA167" s="754"/>
      <c r="BB167" s="754"/>
      <c r="BC167" s="754"/>
      <c r="BD167" s="754"/>
      <c r="BE167" s="754"/>
      <c r="BF167" s="754"/>
      <c r="BG167" s="754"/>
      <c r="BH167" s="754"/>
    </row>
    <row r="168" spans="1:60">
      <c r="A168" s="754"/>
      <c r="B168" s="754"/>
      <c r="C168" s="754"/>
      <c r="D168" s="754"/>
      <c r="E168" s="754"/>
      <c r="F168" s="754"/>
      <c r="G168" s="754"/>
      <c r="H168" s="754"/>
      <c r="I168" s="754"/>
      <c r="J168" s="754"/>
      <c r="K168" s="754"/>
      <c r="L168" s="754"/>
      <c r="M168" s="754"/>
      <c r="N168" s="754"/>
      <c r="O168" s="754"/>
      <c r="P168" s="754"/>
      <c r="Q168" s="754"/>
      <c r="R168" s="754"/>
      <c r="S168" s="754"/>
      <c r="T168" s="754"/>
      <c r="U168" s="754"/>
      <c r="V168" s="754"/>
      <c r="W168" s="754"/>
      <c r="X168" s="754"/>
      <c r="Y168" s="754"/>
      <c r="Z168" s="754"/>
      <c r="AA168" s="754"/>
      <c r="AB168" s="754"/>
      <c r="AC168" s="754"/>
      <c r="AD168" s="754"/>
      <c r="AE168" s="754"/>
      <c r="AF168" s="754"/>
      <c r="AG168" s="754"/>
      <c r="AH168" s="754"/>
      <c r="AI168" s="754"/>
      <c r="AJ168" s="754"/>
      <c r="AK168" s="754"/>
      <c r="AL168" s="754"/>
      <c r="AM168" s="754"/>
      <c r="AN168" s="754"/>
      <c r="AO168" s="754"/>
      <c r="AP168" s="754"/>
      <c r="AQ168" s="754"/>
      <c r="AR168" s="754"/>
      <c r="AS168" s="754"/>
      <c r="AT168" s="754"/>
      <c r="AU168" s="754"/>
      <c r="AV168" s="754"/>
      <c r="AW168" s="754"/>
      <c r="AX168" s="754"/>
      <c r="AY168" s="754"/>
      <c r="AZ168" s="754"/>
      <c r="BA168" s="754"/>
      <c r="BB168" s="754"/>
      <c r="BC168" s="754"/>
      <c r="BD168" s="754"/>
      <c r="BE168" s="754"/>
      <c r="BF168" s="754"/>
      <c r="BG168" s="754"/>
      <c r="BH168" s="754"/>
    </row>
    <row r="169" spans="1:60">
      <c r="A169" s="754"/>
      <c r="B169" s="754"/>
      <c r="C169" s="754"/>
      <c r="D169" s="754"/>
      <c r="E169" s="754"/>
      <c r="F169" s="754"/>
      <c r="G169" s="754"/>
      <c r="H169" s="754"/>
      <c r="I169" s="754"/>
      <c r="J169" s="754"/>
      <c r="K169" s="754"/>
      <c r="L169" s="754"/>
      <c r="M169" s="754"/>
      <c r="N169" s="754"/>
      <c r="O169" s="754"/>
      <c r="P169" s="754"/>
      <c r="Q169" s="754"/>
      <c r="R169" s="754"/>
      <c r="S169" s="754"/>
      <c r="T169" s="754"/>
      <c r="U169" s="754"/>
      <c r="V169" s="754"/>
      <c r="W169" s="754"/>
      <c r="X169" s="754"/>
      <c r="Y169" s="754"/>
      <c r="Z169" s="754"/>
      <c r="AA169" s="754"/>
      <c r="AB169" s="754"/>
      <c r="AC169" s="754"/>
      <c r="AD169" s="754"/>
      <c r="AE169" s="754"/>
      <c r="AF169" s="754"/>
      <c r="AG169" s="754"/>
      <c r="AH169" s="754"/>
      <c r="AI169" s="754"/>
      <c r="AJ169" s="754"/>
      <c r="AK169" s="754"/>
      <c r="AL169" s="754"/>
      <c r="AM169" s="754"/>
      <c r="AN169" s="754"/>
      <c r="AO169" s="754"/>
      <c r="AP169" s="754"/>
      <c r="AQ169" s="754"/>
      <c r="AR169" s="754"/>
      <c r="AS169" s="754"/>
      <c r="AT169" s="754"/>
      <c r="AU169" s="754"/>
      <c r="AV169" s="754"/>
      <c r="AW169" s="754"/>
      <c r="AX169" s="754"/>
      <c r="AY169" s="754"/>
      <c r="AZ169" s="754"/>
      <c r="BA169" s="754"/>
      <c r="BB169" s="754"/>
      <c r="BC169" s="754"/>
      <c r="BD169" s="754"/>
      <c r="BE169" s="754"/>
      <c r="BF169" s="754"/>
      <c r="BG169" s="754"/>
      <c r="BH169" s="754"/>
    </row>
    <row r="170" spans="1:60">
      <c r="A170" s="754"/>
      <c r="B170" s="754"/>
      <c r="C170" s="754"/>
      <c r="D170" s="754"/>
      <c r="E170" s="754"/>
      <c r="F170" s="754"/>
      <c r="G170" s="754"/>
      <c r="H170" s="754"/>
      <c r="I170" s="754"/>
      <c r="J170" s="754"/>
      <c r="K170" s="754"/>
      <c r="L170" s="754"/>
      <c r="M170" s="754"/>
      <c r="N170" s="754"/>
      <c r="O170" s="754"/>
      <c r="P170" s="754"/>
      <c r="Q170" s="754"/>
      <c r="R170" s="754"/>
      <c r="S170" s="754"/>
      <c r="T170" s="754"/>
      <c r="U170" s="754"/>
      <c r="V170" s="754"/>
      <c r="W170" s="754"/>
      <c r="X170" s="754"/>
      <c r="Y170" s="754"/>
      <c r="Z170" s="754"/>
      <c r="AA170" s="754"/>
      <c r="AB170" s="754"/>
      <c r="AC170" s="754"/>
      <c r="AD170" s="754"/>
      <c r="AE170" s="754"/>
      <c r="AF170" s="754"/>
      <c r="AG170" s="754"/>
      <c r="AH170" s="754"/>
      <c r="AI170" s="754"/>
      <c r="AJ170" s="754"/>
      <c r="AK170" s="754"/>
      <c r="AL170" s="754"/>
      <c r="AM170" s="754"/>
      <c r="AN170" s="754"/>
      <c r="AO170" s="754"/>
      <c r="AP170" s="754"/>
      <c r="AQ170" s="754"/>
      <c r="AR170" s="754"/>
      <c r="AS170" s="754"/>
      <c r="AT170" s="754"/>
      <c r="AU170" s="754"/>
      <c r="AV170" s="754"/>
      <c r="AW170" s="754"/>
      <c r="AX170" s="754"/>
      <c r="AY170" s="754"/>
      <c r="AZ170" s="754"/>
      <c r="BA170" s="754"/>
      <c r="BB170" s="754"/>
      <c r="BC170" s="754"/>
      <c r="BD170" s="754"/>
      <c r="BE170" s="754"/>
      <c r="BF170" s="754"/>
      <c r="BG170" s="754"/>
      <c r="BH170" s="754"/>
    </row>
    <row r="171" spans="1:60">
      <c r="A171" s="754"/>
      <c r="B171" s="754"/>
      <c r="C171" s="754"/>
      <c r="D171" s="754"/>
      <c r="E171" s="754"/>
      <c r="F171" s="754"/>
      <c r="G171" s="754"/>
      <c r="H171" s="754"/>
      <c r="I171" s="754"/>
      <c r="J171" s="754"/>
      <c r="K171" s="754"/>
      <c r="L171" s="754"/>
      <c r="M171" s="754"/>
      <c r="N171" s="754"/>
      <c r="O171" s="754"/>
      <c r="P171" s="754"/>
      <c r="Q171" s="754"/>
      <c r="R171" s="754"/>
      <c r="S171" s="754"/>
      <c r="T171" s="754"/>
      <c r="U171" s="754"/>
      <c r="V171" s="754"/>
      <c r="W171" s="754"/>
      <c r="X171" s="754"/>
      <c r="Y171" s="754"/>
      <c r="Z171" s="754"/>
      <c r="AA171" s="754"/>
      <c r="AB171" s="754"/>
      <c r="AC171" s="754"/>
      <c r="AD171" s="754"/>
      <c r="AE171" s="754"/>
      <c r="AF171" s="754"/>
      <c r="AG171" s="754"/>
      <c r="AH171" s="754"/>
      <c r="AI171" s="754"/>
      <c r="AJ171" s="754"/>
      <c r="AK171" s="754"/>
      <c r="AL171" s="754"/>
      <c r="AM171" s="754"/>
      <c r="AN171" s="754"/>
      <c r="AO171" s="754"/>
      <c r="AP171" s="754"/>
      <c r="AQ171" s="754"/>
      <c r="AR171" s="754"/>
      <c r="AS171" s="754"/>
      <c r="AT171" s="754"/>
      <c r="AU171" s="754"/>
      <c r="AV171" s="754"/>
      <c r="AW171" s="754"/>
      <c r="AX171" s="754"/>
      <c r="AY171" s="754"/>
      <c r="AZ171" s="754"/>
      <c r="BA171" s="754"/>
      <c r="BB171" s="754"/>
      <c r="BC171" s="754"/>
      <c r="BD171" s="754"/>
      <c r="BE171" s="754"/>
      <c r="BF171" s="754"/>
      <c r="BG171" s="754"/>
      <c r="BH171" s="754"/>
    </row>
    <row r="172" spans="1:60">
      <c r="A172" s="754"/>
      <c r="B172" s="754"/>
      <c r="C172" s="754"/>
      <c r="D172" s="754"/>
      <c r="E172" s="754"/>
      <c r="F172" s="754"/>
      <c r="G172" s="754"/>
      <c r="H172" s="754"/>
      <c r="I172" s="754"/>
      <c r="J172" s="754"/>
      <c r="K172" s="754"/>
      <c r="L172" s="754"/>
      <c r="M172" s="754"/>
      <c r="N172" s="754"/>
      <c r="O172" s="754"/>
      <c r="P172" s="754"/>
      <c r="Q172" s="754"/>
      <c r="R172" s="754"/>
      <c r="S172" s="754"/>
      <c r="T172" s="754"/>
      <c r="U172" s="754"/>
      <c r="V172" s="754"/>
      <c r="W172" s="754"/>
      <c r="X172" s="754"/>
      <c r="Y172" s="754"/>
      <c r="Z172" s="754"/>
      <c r="AA172" s="754"/>
      <c r="AB172" s="754"/>
      <c r="AC172" s="754"/>
      <c r="AD172" s="754"/>
      <c r="AE172" s="754"/>
      <c r="AF172" s="754"/>
      <c r="AG172" s="754"/>
      <c r="AH172" s="754"/>
      <c r="AI172" s="754"/>
      <c r="AJ172" s="754"/>
      <c r="AK172" s="754"/>
      <c r="AL172" s="754"/>
      <c r="AM172" s="754"/>
      <c r="AN172" s="754"/>
      <c r="AO172" s="754"/>
      <c r="AP172" s="754"/>
      <c r="AQ172" s="754"/>
      <c r="AR172" s="754"/>
      <c r="AS172" s="754"/>
      <c r="AT172" s="754"/>
      <c r="AU172" s="754"/>
      <c r="AV172" s="754"/>
      <c r="AW172" s="754"/>
      <c r="AX172" s="754"/>
      <c r="AY172" s="754"/>
      <c r="AZ172" s="754"/>
      <c r="BA172" s="754"/>
      <c r="BB172" s="754"/>
      <c r="BC172" s="754"/>
      <c r="BD172" s="754"/>
      <c r="BE172" s="754"/>
      <c r="BF172" s="754"/>
      <c r="BG172" s="754"/>
      <c r="BH172" s="754"/>
    </row>
    <row r="173" spans="1:60">
      <c r="A173" s="754"/>
      <c r="B173" s="754"/>
      <c r="C173" s="754"/>
      <c r="D173" s="754"/>
      <c r="E173" s="754"/>
      <c r="F173" s="754"/>
      <c r="G173" s="754"/>
      <c r="H173" s="754"/>
      <c r="I173" s="754"/>
      <c r="J173" s="754"/>
      <c r="K173" s="754"/>
      <c r="L173" s="754"/>
      <c r="M173" s="754"/>
      <c r="N173" s="754"/>
      <c r="O173" s="754"/>
      <c r="P173" s="754"/>
      <c r="Q173" s="754"/>
      <c r="R173" s="754"/>
      <c r="S173" s="754"/>
      <c r="T173" s="754"/>
      <c r="U173" s="754"/>
      <c r="V173" s="754"/>
      <c r="W173" s="754"/>
      <c r="X173" s="754"/>
      <c r="Y173" s="754"/>
      <c r="Z173" s="754"/>
      <c r="AA173" s="754"/>
      <c r="AB173" s="754"/>
      <c r="AC173" s="754"/>
      <c r="AD173" s="754"/>
      <c r="AE173" s="754"/>
      <c r="AF173" s="754"/>
      <c r="AG173" s="754"/>
      <c r="AH173" s="754"/>
      <c r="AI173" s="754"/>
      <c r="AJ173" s="754"/>
      <c r="AK173" s="754"/>
      <c r="AL173" s="754"/>
      <c r="AM173" s="754"/>
      <c r="AN173" s="754"/>
      <c r="AO173" s="754"/>
      <c r="AP173" s="754"/>
      <c r="AQ173" s="754"/>
      <c r="AR173" s="754"/>
      <c r="AS173" s="754"/>
      <c r="AT173" s="754"/>
      <c r="AU173" s="754"/>
      <c r="AV173" s="754"/>
      <c r="AW173" s="754"/>
      <c r="AX173" s="754"/>
      <c r="AY173" s="754"/>
      <c r="AZ173" s="754"/>
      <c r="BA173" s="754"/>
      <c r="BB173" s="754"/>
      <c r="BC173" s="754"/>
      <c r="BD173" s="754"/>
      <c r="BE173" s="754"/>
      <c r="BF173" s="754"/>
      <c r="BG173" s="754"/>
      <c r="BH173" s="754"/>
    </row>
    <row r="174" spans="1:60">
      <c r="A174" s="754"/>
      <c r="B174" s="754"/>
      <c r="C174" s="754"/>
      <c r="D174" s="754"/>
      <c r="E174" s="754"/>
      <c r="F174" s="754"/>
      <c r="G174" s="754"/>
      <c r="H174" s="754"/>
      <c r="I174" s="754"/>
      <c r="J174" s="754"/>
      <c r="K174" s="754"/>
      <c r="L174" s="754"/>
      <c r="M174" s="754"/>
      <c r="N174" s="754"/>
      <c r="O174" s="754"/>
      <c r="P174" s="754"/>
      <c r="Q174" s="754"/>
      <c r="R174" s="754"/>
      <c r="S174" s="754"/>
      <c r="T174" s="754"/>
      <c r="U174" s="754"/>
      <c r="V174" s="754"/>
      <c r="W174" s="754"/>
      <c r="X174" s="754"/>
      <c r="Y174" s="754"/>
      <c r="Z174" s="754"/>
      <c r="AA174" s="754"/>
      <c r="AB174" s="754"/>
      <c r="AC174" s="754"/>
      <c r="AD174" s="754"/>
      <c r="AE174" s="754"/>
      <c r="AF174" s="754"/>
      <c r="AG174" s="754"/>
      <c r="AH174" s="754"/>
      <c r="AI174" s="754"/>
      <c r="AJ174" s="754"/>
      <c r="AK174" s="754"/>
      <c r="AL174" s="754"/>
      <c r="AM174" s="754"/>
      <c r="AN174" s="754"/>
      <c r="AO174" s="754"/>
      <c r="AP174" s="754"/>
      <c r="AQ174" s="754"/>
      <c r="AR174" s="754"/>
      <c r="AS174" s="754"/>
      <c r="AT174" s="754"/>
      <c r="AU174" s="754"/>
      <c r="AV174" s="754"/>
      <c r="AW174" s="754"/>
      <c r="AX174" s="754"/>
      <c r="AY174" s="754"/>
      <c r="AZ174" s="754"/>
      <c r="BA174" s="754"/>
      <c r="BB174" s="754"/>
      <c r="BC174" s="754"/>
      <c r="BD174" s="754"/>
      <c r="BE174" s="754"/>
      <c r="BF174" s="754"/>
      <c r="BG174" s="754"/>
      <c r="BH174" s="754"/>
    </row>
    <row r="175" spans="1:60">
      <c r="A175" s="754"/>
      <c r="B175" s="754"/>
      <c r="C175" s="754"/>
      <c r="D175" s="754"/>
      <c r="E175" s="754"/>
      <c r="F175" s="754"/>
      <c r="G175" s="754"/>
      <c r="H175" s="754"/>
      <c r="I175" s="754"/>
      <c r="J175" s="754"/>
      <c r="K175" s="754"/>
      <c r="L175" s="754"/>
      <c r="M175" s="754"/>
      <c r="N175" s="754"/>
      <c r="O175" s="754"/>
      <c r="P175" s="754"/>
      <c r="Q175" s="754"/>
      <c r="R175" s="754"/>
      <c r="S175" s="754"/>
      <c r="T175" s="754"/>
      <c r="U175" s="754"/>
      <c r="V175" s="754"/>
      <c r="W175" s="754"/>
      <c r="X175" s="754"/>
      <c r="Y175" s="754"/>
      <c r="Z175" s="754"/>
      <c r="AA175" s="754"/>
      <c r="AB175" s="754"/>
      <c r="AC175" s="754"/>
      <c r="AD175" s="754"/>
      <c r="AE175" s="754"/>
      <c r="AF175" s="754"/>
      <c r="AG175" s="754"/>
      <c r="AH175" s="754"/>
      <c r="AI175" s="754"/>
      <c r="AJ175" s="754"/>
      <c r="AK175" s="754"/>
      <c r="AL175" s="754"/>
      <c r="AM175" s="754"/>
      <c r="AN175" s="754"/>
      <c r="AO175" s="754"/>
      <c r="AP175" s="754"/>
      <c r="AQ175" s="754"/>
      <c r="AR175" s="754"/>
      <c r="AS175" s="754"/>
      <c r="AT175" s="754"/>
      <c r="AU175" s="754"/>
      <c r="AV175" s="754"/>
      <c r="AW175" s="754"/>
      <c r="AX175" s="754"/>
      <c r="AY175" s="754"/>
      <c r="AZ175" s="754"/>
      <c r="BA175" s="754"/>
      <c r="BB175" s="754"/>
      <c r="BC175" s="754"/>
      <c r="BD175" s="754"/>
      <c r="BE175" s="754"/>
      <c r="BF175" s="754"/>
      <c r="BG175" s="754"/>
      <c r="BH175" s="754"/>
    </row>
    <row r="176" spans="1:60">
      <c r="A176" s="754"/>
      <c r="B176" s="754"/>
      <c r="C176" s="754"/>
      <c r="D176" s="754"/>
      <c r="E176" s="754"/>
      <c r="F176" s="754"/>
      <c r="G176" s="754"/>
      <c r="H176" s="754"/>
      <c r="I176" s="754"/>
      <c r="J176" s="754"/>
      <c r="K176" s="754"/>
      <c r="L176" s="754"/>
      <c r="M176" s="754"/>
      <c r="N176" s="754"/>
      <c r="O176" s="754"/>
      <c r="P176" s="754"/>
      <c r="Q176" s="754"/>
      <c r="R176" s="754"/>
      <c r="S176" s="754"/>
      <c r="T176" s="754"/>
      <c r="U176" s="754"/>
      <c r="V176" s="754"/>
      <c r="W176" s="754"/>
      <c r="X176" s="754"/>
      <c r="Y176" s="754"/>
      <c r="Z176" s="754"/>
      <c r="AA176" s="754"/>
      <c r="AB176" s="754"/>
      <c r="AC176" s="754"/>
      <c r="AD176" s="754"/>
      <c r="AE176" s="754"/>
      <c r="AF176" s="754"/>
      <c r="AG176" s="754"/>
      <c r="AH176" s="754"/>
      <c r="AI176" s="754"/>
      <c r="AJ176" s="754"/>
      <c r="AK176" s="754"/>
      <c r="AL176" s="754"/>
      <c r="AM176" s="754"/>
      <c r="AN176" s="754"/>
      <c r="AO176" s="754"/>
      <c r="AP176" s="754"/>
      <c r="AQ176" s="754"/>
      <c r="AR176" s="754"/>
      <c r="AS176" s="754"/>
      <c r="AT176" s="754"/>
      <c r="AU176" s="754"/>
      <c r="AV176" s="754"/>
      <c r="AW176" s="754"/>
      <c r="AX176" s="754"/>
      <c r="AY176" s="754"/>
      <c r="AZ176" s="754"/>
      <c r="BA176" s="754"/>
      <c r="BB176" s="754"/>
      <c r="BC176" s="754"/>
      <c r="BD176" s="754"/>
      <c r="BE176" s="754"/>
      <c r="BF176" s="754"/>
      <c r="BG176" s="754"/>
      <c r="BH176" s="754"/>
    </row>
    <row r="177" spans="1:60">
      <c r="A177" s="754"/>
      <c r="B177" s="754"/>
      <c r="C177" s="754"/>
      <c r="D177" s="754"/>
      <c r="E177" s="754"/>
      <c r="F177" s="754"/>
      <c r="G177" s="754"/>
      <c r="H177" s="754"/>
      <c r="I177" s="754"/>
      <c r="J177" s="754"/>
      <c r="K177" s="754"/>
      <c r="L177" s="754"/>
      <c r="M177" s="754"/>
      <c r="N177" s="754"/>
      <c r="O177" s="754"/>
      <c r="P177" s="754"/>
      <c r="Q177" s="754"/>
      <c r="R177" s="754"/>
      <c r="S177" s="754"/>
      <c r="T177" s="754"/>
      <c r="U177" s="754"/>
      <c r="V177" s="754"/>
      <c r="W177" s="754"/>
      <c r="X177" s="754"/>
      <c r="Y177" s="754"/>
      <c r="Z177" s="754"/>
      <c r="AA177" s="754"/>
      <c r="AB177" s="754"/>
      <c r="AC177" s="754"/>
      <c r="AD177" s="754"/>
      <c r="AE177" s="754"/>
      <c r="AF177" s="754"/>
      <c r="AG177" s="754"/>
      <c r="AH177" s="754"/>
      <c r="AI177" s="754"/>
      <c r="AJ177" s="754"/>
      <c r="AK177" s="754"/>
      <c r="AL177" s="754"/>
      <c r="AM177" s="754"/>
      <c r="AN177" s="754"/>
      <c r="AO177" s="754"/>
      <c r="AP177" s="754"/>
      <c r="AQ177" s="754"/>
      <c r="AR177" s="754"/>
      <c r="AS177" s="754"/>
      <c r="AT177" s="754"/>
      <c r="AU177" s="754"/>
      <c r="AV177" s="754"/>
      <c r="AW177" s="754"/>
      <c r="AX177" s="754"/>
      <c r="AY177" s="754"/>
      <c r="AZ177" s="754"/>
      <c r="BA177" s="754"/>
      <c r="BB177" s="754"/>
      <c r="BC177" s="754"/>
      <c r="BD177" s="754"/>
      <c r="BE177" s="754"/>
      <c r="BF177" s="754"/>
      <c r="BG177" s="754"/>
      <c r="BH177" s="754"/>
    </row>
    <row r="178" spans="1:60">
      <c r="A178" s="754"/>
      <c r="B178" s="754"/>
      <c r="C178" s="754"/>
      <c r="D178" s="754"/>
      <c r="E178" s="754"/>
      <c r="F178" s="754"/>
      <c r="G178" s="754"/>
      <c r="H178" s="754"/>
      <c r="I178" s="754"/>
      <c r="J178" s="754"/>
      <c r="K178" s="754"/>
      <c r="L178" s="754"/>
      <c r="M178" s="754"/>
      <c r="N178" s="754"/>
      <c r="O178" s="754"/>
      <c r="P178" s="754"/>
      <c r="Q178" s="754"/>
      <c r="R178" s="754"/>
      <c r="S178" s="754"/>
      <c r="T178" s="754"/>
      <c r="U178" s="754"/>
      <c r="V178" s="754"/>
      <c r="W178" s="754"/>
      <c r="X178" s="754"/>
      <c r="Y178" s="754"/>
      <c r="Z178" s="754"/>
      <c r="AA178" s="754"/>
      <c r="AB178" s="754"/>
      <c r="AC178" s="754"/>
      <c r="AD178" s="754"/>
      <c r="AE178" s="754"/>
      <c r="AF178" s="754"/>
      <c r="AG178" s="754"/>
      <c r="AH178" s="754"/>
      <c r="AI178" s="754"/>
      <c r="AJ178" s="754"/>
      <c r="AK178" s="754"/>
      <c r="AL178" s="754"/>
      <c r="AM178" s="754"/>
      <c r="AN178" s="754"/>
      <c r="AO178" s="754"/>
      <c r="AP178" s="754"/>
      <c r="AQ178" s="754"/>
      <c r="AR178" s="754"/>
      <c r="AS178" s="754"/>
      <c r="AT178" s="754"/>
      <c r="AU178" s="754"/>
      <c r="AV178" s="754"/>
      <c r="AW178" s="754"/>
      <c r="AX178" s="754"/>
      <c r="AY178" s="754"/>
      <c r="AZ178" s="754"/>
      <c r="BA178" s="754"/>
      <c r="BB178" s="754"/>
      <c r="BC178" s="754"/>
      <c r="BD178" s="754"/>
      <c r="BE178" s="754"/>
      <c r="BF178" s="754"/>
      <c r="BG178" s="754"/>
      <c r="BH178" s="754"/>
    </row>
    <row r="179" spans="1:60">
      <c r="A179" s="754"/>
      <c r="B179" s="754"/>
      <c r="C179" s="754"/>
      <c r="D179" s="754"/>
      <c r="E179" s="754"/>
      <c r="F179" s="754"/>
      <c r="G179" s="754"/>
      <c r="H179" s="754"/>
      <c r="I179" s="754"/>
      <c r="J179" s="754"/>
      <c r="K179" s="754"/>
      <c r="L179" s="754"/>
      <c r="M179" s="754"/>
      <c r="N179" s="754"/>
      <c r="O179" s="754"/>
      <c r="P179" s="754"/>
      <c r="Q179" s="754"/>
      <c r="R179" s="754"/>
      <c r="S179" s="754"/>
      <c r="T179" s="754"/>
      <c r="U179" s="754"/>
      <c r="V179" s="754"/>
      <c r="W179" s="754"/>
      <c r="X179" s="754"/>
      <c r="Y179" s="754"/>
      <c r="Z179" s="754"/>
      <c r="AA179" s="754"/>
      <c r="AB179" s="754"/>
      <c r="AC179" s="754"/>
      <c r="AD179" s="754"/>
      <c r="AE179" s="754"/>
      <c r="AF179" s="754"/>
      <c r="AG179" s="754"/>
      <c r="AH179" s="754"/>
      <c r="AI179" s="754"/>
      <c r="AJ179" s="754"/>
      <c r="AK179" s="754"/>
      <c r="AL179" s="754"/>
      <c r="AM179" s="754"/>
      <c r="AN179" s="754"/>
      <c r="AO179" s="754"/>
      <c r="AP179" s="754"/>
      <c r="AQ179" s="754"/>
      <c r="AR179" s="754"/>
      <c r="AS179" s="754"/>
      <c r="AT179" s="754"/>
      <c r="AU179" s="754"/>
      <c r="AV179" s="754"/>
      <c r="AW179" s="754"/>
      <c r="AX179" s="754"/>
      <c r="AY179" s="754"/>
      <c r="AZ179" s="754"/>
      <c r="BA179" s="754"/>
      <c r="BB179" s="754"/>
      <c r="BC179" s="754"/>
      <c r="BD179" s="754"/>
      <c r="BE179" s="754"/>
      <c r="BF179" s="754"/>
      <c r="BG179" s="754"/>
      <c r="BH179" s="754"/>
    </row>
    <row r="180" spans="1:60">
      <c r="A180" s="754"/>
      <c r="B180" s="754"/>
      <c r="C180" s="754"/>
      <c r="D180" s="754"/>
      <c r="E180" s="754"/>
      <c r="F180" s="754"/>
      <c r="G180" s="754"/>
      <c r="H180" s="754"/>
      <c r="I180" s="754"/>
      <c r="J180" s="754"/>
      <c r="K180" s="754"/>
      <c r="L180" s="754"/>
      <c r="M180" s="754"/>
      <c r="N180" s="754"/>
      <c r="O180" s="754"/>
      <c r="P180" s="754"/>
      <c r="Q180" s="754"/>
      <c r="R180" s="754"/>
      <c r="S180" s="754"/>
      <c r="T180" s="754"/>
      <c r="U180" s="754"/>
      <c r="V180" s="754"/>
      <c r="W180" s="754"/>
      <c r="X180" s="754"/>
      <c r="Y180" s="754"/>
      <c r="Z180" s="754"/>
      <c r="AA180" s="754"/>
      <c r="AB180" s="754"/>
      <c r="AC180" s="754"/>
      <c r="AD180" s="754"/>
      <c r="AE180" s="754"/>
      <c r="AF180" s="754"/>
      <c r="AG180" s="754"/>
      <c r="AH180" s="754"/>
      <c r="AI180" s="754"/>
      <c r="AJ180" s="754"/>
      <c r="AK180" s="754"/>
      <c r="AL180" s="754"/>
      <c r="AM180" s="754"/>
      <c r="AN180" s="754"/>
      <c r="AO180" s="754"/>
      <c r="AP180" s="754"/>
      <c r="AQ180" s="754"/>
      <c r="AR180" s="754"/>
      <c r="AS180" s="754"/>
      <c r="AT180" s="754"/>
      <c r="AU180" s="754"/>
      <c r="AV180" s="754"/>
      <c r="AW180" s="754"/>
      <c r="AX180" s="754"/>
      <c r="AY180" s="754"/>
      <c r="AZ180" s="754"/>
      <c r="BA180" s="754"/>
      <c r="BB180" s="754"/>
      <c r="BC180" s="754"/>
      <c r="BD180" s="754"/>
      <c r="BE180" s="754"/>
      <c r="BF180" s="754"/>
      <c r="BG180" s="754"/>
      <c r="BH180" s="754"/>
    </row>
    <row r="181" spans="1:60">
      <c r="A181" s="754"/>
      <c r="B181" s="754"/>
      <c r="C181" s="754"/>
      <c r="D181" s="754"/>
      <c r="E181" s="754"/>
      <c r="F181" s="754"/>
      <c r="G181" s="754"/>
      <c r="H181" s="754"/>
      <c r="I181" s="754"/>
      <c r="J181" s="754"/>
      <c r="K181" s="754"/>
      <c r="L181" s="754"/>
      <c r="M181" s="754"/>
      <c r="N181" s="754"/>
      <c r="O181" s="754"/>
      <c r="P181" s="754"/>
      <c r="Q181" s="754"/>
      <c r="R181" s="754"/>
      <c r="S181" s="754"/>
      <c r="T181" s="754"/>
      <c r="U181" s="754"/>
      <c r="V181" s="754"/>
      <c r="W181" s="754"/>
      <c r="X181" s="754"/>
      <c r="Y181" s="754"/>
      <c r="Z181" s="754"/>
      <c r="AA181" s="754"/>
      <c r="AB181" s="754"/>
      <c r="AC181" s="754"/>
      <c r="AD181" s="754"/>
      <c r="AE181" s="754"/>
      <c r="AF181" s="754"/>
      <c r="AG181" s="754"/>
      <c r="AH181" s="754"/>
      <c r="AI181" s="754"/>
      <c r="AJ181" s="754"/>
      <c r="AK181" s="754"/>
      <c r="AL181" s="754"/>
      <c r="AM181" s="754"/>
      <c r="AN181" s="754"/>
      <c r="AO181" s="754"/>
      <c r="AP181" s="754"/>
      <c r="AQ181" s="754"/>
      <c r="AR181" s="754"/>
      <c r="AS181" s="754"/>
      <c r="AT181" s="754"/>
      <c r="AU181" s="754"/>
      <c r="AV181" s="754"/>
      <c r="AW181" s="754"/>
      <c r="AX181" s="754"/>
      <c r="AY181" s="754"/>
      <c r="AZ181" s="754"/>
      <c r="BA181" s="754"/>
      <c r="BB181" s="754"/>
      <c r="BC181" s="754"/>
      <c r="BD181" s="754"/>
      <c r="BE181" s="754"/>
      <c r="BF181" s="754"/>
      <c r="BG181" s="754"/>
      <c r="BH181" s="754"/>
    </row>
    <row r="182" spans="1:60">
      <c r="A182" s="754"/>
      <c r="B182" s="754"/>
      <c r="C182" s="754"/>
      <c r="D182" s="754"/>
      <c r="E182" s="754"/>
      <c r="F182" s="754"/>
      <c r="G182" s="754"/>
      <c r="H182" s="754"/>
      <c r="I182" s="754"/>
      <c r="J182" s="754"/>
      <c r="K182" s="754"/>
      <c r="L182" s="754"/>
      <c r="M182" s="754"/>
      <c r="N182" s="754"/>
      <c r="O182" s="754"/>
      <c r="P182" s="754"/>
      <c r="Q182" s="754"/>
      <c r="R182" s="754"/>
      <c r="S182" s="754"/>
      <c r="T182" s="754"/>
      <c r="U182" s="754"/>
      <c r="V182" s="754"/>
      <c r="W182" s="754"/>
      <c r="X182" s="754"/>
      <c r="Y182" s="754"/>
      <c r="Z182" s="754"/>
      <c r="AA182" s="754"/>
      <c r="AB182" s="754"/>
      <c r="AC182" s="754"/>
      <c r="AD182" s="754"/>
      <c r="AE182" s="754"/>
      <c r="AF182" s="754"/>
      <c r="AG182" s="754"/>
      <c r="AH182" s="754"/>
      <c r="AI182" s="754"/>
      <c r="AJ182" s="754"/>
      <c r="AK182" s="754"/>
      <c r="AL182" s="754"/>
      <c r="AM182" s="754"/>
      <c r="AN182" s="754"/>
      <c r="AO182" s="754"/>
      <c r="AP182" s="754"/>
      <c r="AQ182" s="754"/>
      <c r="AR182" s="754"/>
      <c r="AS182" s="754"/>
      <c r="AT182" s="754"/>
      <c r="AU182" s="754"/>
      <c r="AV182" s="754"/>
      <c r="AW182" s="754"/>
      <c r="AX182" s="754"/>
      <c r="AY182" s="754"/>
      <c r="AZ182" s="754"/>
      <c r="BA182" s="754"/>
      <c r="BB182" s="754"/>
      <c r="BC182" s="754"/>
      <c r="BD182" s="754"/>
      <c r="BE182" s="754"/>
      <c r="BF182" s="754"/>
      <c r="BG182" s="754"/>
      <c r="BH182" s="754"/>
    </row>
    <row r="183" spans="1:60">
      <c r="A183" s="754"/>
      <c r="B183" s="754"/>
      <c r="C183" s="754"/>
      <c r="D183" s="754"/>
      <c r="E183" s="754"/>
      <c r="F183" s="754"/>
      <c r="G183" s="754"/>
      <c r="H183" s="754"/>
      <c r="I183" s="754"/>
      <c r="J183" s="754"/>
      <c r="K183" s="754"/>
      <c r="L183" s="754"/>
      <c r="M183" s="754"/>
      <c r="N183" s="754"/>
      <c r="O183" s="754"/>
      <c r="P183" s="754"/>
      <c r="Q183" s="754"/>
      <c r="R183" s="754"/>
      <c r="S183" s="754"/>
      <c r="T183" s="754"/>
      <c r="U183" s="754"/>
      <c r="V183" s="754"/>
      <c r="W183" s="754"/>
      <c r="X183" s="754"/>
      <c r="Y183" s="754"/>
      <c r="Z183" s="754"/>
      <c r="AA183" s="754"/>
      <c r="AB183" s="754"/>
      <c r="AC183" s="754"/>
      <c r="AD183" s="754"/>
      <c r="AE183" s="754"/>
      <c r="AF183" s="754"/>
      <c r="AG183" s="754"/>
      <c r="AH183" s="754"/>
      <c r="AI183" s="754"/>
      <c r="AJ183" s="754"/>
      <c r="AK183" s="754"/>
      <c r="AL183" s="754"/>
      <c r="AM183" s="754"/>
      <c r="AN183" s="754"/>
      <c r="AO183" s="754"/>
      <c r="AP183" s="754"/>
      <c r="AQ183" s="754"/>
      <c r="AR183" s="754"/>
      <c r="AS183" s="754"/>
      <c r="AT183" s="754"/>
      <c r="AU183" s="754"/>
      <c r="AV183" s="754"/>
      <c r="AW183" s="754"/>
      <c r="AX183" s="754"/>
      <c r="AY183" s="754"/>
      <c r="AZ183" s="754"/>
      <c r="BA183" s="754"/>
      <c r="BB183" s="754"/>
      <c r="BC183" s="754"/>
      <c r="BD183" s="754"/>
      <c r="BE183" s="754"/>
      <c r="BF183" s="754"/>
      <c r="BG183" s="754"/>
      <c r="BH183" s="754"/>
    </row>
    <row r="184" spans="1:60">
      <c r="A184" s="754"/>
      <c r="B184" s="754"/>
      <c r="C184" s="754"/>
      <c r="D184" s="754"/>
      <c r="E184" s="754"/>
      <c r="F184" s="754"/>
      <c r="G184" s="754"/>
      <c r="H184" s="754"/>
      <c r="I184" s="754"/>
      <c r="J184" s="754"/>
      <c r="K184" s="754"/>
      <c r="L184" s="754"/>
      <c r="M184" s="754"/>
      <c r="N184" s="754"/>
      <c r="O184" s="754"/>
      <c r="P184" s="754"/>
      <c r="Q184" s="754"/>
      <c r="R184" s="754"/>
      <c r="S184" s="754"/>
      <c r="T184" s="754"/>
      <c r="U184" s="754"/>
      <c r="V184" s="754"/>
      <c r="W184" s="754"/>
      <c r="X184" s="754"/>
      <c r="Y184" s="754"/>
      <c r="Z184" s="754"/>
      <c r="AA184" s="754"/>
      <c r="AB184" s="754"/>
      <c r="AC184" s="754"/>
      <c r="AD184" s="754"/>
      <c r="AE184" s="754"/>
      <c r="AF184" s="754"/>
      <c r="AG184" s="754"/>
      <c r="AH184" s="754"/>
      <c r="AI184" s="754"/>
      <c r="AJ184" s="754"/>
      <c r="AK184" s="754"/>
      <c r="AL184" s="754"/>
      <c r="AM184" s="754"/>
      <c r="AN184" s="754"/>
      <c r="AO184" s="754"/>
      <c r="AP184" s="754"/>
      <c r="AQ184" s="754"/>
      <c r="AR184" s="754"/>
      <c r="AS184" s="754"/>
      <c r="AT184" s="754"/>
      <c r="AU184" s="754"/>
      <c r="AV184" s="754"/>
      <c r="AW184" s="754"/>
      <c r="AX184" s="754"/>
      <c r="AY184" s="754"/>
      <c r="AZ184" s="754"/>
      <c r="BA184" s="754"/>
      <c r="BB184" s="754"/>
      <c r="BC184" s="754"/>
      <c r="BD184" s="754"/>
      <c r="BE184" s="754"/>
      <c r="BF184" s="754"/>
      <c r="BG184" s="754"/>
      <c r="BH184" s="754"/>
    </row>
    <row r="185" spans="1:60">
      <c r="A185" s="754"/>
      <c r="B185" s="754"/>
      <c r="C185" s="754"/>
      <c r="D185" s="754"/>
      <c r="E185" s="754"/>
      <c r="F185" s="754"/>
      <c r="G185" s="754"/>
      <c r="H185" s="754"/>
      <c r="I185" s="754"/>
      <c r="J185" s="754"/>
      <c r="K185" s="754"/>
      <c r="L185" s="754"/>
      <c r="M185" s="754"/>
      <c r="N185" s="754"/>
      <c r="O185" s="754"/>
      <c r="P185" s="754"/>
      <c r="Q185" s="754"/>
      <c r="R185" s="754"/>
      <c r="S185" s="754"/>
      <c r="T185" s="754"/>
      <c r="U185" s="754"/>
      <c r="V185" s="754"/>
      <c r="W185" s="754"/>
      <c r="X185" s="754"/>
      <c r="Y185" s="754"/>
      <c r="Z185" s="754"/>
      <c r="AA185" s="754"/>
      <c r="AB185" s="754"/>
      <c r="AC185" s="754"/>
      <c r="AD185" s="754"/>
      <c r="AE185" s="754"/>
      <c r="AF185" s="754"/>
      <c r="AG185" s="754"/>
      <c r="AH185" s="754"/>
      <c r="AI185" s="754"/>
      <c r="AJ185" s="754"/>
      <c r="AK185" s="754"/>
      <c r="AL185" s="754"/>
      <c r="AM185" s="754"/>
      <c r="AN185" s="754"/>
      <c r="AO185" s="754"/>
      <c r="AP185" s="754"/>
      <c r="AQ185" s="754"/>
      <c r="AR185" s="754"/>
      <c r="AS185" s="754"/>
      <c r="AT185" s="754"/>
      <c r="AU185" s="754"/>
      <c r="AV185" s="754"/>
      <c r="AW185" s="754"/>
      <c r="AX185" s="754"/>
      <c r="AY185" s="754"/>
      <c r="AZ185" s="754"/>
      <c r="BA185" s="754"/>
      <c r="BB185" s="754"/>
      <c r="BC185" s="754"/>
      <c r="BD185" s="754"/>
      <c r="BE185" s="754"/>
      <c r="BF185" s="754"/>
      <c r="BG185" s="754"/>
      <c r="BH185" s="754"/>
    </row>
    <row r="186" spans="1:60">
      <c r="A186" s="754"/>
      <c r="B186" s="754"/>
      <c r="C186" s="754"/>
      <c r="D186" s="754"/>
      <c r="E186" s="754"/>
      <c r="F186" s="754"/>
      <c r="G186" s="754"/>
      <c r="H186" s="754"/>
      <c r="I186" s="754"/>
      <c r="J186" s="754"/>
      <c r="K186" s="754"/>
      <c r="L186" s="754"/>
      <c r="M186" s="754"/>
      <c r="N186" s="754"/>
      <c r="O186" s="754"/>
      <c r="P186" s="754"/>
      <c r="Q186" s="754"/>
      <c r="R186" s="754"/>
      <c r="S186" s="754"/>
      <c r="T186" s="754"/>
      <c r="U186" s="754"/>
      <c r="V186" s="754"/>
      <c r="W186" s="754"/>
      <c r="X186" s="754"/>
      <c r="Y186" s="754"/>
      <c r="Z186" s="754"/>
      <c r="AA186" s="754"/>
      <c r="AB186" s="754"/>
      <c r="AC186" s="754"/>
      <c r="AD186" s="754"/>
      <c r="AE186" s="754"/>
      <c r="AF186" s="754"/>
      <c r="AG186" s="754"/>
      <c r="AH186" s="754"/>
      <c r="AI186" s="754"/>
      <c r="AJ186" s="754"/>
      <c r="AK186" s="754"/>
      <c r="AL186" s="754"/>
      <c r="AM186" s="754"/>
      <c r="AN186" s="754"/>
      <c r="AO186" s="754"/>
      <c r="AP186" s="754"/>
      <c r="AQ186" s="754"/>
      <c r="AR186" s="754"/>
      <c r="AS186" s="754"/>
      <c r="AT186" s="754"/>
      <c r="AU186" s="754"/>
      <c r="AV186" s="754"/>
      <c r="AW186" s="754"/>
      <c r="AX186" s="754"/>
      <c r="AY186" s="754"/>
      <c r="AZ186" s="754"/>
      <c r="BA186" s="754"/>
      <c r="BB186" s="754"/>
      <c r="BC186" s="754"/>
      <c r="BD186" s="754"/>
      <c r="BE186" s="754"/>
      <c r="BF186" s="754"/>
      <c r="BG186" s="754"/>
      <c r="BH186" s="754"/>
    </row>
    <row r="187" spans="1:60">
      <c r="A187" s="754"/>
      <c r="B187" s="754"/>
      <c r="C187" s="754"/>
      <c r="D187" s="754"/>
      <c r="E187" s="754"/>
      <c r="F187" s="754"/>
      <c r="G187" s="754"/>
      <c r="H187" s="754"/>
      <c r="I187" s="754"/>
      <c r="J187" s="754"/>
      <c r="K187" s="754"/>
      <c r="L187" s="754"/>
      <c r="M187" s="754"/>
      <c r="N187" s="754"/>
      <c r="O187" s="754"/>
      <c r="P187" s="754"/>
      <c r="Q187" s="754"/>
      <c r="R187" s="754"/>
      <c r="S187" s="754"/>
      <c r="T187" s="754"/>
      <c r="U187" s="754"/>
      <c r="V187" s="754"/>
      <c r="W187" s="754"/>
      <c r="X187" s="754"/>
      <c r="Y187" s="754"/>
      <c r="Z187" s="754"/>
      <c r="AA187" s="754"/>
      <c r="AB187" s="754"/>
      <c r="AC187" s="754"/>
      <c r="AD187" s="754"/>
      <c r="AE187" s="754"/>
      <c r="AF187" s="754"/>
      <c r="AG187" s="754"/>
      <c r="AH187" s="754"/>
      <c r="AI187" s="754"/>
      <c r="AJ187" s="754"/>
      <c r="AK187" s="754"/>
      <c r="AL187" s="754"/>
      <c r="AM187" s="754"/>
      <c r="AN187" s="754"/>
      <c r="AO187" s="754"/>
      <c r="AP187" s="754"/>
      <c r="AQ187" s="754"/>
      <c r="AR187" s="754"/>
      <c r="AS187" s="754"/>
      <c r="AT187" s="754"/>
      <c r="AU187" s="754"/>
      <c r="AV187" s="754"/>
      <c r="AW187" s="754"/>
      <c r="AX187" s="754"/>
      <c r="AY187" s="754"/>
      <c r="AZ187" s="754"/>
      <c r="BA187" s="754"/>
      <c r="BB187" s="754"/>
      <c r="BC187" s="754"/>
      <c r="BD187" s="754"/>
      <c r="BE187" s="754"/>
      <c r="BF187" s="754"/>
      <c r="BG187" s="754"/>
      <c r="BH187" s="754"/>
    </row>
    <row r="188" spans="1:60">
      <c r="A188" s="754"/>
      <c r="B188" s="754"/>
      <c r="C188" s="754"/>
      <c r="D188" s="754"/>
      <c r="E188" s="754"/>
      <c r="F188" s="754"/>
      <c r="G188" s="754"/>
      <c r="H188" s="754"/>
      <c r="I188" s="754"/>
      <c r="J188" s="754"/>
      <c r="K188" s="754"/>
      <c r="L188" s="754"/>
      <c r="M188" s="754"/>
      <c r="N188" s="754"/>
      <c r="O188" s="754"/>
      <c r="P188" s="754"/>
      <c r="Q188" s="754"/>
      <c r="R188" s="754"/>
      <c r="S188" s="754"/>
      <c r="T188" s="754"/>
      <c r="U188" s="754"/>
      <c r="V188" s="754"/>
      <c r="W188" s="754"/>
      <c r="X188" s="754"/>
      <c r="Y188" s="754"/>
      <c r="Z188" s="754"/>
      <c r="AA188" s="754"/>
      <c r="AB188" s="754"/>
      <c r="AC188" s="754"/>
      <c r="AD188" s="754"/>
      <c r="AE188" s="754"/>
      <c r="AF188" s="754"/>
      <c r="AG188" s="754"/>
      <c r="AH188" s="754"/>
      <c r="AI188" s="754"/>
      <c r="AJ188" s="754"/>
      <c r="AK188" s="754"/>
      <c r="AL188" s="754"/>
      <c r="AM188" s="754"/>
      <c r="AN188" s="754"/>
      <c r="AO188" s="754"/>
      <c r="AP188" s="754"/>
      <c r="AQ188" s="754"/>
      <c r="AR188" s="754"/>
      <c r="AS188" s="754"/>
      <c r="AT188" s="754"/>
      <c r="AU188" s="754"/>
      <c r="AV188" s="754"/>
      <c r="AW188" s="754"/>
      <c r="AX188" s="754"/>
      <c r="AY188" s="754"/>
      <c r="AZ188" s="754"/>
      <c r="BA188" s="754"/>
      <c r="BB188" s="754"/>
      <c r="BC188" s="754"/>
      <c r="BD188" s="754"/>
      <c r="BE188" s="754"/>
      <c r="BF188" s="754"/>
      <c r="BG188" s="754"/>
      <c r="BH188" s="754"/>
    </row>
    <row r="189" spans="1:60">
      <c r="A189" s="754"/>
      <c r="B189" s="754"/>
      <c r="C189" s="754"/>
      <c r="D189" s="754"/>
      <c r="E189" s="754"/>
      <c r="F189" s="754"/>
      <c r="G189" s="754"/>
      <c r="H189" s="754"/>
      <c r="I189" s="754"/>
      <c r="J189" s="754"/>
      <c r="K189" s="754"/>
      <c r="L189" s="754"/>
      <c r="M189" s="754"/>
      <c r="N189" s="754"/>
      <c r="O189" s="754"/>
      <c r="P189" s="754"/>
      <c r="Q189" s="754"/>
      <c r="R189" s="754"/>
      <c r="S189" s="754"/>
      <c r="T189" s="754"/>
      <c r="U189" s="754"/>
      <c r="V189" s="754"/>
      <c r="W189" s="754"/>
      <c r="X189" s="754"/>
      <c r="Y189" s="754"/>
      <c r="Z189" s="754"/>
      <c r="AA189" s="754"/>
      <c r="AB189" s="754"/>
      <c r="AC189" s="754"/>
      <c r="AD189" s="754"/>
      <c r="AE189" s="754"/>
      <c r="AF189" s="754"/>
      <c r="AG189" s="754"/>
      <c r="AH189" s="754"/>
      <c r="AI189" s="754"/>
      <c r="AJ189" s="754"/>
      <c r="AK189" s="754"/>
      <c r="AL189" s="754"/>
      <c r="AM189" s="754"/>
      <c r="AN189" s="754"/>
      <c r="AO189" s="754"/>
      <c r="AP189" s="754"/>
      <c r="AQ189" s="754"/>
      <c r="AR189" s="754"/>
      <c r="AS189" s="754"/>
      <c r="AT189" s="754"/>
      <c r="AU189" s="754"/>
      <c r="AV189" s="754"/>
      <c r="AW189" s="754"/>
      <c r="AX189" s="754"/>
      <c r="AY189" s="754"/>
      <c r="AZ189" s="754"/>
      <c r="BA189" s="754"/>
      <c r="BB189" s="754"/>
      <c r="BC189" s="754"/>
      <c r="BD189" s="754"/>
      <c r="BE189" s="754"/>
      <c r="BF189" s="754"/>
      <c r="BG189" s="754"/>
      <c r="BH189" s="754"/>
    </row>
    <row r="190" spans="1:60">
      <c r="A190" s="754"/>
      <c r="B190" s="754"/>
      <c r="C190" s="754"/>
      <c r="D190" s="754"/>
      <c r="E190" s="754"/>
      <c r="F190" s="754"/>
      <c r="G190" s="754"/>
      <c r="H190" s="754"/>
      <c r="I190" s="754"/>
      <c r="J190" s="754"/>
      <c r="K190" s="754"/>
      <c r="L190" s="754"/>
      <c r="M190" s="754"/>
      <c r="N190" s="754"/>
      <c r="O190" s="754"/>
      <c r="P190" s="754"/>
      <c r="Q190" s="754"/>
      <c r="R190" s="754"/>
      <c r="S190" s="754"/>
      <c r="T190" s="754"/>
      <c r="U190" s="754"/>
      <c r="V190" s="754"/>
      <c r="W190" s="754"/>
      <c r="X190" s="754"/>
      <c r="Y190" s="754"/>
      <c r="Z190" s="754"/>
      <c r="AA190" s="754"/>
      <c r="AB190" s="754"/>
      <c r="AC190" s="754"/>
      <c r="AD190" s="754"/>
      <c r="AE190" s="754"/>
      <c r="AF190" s="754"/>
      <c r="AG190" s="754"/>
      <c r="AH190" s="754"/>
      <c r="AI190" s="754"/>
      <c r="AJ190" s="754"/>
      <c r="AK190" s="754"/>
      <c r="AL190" s="754"/>
      <c r="AM190" s="754"/>
      <c r="AN190" s="754"/>
      <c r="AO190" s="754"/>
      <c r="AP190" s="754"/>
      <c r="AQ190" s="754"/>
      <c r="AR190" s="754"/>
      <c r="AS190" s="754"/>
      <c r="AT190" s="754"/>
      <c r="AU190" s="754"/>
      <c r="AV190" s="754"/>
      <c r="AW190" s="754"/>
      <c r="AX190" s="754"/>
      <c r="AY190" s="754"/>
      <c r="AZ190" s="754"/>
      <c r="BA190" s="754"/>
      <c r="BB190" s="754"/>
      <c r="BC190" s="754"/>
      <c r="BD190" s="754"/>
      <c r="BE190" s="754"/>
      <c r="BF190" s="754"/>
      <c r="BG190" s="754"/>
      <c r="BH190" s="754"/>
    </row>
    <row r="191" spans="1:60">
      <c r="A191" s="754"/>
      <c r="B191" s="754"/>
      <c r="C191" s="754"/>
      <c r="D191" s="754"/>
      <c r="E191" s="754"/>
      <c r="F191" s="754"/>
      <c r="G191" s="754"/>
      <c r="H191" s="754"/>
      <c r="I191" s="754"/>
      <c r="J191" s="754"/>
      <c r="K191" s="754"/>
      <c r="L191" s="754"/>
      <c r="M191" s="754"/>
      <c r="N191" s="754"/>
      <c r="O191" s="754"/>
      <c r="P191" s="754"/>
      <c r="Q191" s="754"/>
      <c r="R191" s="754"/>
      <c r="S191" s="754"/>
      <c r="T191" s="754"/>
      <c r="U191" s="754"/>
      <c r="V191" s="754"/>
      <c r="W191" s="754"/>
      <c r="X191" s="754"/>
      <c r="Y191" s="754"/>
      <c r="Z191" s="754"/>
      <c r="AA191" s="754"/>
      <c r="AB191" s="754"/>
      <c r="AC191" s="754"/>
      <c r="AD191" s="754"/>
      <c r="AE191" s="754"/>
      <c r="AF191" s="754"/>
      <c r="AG191" s="754"/>
      <c r="AH191" s="754"/>
      <c r="AI191" s="754"/>
      <c r="AJ191" s="754"/>
      <c r="AK191" s="754"/>
      <c r="AL191" s="754"/>
      <c r="AM191" s="754"/>
      <c r="AN191" s="754"/>
      <c r="AO191" s="754"/>
      <c r="AP191" s="754"/>
      <c r="AQ191" s="754"/>
      <c r="AR191" s="754"/>
      <c r="AS191" s="754"/>
      <c r="AT191" s="754"/>
      <c r="AU191" s="754"/>
      <c r="AV191" s="754"/>
      <c r="AW191" s="754"/>
      <c r="AX191" s="754"/>
      <c r="AY191" s="754"/>
      <c r="AZ191" s="754"/>
      <c r="BA191" s="754"/>
      <c r="BB191" s="754"/>
      <c r="BC191" s="754"/>
      <c r="BD191" s="754"/>
      <c r="BE191" s="754"/>
      <c r="BF191" s="754"/>
      <c r="BG191" s="754"/>
      <c r="BH191" s="754"/>
    </row>
    <row r="192" spans="1:60">
      <c r="A192" s="754"/>
      <c r="B192" s="754"/>
      <c r="C192" s="754"/>
      <c r="D192" s="754"/>
      <c r="E192" s="754"/>
      <c r="F192" s="754"/>
      <c r="G192" s="754"/>
      <c r="H192" s="754"/>
      <c r="I192" s="754"/>
      <c r="J192" s="754"/>
      <c r="K192" s="754"/>
      <c r="L192" s="754"/>
      <c r="M192" s="754"/>
      <c r="N192" s="754"/>
      <c r="O192" s="754"/>
      <c r="P192" s="754"/>
      <c r="Q192" s="754"/>
      <c r="R192" s="754"/>
      <c r="S192" s="754"/>
      <c r="T192" s="754"/>
      <c r="U192" s="754"/>
      <c r="V192" s="754"/>
      <c r="W192" s="754"/>
      <c r="X192" s="754"/>
      <c r="Y192" s="754"/>
      <c r="Z192" s="754"/>
      <c r="AA192" s="754"/>
      <c r="AB192" s="754"/>
      <c r="AC192" s="754"/>
      <c r="AD192" s="754"/>
      <c r="AE192" s="754"/>
      <c r="AF192" s="754"/>
      <c r="AG192" s="754"/>
      <c r="AH192" s="754"/>
      <c r="AI192" s="754"/>
      <c r="AJ192" s="754"/>
      <c r="AK192" s="754"/>
      <c r="AL192" s="754"/>
      <c r="AM192" s="754"/>
      <c r="AN192" s="754"/>
      <c r="AO192" s="754"/>
      <c r="AP192" s="754"/>
      <c r="AQ192" s="754"/>
      <c r="AR192" s="754"/>
      <c r="AS192" s="754"/>
      <c r="AT192" s="754"/>
      <c r="AU192" s="754"/>
      <c r="AV192" s="754"/>
      <c r="AW192" s="754"/>
      <c r="AX192" s="754"/>
      <c r="AY192" s="754"/>
      <c r="AZ192" s="754"/>
      <c r="BA192" s="754"/>
      <c r="BB192" s="754"/>
      <c r="BC192" s="754"/>
      <c r="BD192" s="754"/>
      <c r="BE192" s="754"/>
      <c r="BF192" s="754"/>
      <c r="BG192" s="754"/>
      <c r="BH192" s="754"/>
    </row>
    <row r="193" spans="1:60">
      <c r="A193" s="754"/>
      <c r="B193" s="754"/>
      <c r="C193" s="754"/>
      <c r="D193" s="754"/>
      <c r="E193" s="754"/>
      <c r="F193" s="754"/>
      <c r="G193" s="754"/>
      <c r="H193" s="754"/>
      <c r="I193" s="754"/>
      <c r="J193" s="754"/>
      <c r="K193" s="754"/>
      <c r="L193" s="754"/>
      <c r="M193" s="754"/>
      <c r="N193" s="754"/>
      <c r="O193" s="754"/>
      <c r="P193" s="754"/>
      <c r="Q193" s="754"/>
      <c r="R193" s="754"/>
      <c r="S193" s="754"/>
      <c r="T193" s="754"/>
      <c r="U193" s="754"/>
      <c r="V193" s="754"/>
      <c r="W193" s="754"/>
      <c r="X193" s="754"/>
      <c r="Y193" s="754"/>
      <c r="Z193" s="754"/>
      <c r="AA193" s="754"/>
      <c r="AB193" s="754"/>
      <c r="AC193" s="754"/>
      <c r="AD193" s="754"/>
      <c r="AE193" s="754"/>
      <c r="AF193" s="754"/>
      <c r="AG193" s="754"/>
      <c r="AH193" s="754"/>
      <c r="AI193" s="754"/>
      <c r="AJ193" s="754"/>
      <c r="AK193" s="754"/>
      <c r="AL193" s="754"/>
      <c r="AM193" s="754"/>
      <c r="AN193" s="754"/>
      <c r="AO193" s="754"/>
      <c r="AP193" s="754"/>
      <c r="AQ193" s="754"/>
      <c r="AR193" s="754"/>
      <c r="AS193" s="754"/>
      <c r="AT193" s="754"/>
      <c r="AU193" s="754"/>
      <c r="AV193" s="754"/>
      <c r="AW193" s="754"/>
      <c r="AX193" s="754"/>
      <c r="AY193" s="754"/>
      <c r="AZ193" s="754"/>
      <c r="BA193" s="754"/>
      <c r="BB193" s="754"/>
      <c r="BC193" s="754"/>
      <c r="BD193" s="754"/>
      <c r="BE193" s="754"/>
      <c r="BF193" s="754"/>
      <c r="BG193" s="754"/>
      <c r="BH193" s="754"/>
    </row>
    <row r="194" spans="1:60">
      <c r="A194" s="754"/>
      <c r="B194" s="754"/>
      <c r="C194" s="754"/>
      <c r="D194" s="754"/>
      <c r="E194" s="754"/>
      <c r="F194" s="754"/>
      <c r="G194" s="754"/>
      <c r="H194" s="754"/>
      <c r="I194" s="754"/>
      <c r="J194" s="754"/>
      <c r="K194" s="754"/>
      <c r="L194" s="754"/>
      <c r="M194" s="754"/>
      <c r="N194" s="754"/>
      <c r="O194" s="754"/>
      <c r="P194" s="754"/>
      <c r="Q194" s="754"/>
      <c r="R194" s="754"/>
      <c r="S194" s="754"/>
      <c r="T194" s="754"/>
      <c r="U194" s="754"/>
      <c r="V194" s="754"/>
      <c r="W194" s="754"/>
      <c r="X194" s="754"/>
      <c r="Y194" s="754"/>
      <c r="Z194" s="754"/>
      <c r="AA194" s="754"/>
      <c r="AB194" s="754"/>
      <c r="AC194" s="754"/>
      <c r="AD194" s="754"/>
      <c r="AE194" s="754"/>
      <c r="AF194" s="754"/>
      <c r="AG194" s="754"/>
      <c r="AH194" s="754"/>
      <c r="AI194" s="754"/>
      <c r="AJ194" s="754"/>
      <c r="AK194" s="754"/>
      <c r="AL194" s="754"/>
      <c r="AM194" s="754"/>
      <c r="AN194" s="754"/>
      <c r="AO194" s="754"/>
      <c r="AP194" s="754"/>
      <c r="AQ194" s="754"/>
      <c r="AR194" s="754"/>
      <c r="AS194" s="754"/>
      <c r="AT194" s="754"/>
      <c r="AU194" s="754"/>
      <c r="AV194" s="754"/>
      <c r="AW194" s="754"/>
      <c r="AX194" s="754"/>
      <c r="AY194" s="754"/>
      <c r="AZ194" s="754"/>
      <c r="BA194" s="754"/>
      <c r="BB194" s="754"/>
      <c r="BC194" s="754"/>
      <c r="BD194" s="754"/>
      <c r="BE194" s="754"/>
      <c r="BF194" s="754"/>
      <c r="BG194" s="754"/>
      <c r="BH194" s="754"/>
    </row>
    <row r="195" spans="1:60">
      <c r="A195" s="754"/>
      <c r="B195" s="754"/>
      <c r="C195" s="754"/>
      <c r="D195" s="754"/>
      <c r="E195" s="754"/>
      <c r="F195" s="754"/>
      <c r="G195" s="754"/>
      <c r="H195" s="754"/>
      <c r="I195" s="754"/>
      <c r="J195" s="754"/>
      <c r="K195" s="754"/>
      <c r="L195" s="754"/>
      <c r="M195" s="754"/>
      <c r="N195" s="754"/>
      <c r="O195" s="754"/>
      <c r="P195" s="754"/>
      <c r="Q195" s="754"/>
      <c r="R195" s="754"/>
      <c r="S195" s="754"/>
      <c r="T195" s="754"/>
      <c r="U195" s="754"/>
      <c r="V195" s="754"/>
      <c r="W195" s="754"/>
      <c r="X195" s="754"/>
      <c r="Y195" s="754"/>
      <c r="Z195" s="754"/>
      <c r="AA195" s="754"/>
      <c r="AB195" s="754"/>
      <c r="AC195" s="754"/>
      <c r="AD195" s="754"/>
      <c r="AE195" s="754"/>
      <c r="AF195" s="754"/>
      <c r="AG195" s="754"/>
      <c r="AH195" s="754"/>
      <c r="AI195" s="754"/>
      <c r="AJ195" s="754"/>
      <c r="AK195" s="754"/>
      <c r="AL195" s="754"/>
      <c r="AM195" s="754"/>
      <c r="AN195" s="754"/>
      <c r="AO195" s="754"/>
      <c r="AP195" s="754"/>
      <c r="AQ195" s="754"/>
      <c r="AR195" s="754"/>
      <c r="AS195" s="754"/>
      <c r="AT195" s="754"/>
      <c r="AU195" s="754"/>
      <c r="AV195" s="754"/>
      <c r="AW195" s="754"/>
      <c r="AX195" s="754"/>
      <c r="AY195" s="754"/>
      <c r="AZ195" s="754"/>
      <c r="BA195" s="754"/>
      <c r="BB195" s="754"/>
      <c r="BC195" s="754"/>
      <c r="BD195" s="754"/>
      <c r="BE195" s="754"/>
      <c r="BF195" s="754"/>
      <c r="BG195" s="754"/>
      <c r="BH195" s="754"/>
    </row>
    <row r="196" spans="1:60">
      <c r="A196" s="754"/>
      <c r="B196" s="754"/>
      <c r="C196" s="754"/>
      <c r="D196" s="754"/>
      <c r="E196" s="754"/>
      <c r="F196" s="754"/>
      <c r="G196" s="754"/>
      <c r="H196" s="754"/>
      <c r="I196" s="754"/>
      <c r="J196" s="754"/>
      <c r="K196" s="754"/>
      <c r="L196" s="754"/>
      <c r="M196" s="754"/>
      <c r="N196" s="754"/>
      <c r="O196" s="754"/>
      <c r="P196" s="754"/>
      <c r="Q196" s="754"/>
      <c r="R196" s="754"/>
      <c r="S196" s="754"/>
      <c r="T196" s="754"/>
      <c r="U196" s="754"/>
      <c r="V196" s="754"/>
      <c r="W196" s="754"/>
      <c r="X196" s="754"/>
      <c r="Y196" s="754"/>
      <c r="Z196" s="754"/>
      <c r="AA196" s="754"/>
      <c r="AB196" s="754"/>
      <c r="AC196" s="754"/>
      <c r="AD196" s="754"/>
      <c r="AE196" s="754"/>
      <c r="AF196" s="754"/>
      <c r="AG196" s="754"/>
      <c r="AH196" s="754"/>
      <c r="AI196" s="754"/>
      <c r="AJ196" s="754"/>
      <c r="AK196" s="754"/>
      <c r="AL196" s="754"/>
      <c r="AM196" s="754"/>
      <c r="AN196" s="754"/>
      <c r="AO196" s="754"/>
      <c r="AP196" s="754"/>
      <c r="AQ196" s="754"/>
      <c r="AR196" s="754"/>
      <c r="AS196" s="754"/>
      <c r="AT196" s="754"/>
      <c r="AU196" s="754"/>
      <c r="AV196" s="754"/>
      <c r="AW196" s="754"/>
      <c r="AX196" s="754"/>
      <c r="AY196" s="754"/>
      <c r="AZ196" s="754"/>
      <c r="BA196" s="754"/>
      <c r="BB196" s="754"/>
      <c r="BC196" s="754"/>
      <c r="BD196" s="754"/>
      <c r="BE196" s="754"/>
      <c r="BF196" s="754"/>
      <c r="BG196" s="754"/>
      <c r="BH196" s="754"/>
    </row>
    <row r="197" spans="1:60">
      <c r="A197" s="754"/>
      <c r="B197" s="754"/>
      <c r="C197" s="754"/>
      <c r="D197" s="754"/>
      <c r="E197" s="754"/>
      <c r="F197" s="754"/>
      <c r="G197" s="754"/>
      <c r="H197" s="754"/>
      <c r="I197" s="754"/>
      <c r="J197" s="754"/>
      <c r="K197" s="754"/>
      <c r="L197" s="754"/>
      <c r="M197" s="754"/>
      <c r="N197" s="754"/>
      <c r="O197" s="754"/>
      <c r="P197" s="754"/>
      <c r="Q197" s="754"/>
      <c r="R197" s="754"/>
      <c r="S197" s="754"/>
      <c r="T197" s="754"/>
      <c r="U197" s="754"/>
      <c r="V197" s="754"/>
      <c r="W197" s="754"/>
      <c r="X197" s="754"/>
      <c r="Y197" s="754"/>
      <c r="Z197" s="754"/>
      <c r="AA197" s="754"/>
      <c r="AB197" s="754"/>
      <c r="AC197" s="754"/>
      <c r="AD197" s="754"/>
      <c r="AE197" s="754"/>
      <c r="AF197" s="754"/>
      <c r="AG197" s="754"/>
      <c r="AH197" s="754"/>
      <c r="AI197" s="754"/>
      <c r="AJ197" s="754"/>
      <c r="AK197" s="754"/>
      <c r="AL197" s="754"/>
      <c r="AM197" s="754"/>
      <c r="AN197" s="754"/>
      <c r="AO197" s="754"/>
      <c r="AP197" s="754"/>
      <c r="AQ197" s="754"/>
      <c r="AR197" s="754"/>
      <c r="AS197" s="754"/>
      <c r="AT197" s="754"/>
      <c r="AU197" s="754"/>
      <c r="AV197" s="754"/>
      <c r="AW197" s="754"/>
      <c r="AX197" s="754"/>
      <c r="AY197" s="754"/>
      <c r="AZ197" s="754"/>
      <c r="BA197" s="754"/>
      <c r="BB197" s="754"/>
      <c r="BC197" s="754"/>
      <c r="BD197" s="754"/>
      <c r="BE197" s="754"/>
      <c r="BF197" s="754"/>
      <c r="BG197" s="754"/>
      <c r="BH197" s="754"/>
    </row>
    <row r="198" spans="1:60">
      <c r="A198" s="754"/>
      <c r="B198" s="754"/>
      <c r="C198" s="754"/>
      <c r="D198" s="754"/>
      <c r="E198" s="754"/>
      <c r="F198" s="754"/>
      <c r="G198" s="754"/>
      <c r="H198" s="754"/>
      <c r="I198" s="754"/>
      <c r="J198" s="754"/>
      <c r="K198" s="754"/>
      <c r="L198" s="754"/>
      <c r="M198" s="754"/>
      <c r="N198" s="754"/>
      <c r="O198" s="754"/>
      <c r="P198" s="754"/>
      <c r="Q198" s="754"/>
      <c r="R198" s="754"/>
      <c r="S198" s="754"/>
      <c r="T198" s="754"/>
      <c r="U198" s="754"/>
      <c r="V198" s="754"/>
      <c r="W198" s="754"/>
      <c r="X198" s="754"/>
      <c r="Y198" s="754"/>
      <c r="Z198" s="754"/>
      <c r="AA198" s="754"/>
      <c r="AB198" s="754"/>
      <c r="AC198" s="754"/>
      <c r="AD198" s="754"/>
      <c r="AE198" s="754"/>
      <c r="AF198" s="754"/>
      <c r="AG198" s="754"/>
      <c r="AH198" s="754"/>
      <c r="AI198" s="754"/>
      <c r="AJ198" s="754"/>
      <c r="AK198" s="754"/>
      <c r="AL198" s="754"/>
      <c r="AM198" s="754"/>
      <c r="AN198" s="754"/>
      <c r="AO198" s="754"/>
      <c r="AP198" s="754"/>
      <c r="AQ198" s="754"/>
      <c r="AR198" s="754"/>
      <c r="AS198" s="754"/>
      <c r="AT198" s="754"/>
      <c r="AU198" s="754"/>
      <c r="AV198" s="754"/>
      <c r="AW198" s="754"/>
      <c r="AX198" s="754"/>
      <c r="AY198" s="754"/>
      <c r="AZ198" s="754"/>
      <c r="BA198" s="754"/>
      <c r="BB198" s="754"/>
      <c r="BC198" s="754"/>
      <c r="BD198" s="754"/>
      <c r="BE198" s="754"/>
      <c r="BF198" s="754"/>
      <c r="BG198" s="754"/>
      <c r="BH198" s="754"/>
    </row>
    <row r="199" spans="1:60">
      <c r="A199" s="754"/>
      <c r="B199" s="754"/>
      <c r="C199" s="754"/>
      <c r="D199" s="754"/>
      <c r="E199" s="754"/>
      <c r="F199" s="754"/>
      <c r="G199" s="754"/>
      <c r="H199" s="754"/>
      <c r="I199" s="754"/>
      <c r="J199" s="754"/>
      <c r="K199" s="754"/>
      <c r="L199" s="754"/>
      <c r="M199" s="754"/>
      <c r="N199" s="754"/>
      <c r="O199" s="754"/>
      <c r="P199" s="754"/>
      <c r="Q199" s="754"/>
      <c r="R199" s="754"/>
      <c r="S199" s="754"/>
      <c r="T199" s="754"/>
      <c r="U199" s="754"/>
      <c r="V199" s="754"/>
      <c r="W199" s="754"/>
      <c r="X199" s="754"/>
      <c r="Y199" s="754"/>
      <c r="Z199" s="754"/>
      <c r="AA199" s="754"/>
      <c r="AB199" s="754"/>
      <c r="AC199" s="754"/>
      <c r="AD199" s="754"/>
      <c r="AE199" s="754"/>
      <c r="AF199" s="754"/>
      <c r="AG199" s="754"/>
      <c r="AH199" s="754"/>
      <c r="AI199" s="754"/>
      <c r="AJ199" s="754"/>
      <c r="AK199" s="754"/>
      <c r="AL199" s="754"/>
      <c r="AM199" s="754"/>
      <c r="AN199" s="754"/>
      <c r="AO199" s="754"/>
      <c r="AP199" s="754"/>
      <c r="AQ199" s="754"/>
      <c r="AR199" s="754"/>
      <c r="AS199" s="754"/>
      <c r="AT199" s="754"/>
      <c r="AU199" s="754"/>
      <c r="AV199" s="754"/>
      <c r="AW199" s="754"/>
      <c r="AX199" s="754"/>
      <c r="AY199" s="754"/>
      <c r="AZ199" s="754"/>
      <c r="BA199" s="754"/>
      <c r="BB199" s="754"/>
      <c r="BC199" s="754"/>
      <c r="BD199" s="754"/>
      <c r="BE199" s="754"/>
      <c r="BF199" s="754"/>
      <c r="BG199" s="754"/>
      <c r="BH199" s="754"/>
    </row>
    <row r="200" spans="1:60">
      <c r="A200" s="754"/>
      <c r="B200" s="754"/>
      <c r="C200" s="754"/>
      <c r="D200" s="754"/>
      <c r="E200" s="754"/>
      <c r="F200" s="754"/>
      <c r="G200" s="754"/>
      <c r="H200" s="754"/>
      <c r="I200" s="754"/>
      <c r="J200" s="754"/>
      <c r="K200" s="754"/>
      <c r="L200" s="754"/>
      <c r="M200" s="754"/>
      <c r="N200" s="754"/>
      <c r="O200" s="754"/>
      <c r="P200" s="754"/>
      <c r="Q200" s="754"/>
      <c r="R200" s="754"/>
      <c r="S200" s="754"/>
      <c r="T200" s="754"/>
      <c r="U200" s="754"/>
      <c r="V200" s="754"/>
      <c r="W200" s="754"/>
      <c r="X200" s="754"/>
      <c r="Y200" s="754"/>
      <c r="Z200" s="754"/>
      <c r="AA200" s="754"/>
      <c r="AB200" s="754"/>
      <c r="AC200" s="754"/>
      <c r="AD200" s="754"/>
      <c r="AE200" s="754"/>
      <c r="AF200" s="754"/>
      <c r="AG200" s="754"/>
      <c r="AH200" s="754"/>
      <c r="AI200" s="754"/>
      <c r="AJ200" s="754"/>
      <c r="AK200" s="754"/>
      <c r="AL200" s="754"/>
      <c r="AM200" s="754"/>
      <c r="AN200" s="754"/>
      <c r="AO200" s="754"/>
      <c r="AP200" s="754"/>
      <c r="AQ200" s="754"/>
      <c r="AR200" s="754"/>
      <c r="AS200" s="754"/>
      <c r="AT200" s="754"/>
      <c r="AU200" s="754"/>
      <c r="AV200" s="754"/>
      <c r="AW200" s="754"/>
      <c r="AX200" s="754"/>
      <c r="AY200" s="754"/>
      <c r="AZ200" s="754"/>
      <c r="BA200" s="754"/>
      <c r="BB200" s="754"/>
      <c r="BC200" s="754"/>
      <c r="BD200" s="754"/>
      <c r="BE200" s="754"/>
      <c r="BF200" s="754"/>
      <c r="BG200" s="754"/>
      <c r="BH200" s="754"/>
    </row>
    <row r="201" spans="1:60">
      <c r="A201" s="754"/>
      <c r="B201" s="754"/>
      <c r="C201" s="754"/>
      <c r="D201" s="754"/>
      <c r="E201" s="754"/>
      <c r="F201" s="754"/>
      <c r="G201" s="754"/>
      <c r="H201" s="754"/>
      <c r="I201" s="754"/>
      <c r="J201" s="754"/>
      <c r="K201" s="754"/>
      <c r="L201" s="754"/>
      <c r="M201" s="754"/>
      <c r="N201" s="754"/>
      <c r="O201" s="754"/>
      <c r="P201" s="754"/>
      <c r="Q201" s="754"/>
      <c r="R201" s="754"/>
      <c r="S201" s="754"/>
      <c r="T201" s="754"/>
      <c r="U201" s="754"/>
      <c r="V201" s="754"/>
      <c r="W201" s="754"/>
      <c r="X201" s="754"/>
      <c r="Y201" s="754"/>
      <c r="Z201" s="754"/>
      <c r="AA201" s="754"/>
      <c r="AB201" s="754"/>
      <c r="AC201" s="754"/>
      <c r="AD201" s="754"/>
      <c r="AE201" s="754"/>
      <c r="AF201" s="754"/>
      <c r="AG201" s="754"/>
      <c r="AH201" s="754"/>
      <c r="AI201" s="754"/>
      <c r="AJ201" s="754"/>
      <c r="AK201" s="754"/>
      <c r="AL201" s="754"/>
      <c r="AM201" s="754"/>
      <c r="AN201" s="754"/>
      <c r="AO201" s="754"/>
      <c r="AP201" s="754"/>
      <c r="AQ201" s="754"/>
      <c r="AR201" s="754"/>
      <c r="AS201" s="754"/>
      <c r="AT201" s="754"/>
      <c r="AU201" s="754"/>
      <c r="AV201" s="754"/>
      <c r="AW201" s="754"/>
      <c r="AX201" s="754"/>
      <c r="AY201" s="754"/>
      <c r="AZ201" s="754"/>
      <c r="BA201" s="754"/>
      <c r="BB201" s="754"/>
      <c r="BC201" s="754"/>
      <c r="BD201" s="754"/>
      <c r="BE201" s="754"/>
      <c r="BF201" s="754"/>
      <c r="BG201" s="754"/>
      <c r="BH201" s="754"/>
    </row>
    <row r="202" spans="1:60">
      <c r="A202" s="754"/>
      <c r="B202" s="754"/>
      <c r="C202" s="754"/>
      <c r="D202" s="754"/>
      <c r="E202" s="754"/>
      <c r="F202" s="754"/>
      <c r="G202" s="754"/>
      <c r="H202" s="754"/>
      <c r="I202" s="754"/>
      <c r="J202" s="754"/>
      <c r="K202" s="754"/>
      <c r="L202" s="754"/>
      <c r="M202" s="754"/>
      <c r="N202" s="754"/>
      <c r="O202" s="754"/>
      <c r="P202" s="754"/>
      <c r="Q202" s="754"/>
      <c r="R202" s="754"/>
      <c r="S202" s="754"/>
      <c r="T202" s="754"/>
      <c r="U202" s="754"/>
      <c r="V202" s="754"/>
      <c r="W202" s="754"/>
      <c r="X202" s="754"/>
      <c r="Y202" s="754"/>
      <c r="Z202" s="754"/>
      <c r="AA202" s="754"/>
      <c r="AB202" s="754"/>
      <c r="AC202" s="754"/>
      <c r="AD202" s="754"/>
      <c r="AE202" s="754"/>
      <c r="AF202" s="754"/>
      <c r="AG202" s="754"/>
      <c r="AH202" s="754"/>
      <c r="AI202" s="754"/>
      <c r="AJ202" s="754"/>
      <c r="AK202" s="754"/>
      <c r="AL202" s="754"/>
      <c r="AM202" s="754"/>
      <c r="AN202" s="754"/>
      <c r="AO202" s="754"/>
      <c r="AP202" s="754"/>
      <c r="AQ202" s="754"/>
      <c r="AR202" s="754"/>
      <c r="AS202" s="754"/>
      <c r="AT202" s="754"/>
      <c r="AU202" s="754"/>
      <c r="AV202" s="754"/>
      <c r="AW202" s="754"/>
      <c r="AX202" s="754"/>
      <c r="AY202" s="754"/>
      <c r="AZ202" s="754"/>
      <c r="BA202" s="754"/>
      <c r="BB202" s="754"/>
      <c r="BC202" s="754"/>
      <c r="BD202" s="754"/>
      <c r="BE202" s="754"/>
      <c r="BF202" s="754"/>
      <c r="BG202" s="754"/>
      <c r="BH202" s="754"/>
    </row>
    <row r="203" spans="1:60">
      <c r="A203" s="754"/>
      <c r="B203" s="754"/>
      <c r="C203" s="754"/>
      <c r="D203" s="754"/>
      <c r="E203" s="754"/>
      <c r="F203" s="754"/>
      <c r="G203" s="754"/>
      <c r="H203" s="754"/>
      <c r="I203" s="754"/>
      <c r="J203" s="754"/>
      <c r="K203" s="754"/>
      <c r="L203" s="754"/>
      <c r="M203" s="754"/>
      <c r="N203" s="754"/>
      <c r="O203" s="754"/>
      <c r="P203" s="754"/>
      <c r="Q203" s="754"/>
      <c r="R203" s="754"/>
      <c r="S203" s="754"/>
      <c r="T203" s="754"/>
      <c r="U203" s="754"/>
      <c r="V203" s="754"/>
      <c r="W203" s="754"/>
      <c r="X203" s="754"/>
      <c r="Y203" s="754"/>
      <c r="Z203" s="754"/>
      <c r="AA203" s="754"/>
      <c r="AB203" s="754"/>
      <c r="AC203" s="754"/>
      <c r="AD203" s="754"/>
      <c r="AE203" s="754"/>
      <c r="AF203" s="754"/>
      <c r="AG203" s="754"/>
      <c r="AH203" s="754"/>
      <c r="AI203" s="754"/>
      <c r="AJ203" s="754"/>
      <c r="AK203" s="754"/>
      <c r="AL203" s="754"/>
      <c r="AM203" s="754"/>
      <c r="AN203" s="754"/>
      <c r="AO203" s="754"/>
      <c r="AP203" s="754"/>
      <c r="AQ203" s="754"/>
      <c r="AR203" s="754"/>
      <c r="AS203" s="754"/>
      <c r="AT203" s="754"/>
      <c r="AU203" s="754"/>
      <c r="AV203" s="754"/>
      <c r="AW203" s="754"/>
      <c r="AX203" s="754"/>
      <c r="AY203" s="754"/>
      <c r="AZ203" s="754"/>
      <c r="BA203" s="754"/>
      <c r="BB203" s="754"/>
      <c r="BC203" s="754"/>
      <c r="BD203" s="754"/>
      <c r="BE203" s="754"/>
      <c r="BF203" s="754"/>
      <c r="BG203" s="754"/>
      <c r="BH203" s="754"/>
    </row>
    <row r="204" spans="1:60">
      <c r="A204" s="754"/>
      <c r="B204" s="754"/>
      <c r="C204" s="754"/>
      <c r="D204" s="754"/>
      <c r="E204" s="754"/>
      <c r="F204" s="754"/>
      <c r="G204" s="754"/>
      <c r="H204" s="754"/>
      <c r="I204" s="754"/>
      <c r="J204" s="754"/>
      <c r="K204" s="754"/>
      <c r="L204" s="754"/>
      <c r="M204" s="754"/>
      <c r="N204" s="754"/>
      <c r="O204" s="754"/>
      <c r="P204" s="754"/>
      <c r="Q204" s="754"/>
      <c r="R204" s="754"/>
      <c r="S204" s="754"/>
      <c r="T204" s="754"/>
      <c r="U204" s="754"/>
      <c r="V204" s="754"/>
      <c r="W204" s="754"/>
      <c r="X204" s="754"/>
      <c r="Y204" s="754"/>
      <c r="Z204" s="754"/>
      <c r="AA204" s="754"/>
      <c r="AB204" s="754"/>
      <c r="AC204" s="754"/>
      <c r="AD204" s="754"/>
      <c r="AE204" s="754"/>
      <c r="AF204" s="754"/>
      <c r="AG204" s="754"/>
      <c r="AH204" s="754"/>
      <c r="AI204" s="754"/>
      <c r="AJ204" s="754"/>
      <c r="AK204" s="754"/>
      <c r="AL204" s="754"/>
      <c r="AM204" s="754"/>
      <c r="AN204" s="754"/>
      <c r="AO204" s="754"/>
      <c r="AP204" s="754"/>
      <c r="AQ204" s="754"/>
      <c r="AR204" s="754"/>
      <c r="AS204" s="754"/>
      <c r="AT204" s="754"/>
      <c r="AU204" s="754"/>
      <c r="AV204" s="754"/>
      <c r="AW204" s="754"/>
      <c r="AX204" s="754"/>
      <c r="AY204" s="754"/>
      <c r="AZ204" s="754"/>
      <c r="BA204" s="754"/>
      <c r="BB204" s="754"/>
      <c r="BC204" s="754"/>
      <c r="BD204" s="754"/>
      <c r="BE204" s="754"/>
      <c r="BF204" s="754"/>
      <c r="BG204" s="754"/>
      <c r="BH204" s="754"/>
    </row>
    <row r="205" spans="1:60">
      <c r="A205" s="754"/>
      <c r="B205" s="754"/>
      <c r="C205" s="754"/>
      <c r="D205" s="754"/>
      <c r="E205" s="754"/>
      <c r="F205" s="754"/>
      <c r="G205" s="754"/>
      <c r="H205" s="754"/>
      <c r="I205" s="754"/>
      <c r="J205" s="754"/>
      <c r="K205" s="754"/>
      <c r="L205" s="754"/>
      <c r="M205" s="754"/>
      <c r="N205" s="754"/>
      <c r="O205" s="754"/>
      <c r="P205" s="754"/>
      <c r="Q205" s="754"/>
      <c r="R205" s="754"/>
      <c r="S205" s="754"/>
      <c r="T205" s="754"/>
      <c r="U205" s="754"/>
      <c r="V205" s="754"/>
      <c r="W205" s="754"/>
      <c r="X205" s="754"/>
      <c r="Y205" s="754"/>
      <c r="Z205" s="754"/>
      <c r="AA205" s="754"/>
      <c r="AB205" s="754"/>
      <c r="AC205" s="754"/>
      <c r="AD205" s="754"/>
      <c r="AE205" s="754"/>
      <c r="AF205" s="754"/>
      <c r="AG205" s="754"/>
      <c r="AH205" s="754"/>
      <c r="AI205" s="754"/>
      <c r="AJ205" s="754"/>
      <c r="AK205" s="754"/>
      <c r="AL205" s="754"/>
      <c r="AM205" s="754"/>
      <c r="AN205" s="754"/>
      <c r="AO205" s="754"/>
      <c r="AP205" s="754"/>
      <c r="AQ205" s="754"/>
      <c r="AR205" s="754"/>
      <c r="AS205" s="754"/>
      <c r="AT205" s="754"/>
      <c r="AU205" s="754"/>
      <c r="AV205" s="754"/>
      <c r="AW205" s="754"/>
      <c r="AX205" s="754"/>
      <c r="AY205" s="754"/>
      <c r="AZ205" s="754"/>
      <c r="BA205" s="754"/>
      <c r="BB205" s="754"/>
      <c r="BC205" s="754"/>
      <c r="BD205" s="754"/>
      <c r="BE205" s="754"/>
      <c r="BF205" s="754"/>
      <c r="BG205" s="754"/>
      <c r="BH205" s="754"/>
    </row>
    <row r="206" spans="1:60">
      <c r="A206" s="754"/>
      <c r="B206" s="754"/>
      <c r="C206" s="754"/>
      <c r="D206" s="754"/>
      <c r="E206" s="754"/>
      <c r="F206" s="754"/>
      <c r="G206" s="754"/>
      <c r="H206" s="754"/>
      <c r="I206" s="754"/>
      <c r="J206" s="754"/>
      <c r="K206" s="754"/>
      <c r="L206" s="754"/>
      <c r="M206" s="754"/>
      <c r="N206" s="754"/>
      <c r="O206" s="754"/>
      <c r="P206" s="754"/>
      <c r="Q206" s="754"/>
      <c r="R206" s="754"/>
      <c r="S206" s="754"/>
      <c r="T206" s="754"/>
      <c r="U206" s="754"/>
      <c r="V206" s="754"/>
      <c r="W206" s="754"/>
      <c r="X206" s="754"/>
      <c r="Y206" s="754"/>
      <c r="Z206" s="754"/>
      <c r="AA206" s="754"/>
      <c r="AB206" s="754"/>
      <c r="AC206" s="754"/>
      <c r="AD206" s="754"/>
      <c r="AE206" s="754"/>
      <c r="AF206" s="754"/>
      <c r="AG206" s="754"/>
      <c r="AH206" s="754"/>
      <c r="AI206" s="754"/>
      <c r="AJ206" s="754"/>
      <c r="AK206" s="754"/>
      <c r="AL206" s="754"/>
      <c r="AM206" s="754"/>
      <c r="AN206" s="754"/>
      <c r="AO206" s="754"/>
      <c r="AP206" s="754"/>
      <c r="AQ206" s="754"/>
      <c r="AR206" s="754"/>
      <c r="AS206" s="754"/>
      <c r="AT206" s="754"/>
      <c r="AU206" s="754"/>
      <c r="AV206" s="754"/>
      <c r="AW206" s="754"/>
      <c r="AX206" s="754"/>
      <c r="AY206" s="754"/>
      <c r="AZ206" s="754"/>
      <c r="BA206" s="754"/>
      <c r="BB206" s="754"/>
      <c r="BC206" s="754"/>
      <c r="BD206" s="754"/>
      <c r="BE206" s="754"/>
      <c r="BF206" s="754"/>
      <c r="BG206" s="754"/>
      <c r="BH206" s="754"/>
    </row>
    <row r="207" spans="1:60">
      <c r="A207" s="754"/>
      <c r="B207" s="754"/>
      <c r="C207" s="754"/>
      <c r="D207" s="754"/>
      <c r="E207" s="754"/>
      <c r="F207" s="754"/>
      <c r="G207" s="754"/>
      <c r="H207" s="754"/>
      <c r="I207" s="754"/>
      <c r="J207" s="754"/>
      <c r="K207" s="754"/>
      <c r="L207" s="754"/>
      <c r="M207" s="754"/>
      <c r="N207" s="754"/>
      <c r="O207" s="754"/>
      <c r="P207" s="754"/>
      <c r="Q207" s="754"/>
      <c r="R207" s="754"/>
      <c r="S207" s="754"/>
      <c r="T207" s="754"/>
      <c r="U207" s="754"/>
      <c r="V207" s="754"/>
      <c r="W207" s="754"/>
      <c r="X207" s="754"/>
      <c r="Y207" s="754"/>
      <c r="Z207" s="754"/>
      <c r="AA207" s="754"/>
      <c r="AB207" s="754"/>
      <c r="AC207" s="754"/>
      <c r="AD207" s="754"/>
      <c r="AE207" s="754"/>
      <c r="AF207" s="754"/>
      <c r="AG207" s="754"/>
      <c r="AH207" s="754"/>
      <c r="AI207" s="754"/>
      <c r="AJ207" s="754"/>
      <c r="AK207" s="754"/>
      <c r="AL207" s="754"/>
      <c r="AM207" s="754"/>
      <c r="AN207" s="754"/>
      <c r="AO207" s="754"/>
      <c r="AP207" s="754"/>
      <c r="AQ207" s="754"/>
      <c r="AR207" s="754"/>
      <c r="AS207" s="754"/>
      <c r="AT207" s="754"/>
      <c r="AU207" s="754"/>
      <c r="AV207" s="754"/>
      <c r="AW207" s="754"/>
      <c r="AX207" s="754"/>
      <c r="AY207" s="754"/>
      <c r="AZ207" s="754"/>
      <c r="BA207" s="754"/>
      <c r="BB207" s="754"/>
      <c r="BC207" s="754"/>
      <c r="BD207" s="754"/>
      <c r="BE207" s="754"/>
      <c r="BF207" s="754"/>
      <c r="BG207" s="754"/>
      <c r="BH207" s="754"/>
    </row>
    <row r="208" spans="1:60">
      <c r="A208" s="754"/>
      <c r="B208" s="754"/>
      <c r="C208" s="754"/>
      <c r="D208" s="754"/>
      <c r="E208" s="754"/>
      <c r="F208" s="754"/>
      <c r="G208" s="754"/>
      <c r="H208" s="754"/>
      <c r="I208" s="754"/>
      <c r="J208" s="754"/>
      <c r="K208" s="754"/>
      <c r="L208" s="754"/>
      <c r="M208" s="754"/>
      <c r="N208" s="754"/>
      <c r="O208" s="754"/>
      <c r="P208" s="754"/>
      <c r="Q208" s="754"/>
      <c r="R208" s="754"/>
      <c r="S208" s="754"/>
      <c r="T208" s="754"/>
      <c r="U208" s="754"/>
      <c r="V208" s="754"/>
      <c r="W208" s="754"/>
      <c r="X208" s="754"/>
      <c r="Y208" s="754"/>
      <c r="Z208" s="754"/>
      <c r="AA208" s="754"/>
      <c r="AB208" s="754"/>
      <c r="AC208" s="754"/>
      <c r="AD208" s="754"/>
      <c r="AE208" s="754"/>
      <c r="AF208" s="754"/>
      <c r="AG208" s="754"/>
      <c r="AH208" s="754"/>
      <c r="AI208" s="754"/>
      <c r="AJ208" s="754"/>
      <c r="AK208" s="754"/>
      <c r="AL208" s="754"/>
      <c r="AM208" s="754"/>
      <c r="AN208" s="754"/>
      <c r="AO208" s="754"/>
      <c r="AP208" s="754"/>
      <c r="AQ208" s="754"/>
      <c r="AR208" s="754"/>
      <c r="AS208" s="754"/>
      <c r="AT208" s="754"/>
      <c r="AU208" s="754"/>
      <c r="AV208" s="754"/>
      <c r="AW208" s="754"/>
      <c r="AX208" s="754"/>
      <c r="AY208" s="754"/>
      <c r="AZ208" s="754"/>
      <c r="BA208" s="754"/>
      <c r="BB208" s="754"/>
      <c r="BC208" s="754"/>
      <c r="BD208" s="754"/>
      <c r="BE208" s="754"/>
      <c r="BF208" s="754"/>
      <c r="BG208" s="754"/>
      <c r="BH208" s="754"/>
    </row>
    <row r="209" spans="1:60">
      <c r="A209" s="754"/>
      <c r="B209" s="754"/>
      <c r="C209" s="754"/>
      <c r="D209" s="754"/>
      <c r="E209" s="754"/>
      <c r="F209" s="754"/>
      <c r="G209" s="754"/>
      <c r="H209" s="754"/>
      <c r="I209" s="754"/>
      <c r="J209" s="754"/>
      <c r="K209" s="754"/>
      <c r="L209" s="754"/>
      <c r="M209" s="754"/>
      <c r="N209" s="754"/>
      <c r="O209" s="754"/>
      <c r="P209" s="754"/>
      <c r="Q209" s="754"/>
      <c r="R209" s="754"/>
      <c r="S209" s="754"/>
      <c r="T209" s="754"/>
      <c r="U209" s="754"/>
      <c r="V209" s="754"/>
      <c r="W209" s="754"/>
      <c r="X209" s="754"/>
      <c r="Y209" s="754"/>
      <c r="Z209" s="754"/>
      <c r="AA209" s="754"/>
      <c r="AB209" s="754"/>
      <c r="AC209" s="754"/>
      <c r="AD209" s="754"/>
      <c r="AE209" s="754"/>
      <c r="AF209" s="754"/>
      <c r="AG209" s="754"/>
      <c r="AH209" s="754"/>
      <c r="AI209" s="754"/>
      <c r="AJ209" s="754"/>
      <c r="AK209" s="754"/>
      <c r="AL209" s="754"/>
      <c r="AM209" s="754"/>
      <c r="AN209" s="754"/>
      <c r="AO209" s="754"/>
      <c r="AP209" s="754"/>
      <c r="AQ209" s="754"/>
      <c r="AR209" s="754"/>
      <c r="AS209" s="754"/>
      <c r="AT209" s="754"/>
      <c r="AU209" s="754"/>
      <c r="AV209" s="754"/>
      <c r="AW209" s="754"/>
      <c r="AX209" s="754"/>
      <c r="AY209" s="754"/>
      <c r="AZ209" s="754"/>
      <c r="BA209" s="754"/>
      <c r="BB209" s="754"/>
      <c r="BC209" s="754"/>
      <c r="BD209" s="754"/>
      <c r="BE209" s="754"/>
      <c r="BF209" s="754"/>
      <c r="BG209" s="754"/>
      <c r="BH209" s="754"/>
    </row>
    <row r="210" spans="1:60">
      <c r="A210" s="754"/>
      <c r="B210" s="754"/>
      <c r="C210" s="754"/>
      <c r="D210" s="754"/>
      <c r="E210" s="754"/>
      <c r="F210" s="754"/>
      <c r="G210" s="754"/>
      <c r="H210" s="754"/>
      <c r="I210" s="754"/>
      <c r="J210" s="754"/>
      <c r="K210" s="754"/>
      <c r="L210" s="754"/>
      <c r="M210" s="754"/>
      <c r="N210" s="754"/>
      <c r="O210" s="754"/>
      <c r="P210" s="754"/>
      <c r="Q210" s="754"/>
      <c r="R210" s="754"/>
      <c r="S210" s="754"/>
      <c r="T210" s="754"/>
      <c r="U210" s="754"/>
      <c r="V210" s="754"/>
      <c r="W210" s="754"/>
      <c r="X210" s="754"/>
      <c r="Y210" s="754"/>
      <c r="Z210" s="754"/>
      <c r="AA210" s="754"/>
      <c r="AB210" s="754"/>
      <c r="AC210" s="754"/>
      <c r="AD210" s="754"/>
      <c r="AE210" s="754"/>
      <c r="AF210" s="754"/>
      <c r="AG210" s="754"/>
      <c r="AH210" s="754"/>
      <c r="AI210" s="754"/>
      <c r="AJ210" s="754"/>
      <c r="AK210" s="754"/>
      <c r="AL210" s="754"/>
      <c r="AM210" s="754"/>
      <c r="AN210" s="754"/>
      <c r="AO210" s="754"/>
      <c r="AP210" s="754"/>
      <c r="AQ210" s="754"/>
      <c r="AR210" s="754"/>
      <c r="AS210" s="754"/>
      <c r="AT210" s="754"/>
      <c r="AU210" s="754"/>
      <c r="AV210" s="754"/>
      <c r="AW210" s="754"/>
      <c r="AX210" s="754"/>
      <c r="AY210" s="754"/>
      <c r="AZ210" s="754"/>
      <c r="BA210" s="754"/>
      <c r="BB210" s="754"/>
      <c r="BC210" s="754"/>
      <c r="BD210" s="754"/>
      <c r="BE210" s="754"/>
      <c r="BF210" s="754"/>
      <c r="BG210" s="754"/>
      <c r="BH210" s="754"/>
    </row>
    <row r="211" spans="1:60">
      <c r="A211" s="754"/>
      <c r="B211" s="754"/>
      <c r="C211" s="754"/>
      <c r="D211" s="754"/>
      <c r="E211" s="754"/>
      <c r="F211" s="754"/>
      <c r="G211" s="754"/>
      <c r="H211" s="754"/>
      <c r="I211" s="754"/>
      <c r="J211" s="754"/>
      <c r="K211" s="754"/>
      <c r="L211" s="754"/>
      <c r="M211" s="754"/>
      <c r="N211" s="754"/>
      <c r="O211" s="754"/>
      <c r="P211" s="754"/>
      <c r="Q211" s="754"/>
      <c r="R211" s="754"/>
      <c r="S211" s="754"/>
      <c r="T211" s="754"/>
      <c r="U211" s="754"/>
      <c r="V211" s="754"/>
      <c r="W211" s="754"/>
      <c r="X211" s="754"/>
      <c r="Y211" s="754"/>
      <c r="Z211" s="754"/>
      <c r="AA211" s="754"/>
      <c r="AB211" s="754"/>
      <c r="AC211" s="754"/>
      <c r="AD211" s="754"/>
      <c r="AE211" s="754"/>
      <c r="AF211" s="754"/>
      <c r="AG211" s="754"/>
      <c r="AH211" s="754"/>
      <c r="AI211" s="754"/>
      <c r="AJ211" s="754"/>
      <c r="AK211" s="754"/>
      <c r="AL211" s="754"/>
      <c r="AM211" s="754"/>
      <c r="AN211" s="754"/>
      <c r="AO211" s="754"/>
      <c r="AP211" s="754"/>
      <c r="AQ211" s="754"/>
      <c r="AR211" s="754"/>
      <c r="AS211" s="754"/>
      <c r="AT211" s="754"/>
      <c r="AU211" s="754"/>
      <c r="AV211" s="754"/>
      <c r="AW211" s="754"/>
      <c r="AX211" s="754"/>
      <c r="AY211" s="754"/>
      <c r="AZ211" s="754"/>
      <c r="BA211" s="754"/>
      <c r="BB211" s="754"/>
      <c r="BC211" s="754"/>
      <c r="BD211" s="754"/>
      <c r="BE211" s="754"/>
      <c r="BF211" s="754"/>
      <c r="BG211" s="754"/>
      <c r="BH211" s="754"/>
    </row>
    <row r="212" spans="1:60">
      <c r="A212" s="754"/>
      <c r="B212" s="754"/>
      <c r="C212" s="754"/>
      <c r="D212" s="754"/>
      <c r="E212" s="754"/>
      <c r="F212" s="754"/>
      <c r="G212" s="754"/>
      <c r="H212" s="754"/>
      <c r="I212" s="754"/>
      <c r="J212" s="754"/>
      <c r="K212" s="754"/>
      <c r="L212" s="754"/>
      <c r="M212" s="754"/>
      <c r="N212" s="754"/>
      <c r="O212" s="754"/>
      <c r="P212" s="754"/>
      <c r="Q212" s="754"/>
      <c r="R212" s="754"/>
      <c r="S212" s="754"/>
      <c r="T212" s="754"/>
      <c r="U212" s="754"/>
      <c r="V212" s="754"/>
      <c r="W212" s="754"/>
      <c r="X212" s="754"/>
      <c r="Y212" s="754"/>
      <c r="Z212" s="754"/>
      <c r="AA212" s="754"/>
      <c r="AB212" s="754"/>
      <c r="AC212" s="754"/>
      <c r="AD212" s="754"/>
      <c r="AE212" s="754"/>
      <c r="AF212" s="754"/>
      <c r="AG212" s="754"/>
      <c r="AH212" s="754"/>
      <c r="AI212" s="754"/>
      <c r="AJ212" s="754"/>
      <c r="AK212" s="754"/>
      <c r="AL212" s="754"/>
      <c r="AM212" s="754"/>
      <c r="AN212" s="754"/>
      <c r="AO212" s="754"/>
      <c r="AP212" s="754"/>
      <c r="AQ212" s="754"/>
      <c r="AR212" s="754"/>
      <c r="AS212" s="754"/>
      <c r="AT212" s="754"/>
      <c r="AU212" s="754"/>
      <c r="AV212" s="754"/>
      <c r="AW212" s="754"/>
      <c r="AX212" s="754"/>
      <c r="AY212" s="754"/>
      <c r="AZ212" s="754"/>
      <c r="BA212" s="754"/>
      <c r="BB212" s="754"/>
      <c r="BC212" s="754"/>
      <c r="BD212" s="754"/>
      <c r="BE212" s="754"/>
      <c r="BF212" s="754"/>
      <c r="BG212" s="754"/>
      <c r="BH212" s="754"/>
    </row>
    <row r="213" spans="1:60">
      <c r="A213" s="754"/>
      <c r="B213" s="754"/>
      <c r="C213" s="754"/>
      <c r="D213" s="754"/>
      <c r="E213" s="754"/>
      <c r="F213" s="754"/>
      <c r="G213" s="754"/>
      <c r="H213" s="754"/>
      <c r="I213" s="754"/>
      <c r="J213" s="754"/>
      <c r="K213" s="754"/>
      <c r="L213" s="754"/>
      <c r="M213" s="754"/>
      <c r="N213" s="754"/>
      <c r="O213" s="754"/>
      <c r="P213" s="754"/>
      <c r="Q213" s="754"/>
      <c r="R213" s="754"/>
      <c r="S213" s="754"/>
      <c r="T213" s="754"/>
      <c r="U213" s="754"/>
      <c r="V213" s="754"/>
      <c r="W213" s="754"/>
      <c r="X213" s="754"/>
      <c r="Y213" s="754"/>
      <c r="Z213" s="754"/>
      <c r="AA213" s="754"/>
      <c r="AB213" s="754"/>
      <c r="AC213" s="754"/>
      <c r="AD213" s="754"/>
      <c r="AE213" s="754"/>
      <c r="AF213" s="754"/>
      <c r="AG213" s="754"/>
      <c r="AH213" s="754"/>
      <c r="AI213" s="754"/>
      <c r="AJ213" s="754"/>
      <c r="AK213" s="754"/>
      <c r="AL213" s="754"/>
      <c r="AM213" s="754"/>
      <c r="AN213" s="754"/>
      <c r="AO213" s="754"/>
      <c r="AP213" s="754"/>
      <c r="AQ213" s="754"/>
      <c r="AR213" s="754"/>
      <c r="AS213" s="754"/>
      <c r="AT213" s="754"/>
      <c r="AU213" s="754"/>
      <c r="AV213" s="754"/>
      <c r="AW213" s="754"/>
      <c r="AX213" s="754"/>
      <c r="AY213" s="754"/>
      <c r="AZ213" s="754"/>
      <c r="BA213" s="754"/>
      <c r="BB213" s="754"/>
      <c r="BC213" s="754"/>
      <c r="BD213" s="754"/>
      <c r="BE213" s="754"/>
      <c r="BF213" s="754"/>
      <c r="BG213" s="754"/>
      <c r="BH213" s="754"/>
    </row>
    <row r="214" spans="1:60">
      <c r="A214" s="754"/>
      <c r="B214" s="754"/>
      <c r="C214" s="754"/>
      <c r="D214" s="754"/>
      <c r="E214" s="754"/>
      <c r="F214" s="754"/>
      <c r="G214" s="754"/>
      <c r="H214" s="754"/>
      <c r="I214" s="754"/>
      <c r="J214" s="754"/>
      <c r="K214" s="754"/>
      <c r="L214" s="754"/>
      <c r="M214" s="754"/>
      <c r="N214" s="754"/>
      <c r="O214" s="754"/>
      <c r="P214" s="754"/>
      <c r="Q214" s="754"/>
      <c r="R214" s="754"/>
      <c r="S214" s="754"/>
      <c r="T214" s="754"/>
      <c r="U214" s="754"/>
      <c r="V214" s="754"/>
      <c r="W214" s="754"/>
      <c r="X214" s="754"/>
      <c r="Y214" s="754"/>
      <c r="Z214" s="754"/>
      <c r="AA214" s="754"/>
      <c r="AB214" s="754"/>
      <c r="AC214" s="754"/>
      <c r="AD214" s="754"/>
      <c r="AE214" s="754"/>
      <c r="AF214" s="754"/>
      <c r="AG214" s="754"/>
      <c r="AH214" s="754"/>
      <c r="AI214" s="754"/>
      <c r="AJ214" s="754"/>
      <c r="AK214" s="754"/>
      <c r="AL214" s="754"/>
      <c r="AM214" s="754"/>
      <c r="AN214" s="754"/>
      <c r="AO214" s="754"/>
      <c r="AP214" s="754"/>
      <c r="AQ214" s="754"/>
      <c r="AR214" s="754"/>
      <c r="AS214" s="754"/>
      <c r="AT214" s="754"/>
      <c r="AU214" s="754"/>
      <c r="AV214" s="754"/>
      <c r="AW214" s="754"/>
      <c r="AX214" s="754"/>
      <c r="AY214" s="754"/>
      <c r="AZ214" s="754"/>
      <c r="BA214" s="754"/>
      <c r="BB214" s="754"/>
      <c r="BC214" s="754"/>
      <c r="BD214" s="754"/>
      <c r="BE214" s="754"/>
      <c r="BF214" s="754"/>
      <c r="BG214" s="754"/>
      <c r="BH214" s="754"/>
    </row>
    <row r="215" spans="1:60">
      <c r="A215" s="754"/>
      <c r="B215" s="754"/>
      <c r="C215" s="754"/>
      <c r="D215" s="754"/>
      <c r="E215" s="754"/>
      <c r="F215" s="754"/>
      <c r="G215" s="754"/>
      <c r="H215" s="754"/>
      <c r="I215" s="754"/>
      <c r="J215" s="754"/>
      <c r="K215" s="754"/>
      <c r="L215" s="754"/>
      <c r="M215" s="754"/>
      <c r="N215" s="754"/>
      <c r="O215" s="754"/>
      <c r="P215" s="754"/>
      <c r="Q215" s="754"/>
      <c r="R215" s="754"/>
      <c r="S215" s="754"/>
      <c r="T215" s="754"/>
      <c r="U215" s="754"/>
      <c r="V215" s="754"/>
      <c r="W215" s="754"/>
      <c r="X215" s="754"/>
      <c r="Y215" s="754"/>
      <c r="Z215" s="754"/>
      <c r="AA215" s="754"/>
      <c r="AB215" s="754"/>
      <c r="AC215" s="754"/>
      <c r="AD215" s="754"/>
      <c r="AE215" s="754"/>
      <c r="AF215" s="754"/>
      <c r="AG215" s="754"/>
      <c r="AH215" s="754"/>
      <c r="AI215" s="754"/>
      <c r="AJ215" s="754"/>
      <c r="AK215" s="754"/>
      <c r="AL215" s="754"/>
      <c r="AM215" s="754"/>
      <c r="AN215" s="754"/>
      <c r="AO215" s="754"/>
      <c r="AP215" s="754"/>
      <c r="AQ215" s="754"/>
      <c r="AR215" s="754"/>
      <c r="AS215" s="754"/>
      <c r="AT215" s="754"/>
      <c r="AU215" s="754"/>
      <c r="AV215" s="754"/>
      <c r="AW215" s="754"/>
      <c r="AX215" s="754"/>
      <c r="AY215" s="754"/>
      <c r="AZ215" s="754"/>
      <c r="BA215" s="754"/>
      <c r="BB215" s="754"/>
      <c r="BC215" s="754"/>
      <c r="BD215" s="754"/>
      <c r="BE215" s="754"/>
      <c r="BF215" s="754"/>
      <c r="BG215" s="754"/>
      <c r="BH215" s="754"/>
    </row>
    <row r="216" spans="1:60">
      <c r="A216" s="754"/>
      <c r="B216" s="754"/>
      <c r="C216" s="754"/>
      <c r="D216" s="754"/>
      <c r="E216" s="754"/>
      <c r="F216" s="754"/>
      <c r="G216" s="754"/>
      <c r="H216" s="754"/>
      <c r="I216" s="754"/>
      <c r="J216" s="754"/>
      <c r="K216" s="754"/>
      <c r="L216" s="754"/>
      <c r="M216" s="754"/>
      <c r="N216" s="754"/>
      <c r="O216" s="754"/>
      <c r="P216" s="754"/>
      <c r="Q216" s="754"/>
      <c r="R216" s="754"/>
      <c r="S216" s="754"/>
      <c r="T216" s="754"/>
      <c r="U216" s="754"/>
      <c r="V216" s="754"/>
      <c r="W216" s="754"/>
      <c r="X216" s="754"/>
      <c r="Y216" s="754"/>
      <c r="Z216" s="754"/>
      <c r="AA216" s="754"/>
      <c r="AB216" s="754"/>
      <c r="AC216" s="754"/>
      <c r="AD216" s="754"/>
      <c r="AE216" s="754"/>
      <c r="AF216" s="754"/>
      <c r="AG216" s="754"/>
      <c r="AH216" s="754"/>
      <c r="AI216" s="754"/>
      <c r="AJ216" s="754"/>
      <c r="AK216" s="754"/>
      <c r="AL216" s="754"/>
      <c r="AM216" s="754"/>
      <c r="AN216" s="754"/>
      <c r="AO216" s="754"/>
      <c r="AP216" s="754"/>
      <c r="AQ216" s="754"/>
      <c r="AR216" s="754"/>
      <c r="AS216" s="754"/>
      <c r="AT216" s="754"/>
      <c r="AU216" s="754"/>
      <c r="AV216" s="754"/>
      <c r="AW216" s="754"/>
      <c r="AX216" s="754"/>
      <c r="AY216" s="754"/>
      <c r="AZ216" s="754"/>
      <c r="BA216" s="754"/>
      <c r="BB216" s="754"/>
      <c r="BC216" s="754"/>
      <c r="BD216" s="754"/>
      <c r="BE216" s="754"/>
      <c r="BF216" s="754"/>
      <c r="BG216" s="754"/>
      <c r="BH216" s="754"/>
    </row>
    <row r="217" spans="1:60">
      <c r="A217" s="754"/>
      <c r="B217" s="754"/>
      <c r="C217" s="754"/>
      <c r="D217" s="754"/>
      <c r="E217" s="754"/>
      <c r="F217" s="754"/>
      <c r="G217" s="754"/>
      <c r="H217" s="754"/>
      <c r="I217" s="754"/>
      <c r="J217" s="754"/>
      <c r="K217" s="754"/>
      <c r="L217" s="754"/>
      <c r="M217" s="754"/>
      <c r="N217" s="754"/>
      <c r="O217" s="754"/>
      <c r="P217" s="754"/>
      <c r="Q217" s="754"/>
      <c r="R217" s="754"/>
      <c r="S217" s="754"/>
      <c r="T217" s="754"/>
      <c r="U217" s="754"/>
      <c r="V217" s="754"/>
      <c r="W217" s="754"/>
      <c r="X217" s="754"/>
      <c r="Y217" s="754"/>
      <c r="Z217" s="754"/>
      <c r="AA217" s="754"/>
      <c r="AB217" s="754"/>
      <c r="AC217" s="754"/>
      <c r="AD217" s="754"/>
      <c r="AE217" s="754"/>
      <c r="AF217" s="754"/>
      <c r="AG217" s="754"/>
      <c r="AH217" s="754"/>
      <c r="AI217" s="754"/>
      <c r="AJ217" s="754"/>
      <c r="AK217" s="754"/>
      <c r="AL217" s="754"/>
      <c r="AM217" s="754"/>
      <c r="AN217" s="754"/>
      <c r="AO217" s="754"/>
      <c r="AP217" s="754"/>
      <c r="AQ217" s="754"/>
      <c r="AR217" s="754"/>
      <c r="AS217" s="754"/>
      <c r="AT217" s="754"/>
      <c r="AU217" s="754"/>
      <c r="AV217" s="754"/>
      <c r="AW217" s="754"/>
      <c r="AX217" s="754"/>
      <c r="AY217" s="754"/>
      <c r="AZ217" s="754"/>
      <c r="BA217" s="754"/>
      <c r="BB217" s="754"/>
      <c r="BC217" s="754"/>
      <c r="BD217" s="754"/>
      <c r="BE217" s="754"/>
      <c r="BF217" s="754"/>
      <c r="BG217" s="754"/>
      <c r="BH217" s="754"/>
    </row>
    <row r="218" spans="1:60">
      <c r="A218" s="754"/>
      <c r="B218" s="754"/>
      <c r="C218" s="754"/>
      <c r="D218" s="754"/>
      <c r="E218" s="754"/>
      <c r="F218" s="754"/>
      <c r="G218" s="754"/>
      <c r="H218" s="754"/>
      <c r="I218" s="754"/>
      <c r="J218" s="754"/>
      <c r="K218" s="754"/>
      <c r="L218" s="754"/>
      <c r="M218" s="754"/>
      <c r="N218" s="754"/>
      <c r="O218" s="754"/>
      <c r="P218" s="754"/>
      <c r="Q218" s="754"/>
      <c r="R218" s="754"/>
      <c r="S218" s="754"/>
      <c r="T218" s="754"/>
      <c r="U218" s="754"/>
      <c r="V218" s="754"/>
      <c r="W218" s="754"/>
      <c r="X218" s="754"/>
      <c r="Y218" s="754"/>
      <c r="Z218" s="754"/>
      <c r="AA218" s="754"/>
      <c r="AB218" s="754"/>
      <c r="AC218" s="754"/>
      <c r="AD218" s="754"/>
      <c r="AE218" s="754"/>
      <c r="AF218" s="754"/>
      <c r="AG218" s="754"/>
      <c r="AH218" s="754"/>
      <c r="AI218" s="754"/>
      <c r="AJ218" s="754"/>
      <c r="AK218" s="754"/>
      <c r="AL218" s="754"/>
      <c r="AM218" s="754"/>
      <c r="AN218" s="754"/>
      <c r="AO218" s="754"/>
      <c r="AP218" s="754"/>
      <c r="AQ218" s="754"/>
      <c r="AR218" s="754"/>
      <c r="AS218" s="754"/>
      <c r="AT218" s="754"/>
      <c r="AU218" s="754"/>
      <c r="AV218" s="754"/>
      <c r="AW218" s="754"/>
      <c r="AX218" s="754"/>
      <c r="AY218" s="754"/>
      <c r="AZ218" s="754"/>
      <c r="BA218" s="754"/>
      <c r="BB218" s="754"/>
      <c r="BC218" s="754"/>
      <c r="BD218" s="754"/>
      <c r="BE218" s="754"/>
      <c r="BF218" s="754"/>
      <c r="BG218" s="754"/>
      <c r="BH218" s="754"/>
    </row>
    <row r="219" spans="1:60">
      <c r="A219" s="754"/>
      <c r="B219" s="754"/>
      <c r="C219" s="754"/>
      <c r="D219" s="754"/>
      <c r="E219" s="754"/>
      <c r="F219" s="754"/>
      <c r="G219" s="754"/>
      <c r="H219" s="754"/>
      <c r="I219" s="754"/>
      <c r="J219" s="754"/>
      <c r="K219" s="754"/>
      <c r="L219" s="754"/>
      <c r="M219" s="754"/>
      <c r="N219" s="754"/>
      <c r="O219" s="754"/>
      <c r="P219" s="754"/>
      <c r="Q219" s="754"/>
      <c r="R219" s="754"/>
      <c r="S219" s="754"/>
      <c r="T219" s="754"/>
      <c r="U219" s="754"/>
      <c r="V219" s="754"/>
      <c r="W219" s="754"/>
      <c r="X219" s="754"/>
      <c r="Y219" s="754"/>
      <c r="Z219" s="754"/>
      <c r="AA219" s="754"/>
      <c r="AB219" s="754"/>
      <c r="AC219" s="754"/>
      <c r="AD219" s="754"/>
      <c r="AE219" s="754"/>
      <c r="AF219" s="754"/>
      <c r="AG219" s="754"/>
      <c r="AH219" s="754"/>
      <c r="AI219" s="754"/>
      <c r="AJ219" s="754"/>
      <c r="AK219" s="754"/>
      <c r="AL219" s="754"/>
      <c r="AM219" s="754"/>
      <c r="AN219" s="754"/>
      <c r="AO219" s="754"/>
      <c r="AP219" s="754"/>
      <c r="AQ219" s="754"/>
      <c r="AR219" s="754"/>
      <c r="AS219" s="754"/>
      <c r="AT219" s="754"/>
      <c r="AU219" s="754"/>
      <c r="AV219" s="754"/>
      <c r="AW219" s="754"/>
      <c r="AX219" s="754"/>
      <c r="AY219" s="754"/>
      <c r="AZ219" s="754"/>
      <c r="BA219" s="754"/>
      <c r="BB219" s="754"/>
      <c r="BC219" s="754"/>
      <c r="BD219" s="754"/>
      <c r="BE219" s="754"/>
      <c r="BF219" s="754"/>
      <c r="BG219" s="754"/>
      <c r="BH219" s="754"/>
    </row>
    <row r="220" spans="1:60">
      <c r="A220" s="754"/>
      <c r="B220" s="754"/>
      <c r="C220" s="754"/>
      <c r="D220" s="754"/>
      <c r="E220" s="754"/>
      <c r="F220" s="754"/>
      <c r="G220" s="754"/>
      <c r="H220" s="754"/>
      <c r="I220" s="754"/>
      <c r="J220" s="754"/>
      <c r="K220" s="754"/>
      <c r="L220" s="754"/>
      <c r="M220" s="754"/>
      <c r="N220" s="754"/>
      <c r="O220" s="754"/>
      <c r="P220" s="754"/>
      <c r="Q220" s="754"/>
      <c r="R220" s="754"/>
      <c r="S220" s="754"/>
      <c r="T220" s="754"/>
      <c r="U220" s="754"/>
      <c r="V220" s="754"/>
      <c r="W220" s="754"/>
      <c r="X220" s="754"/>
      <c r="Y220" s="754"/>
      <c r="Z220" s="754"/>
      <c r="AA220" s="754"/>
      <c r="AB220" s="754"/>
      <c r="AC220" s="754"/>
      <c r="AD220" s="754"/>
      <c r="AE220" s="754"/>
      <c r="AF220" s="754"/>
      <c r="AG220" s="754"/>
      <c r="AH220" s="754"/>
      <c r="AI220" s="754"/>
      <c r="AJ220" s="754"/>
      <c r="AK220" s="754"/>
      <c r="AL220" s="754"/>
      <c r="AM220" s="754"/>
      <c r="AN220" s="754"/>
      <c r="AO220" s="754"/>
      <c r="AP220" s="754"/>
      <c r="AQ220" s="754"/>
      <c r="AR220" s="754"/>
      <c r="AS220" s="754"/>
      <c r="AT220" s="754"/>
      <c r="AU220" s="754"/>
      <c r="AV220" s="754"/>
      <c r="AW220" s="754"/>
      <c r="AX220" s="754"/>
      <c r="AY220" s="754"/>
      <c r="AZ220" s="754"/>
      <c r="BA220" s="754"/>
      <c r="BB220" s="754"/>
      <c r="BC220" s="754"/>
      <c r="BD220" s="754"/>
      <c r="BE220" s="754"/>
      <c r="BF220" s="754"/>
      <c r="BG220" s="754"/>
      <c r="BH220" s="754"/>
    </row>
    <row r="221" spans="1:60">
      <c r="A221" s="754"/>
      <c r="B221" s="754"/>
      <c r="C221" s="754"/>
      <c r="D221" s="754"/>
      <c r="E221" s="754"/>
      <c r="F221" s="754"/>
      <c r="G221" s="754"/>
      <c r="H221" s="754"/>
      <c r="I221" s="754"/>
      <c r="J221" s="754"/>
      <c r="K221" s="754"/>
      <c r="L221" s="754"/>
      <c r="M221" s="754"/>
      <c r="N221" s="754"/>
      <c r="O221" s="754"/>
      <c r="P221" s="754"/>
      <c r="Q221" s="754"/>
      <c r="R221" s="754"/>
      <c r="S221" s="754"/>
      <c r="T221" s="754"/>
      <c r="U221" s="754"/>
      <c r="V221" s="754"/>
      <c r="W221" s="754"/>
      <c r="X221" s="754"/>
      <c r="Y221" s="754"/>
      <c r="Z221" s="754"/>
      <c r="AA221" s="754"/>
      <c r="AB221" s="754"/>
      <c r="AC221" s="754"/>
      <c r="AD221" s="754"/>
      <c r="AE221" s="754"/>
      <c r="AF221" s="754"/>
      <c r="AG221" s="754"/>
      <c r="AH221" s="754"/>
      <c r="AI221" s="754"/>
      <c r="AJ221" s="754"/>
      <c r="AK221" s="754"/>
      <c r="AL221" s="754"/>
      <c r="AM221" s="754"/>
      <c r="AN221" s="754"/>
      <c r="AO221" s="754"/>
      <c r="AP221" s="754"/>
      <c r="AQ221" s="754"/>
      <c r="AR221" s="754"/>
      <c r="AS221" s="754"/>
      <c r="AT221" s="754"/>
      <c r="AU221" s="754"/>
      <c r="AV221" s="754"/>
      <c r="AW221" s="754"/>
      <c r="AX221" s="754"/>
      <c r="AY221" s="754"/>
      <c r="AZ221" s="754"/>
      <c r="BA221" s="754"/>
      <c r="BB221" s="754"/>
      <c r="BC221" s="754"/>
      <c r="BD221" s="754"/>
      <c r="BE221" s="754"/>
      <c r="BF221" s="754"/>
      <c r="BG221" s="754"/>
      <c r="BH221" s="754"/>
    </row>
    <row r="222" spans="1:60">
      <c r="A222" s="754"/>
      <c r="B222" s="754"/>
      <c r="C222" s="754"/>
      <c r="D222" s="754"/>
      <c r="E222" s="754"/>
      <c r="F222" s="754"/>
      <c r="G222" s="754"/>
      <c r="H222" s="754"/>
      <c r="I222" s="754"/>
      <c r="J222" s="754"/>
      <c r="K222" s="754"/>
      <c r="L222" s="754"/>
      <c r="M222" s="754"/>
      <c r="N222" s="754"/>
      <c r="O222" s="754"/>
      <c r="P222" s="754"/>
      <c r="Q222" s="754"/>
      <c r="R222" s="754"/>
      <c r="S222" s="754"/>
      <c r="T222" s="754"/>
      <c r="U222" s="754"/>
      <c r="V222" s="754"/>
      <c r="W222" s="754"/>
      <c r="X222" s="754"/>
      <c r="Y222" s="754"/>
      <c r="Z222" s="754"/>
      <c r="AA222" s="754"/>
      <c r="AB222" s="754"/>
      <c r="AC222" s="754"/>
      <c r="AD222" s="754"/>
      <c r="AE222" s="754"/>
      <c r="AF222" s="754"/>
      <c r="AG222" s="754"/>
      <c r="AH222" s="754"/>
      <c r="AI222" s="754"/>
      <c r="AJ222" s="754"/>
      <c r="AK222" s="754"/>
      <c r="AL222" s="754"/>
      <c r="AM222" s="754"/>
      <c r="AN222" s="754"/>
      <c r="AO222" s="754"/>
      <c r="AP222" s="754"/>
      <c r="AQ222" s="754"/>
      <c r="AR222" s="754"/>
      <c r="AS222" s="754"/>
      <c r="AT222" s="754"/>
      <c r="AU222" s="754"/>
      <c r="AV222" s="754"/>
      <c r="AW222" s="754"/>
      <c r="AX222" s="754"/>
      <c r="AY222" s="754"/>
      <c r="AZ222" s="754"/>
      <c r="BA222" s="754"/>
      <c r="BB222" s="754"/>
      <c r="BC222" s="754"/>
      <c r="BD222" s="754"/>
      <c r="BE222" s="754"/>
      <c r="BF222" s="754"/>
      <c r="BG222" s="754"/>
      <c r="BH222" s="754"/>
    </row>
    <row r="223" spans="1:60">
      <c r="A223" s="754"/>
      <c r="B223" s="754"/>
      <c r="C223" s="754"/>
      <c r="D223" s="754"/>
      <c r="E223" s="754"/>
      <c r="F223" s="754"/>
      <c r="G223" s="754"/>
      <c r="H223" s="754"/>
      <c r="I223" s="754"/>
      <c r="J223" s="754"/>
      <c r="K223" s="754"/>
      <c r="L223" s="754"/>
      <c r="M223" s="754"/>
      <c r="N223" s="754"/>
      <c r="O223" s="754"/>
      <c r="P223" s="754"/>
      <c r="Q223" s="754"/>
      <c r="R223" s="754"/>
      <c r="S223" s="754"/>
      <c r="T223" s="754"/>
      <c r="U223" s="754"/>
      <c r="V223" s="754"/>
      <c r="W223" s="754"/>
      <c r="X223" s="754"/>
      <c r="Y223" s="754"/>
      <c r="Z223" s="754"/>
      <c r="AA223" s="754"/>
      <c r="AB223" s="754"/>
      <c r="AC223" s="754"/>
      <c r="AD223" s="754"/>
      <c r="AE223" s="754"/>
      <c r="AF223" s="754"/>
      <c r="AG223" s="754"/>
      <c r="AH223" s="754"/>
      <c r="AI223" s="754"/>
      <c r="AJ223" s="754"/>
      <c r="AK223" s="754"/>
      <c r="AL223" s="754"/>
      <c r="AM223" s="754"/>
      <c r="AN223" s="754"/>
      <c r="AO223" s="754"/>
      <c r="AP223" s="754"/>
      <c r="AQ223" s="754"/>
      <c r="AR223" s="754"/>
      <c r="AS223" s="754"/>
      <c r="AT223" s="754"/>
      <c r="AU223" s="754"/>
      <c r="AV223" s="754"/>
      <c r="AW223" s="754"/>
      <c r="AX223" s="754"/>
      <c r="AY223" s="754"/>
      <c r="AZ223" s="754"/>
      <c r="BA223" s="754"/>
      <c r="BB223" s="754"/>
      <c r="BC223" s="754"/>
      <c r="BD223" s="754"/>
      <c r="BE223" s="754"/>
      <c r="BF223" s="754"/>
      <c r="BG223" s="754"/>
      <c r="BH223" s="754"/>
    </row>
    <row r="224" spans="1:60">
      <c r="A224" s="754"/>
      <c r="B224" s="754"/>
      <c r="C224" s="754"/>
      <c r="D224" s="754"/>
      <c r="E224" s="754"/>
      <c r="F224" s="754"/>
      <c r="G224" s="754"/>
      <c r="H224" s="754"/>
      <c r="I224" s="754"/>
      <c r="J224" s="754"/>
      <c r="K224" s="754"/>
      <c r="L224" s="754"/>
      <c r="M224" s="754"/>
      <c r="N224" s="754"/>
      <c r="O224" s="754"/>
      <c r="P224" s="754"/>
      <c r="Q224" s="754"/>
      <c r="R224" s="754"/>
      <c r="S224" s="754"/>
      <c r="T224" s="754"/>
      <c r="U224" s="754"/>
      <c r="V224" s="754"/>
      <c r="W224" s="754"/>
      <c r="X224" s="754"/>
      <c r="Y224" s="754"/>
      <c r="Z224" s="754"/>
      <c r="AA224" s="754"/>
      <c r="AB224" s="754"/>
      <c r="AC224" s="754"/>
      <c r="AD224" s="754"/>
      <c r="AE224" s="754"/>
      <c r="AF224" s="754"/>
      <c r="AG224" s="754"/>
      <c r="AH224" s="754"/>
      <c r="AI224" s="754"/>
      <c r="AJ224" s="754"/>
      <c r="AK224" s="754"/>
      <c r="AL224" s="754"/>
      <c r="AM224" s="754"/>
      <c r="AN224" s="754"/>
      <c r="AO224" s="754"/>
      <c r="AP224" s="754"/>
      <c r="AQ224" s="754"/>
      <c r="AR224" s="754"/>
      <c r="AS224" s="754"/>
      <c r="AT224" s="754"/>
      <c r="AU224" s="754"/>
      <c r="AV224" s="754"/>
      <c r="AW224" s="754"/>
      <c r="AX224" s="754"/>
      <c r="AY224" s="754"/>
      <c r="AZ224" s="754"/>
      <c r="BA224" s="754"/>
      <c r="BB224" s="754"/>
      <c r="BC224" s="754"/>
      <c r="BD224" s="754"/>
      <c r="BE224" s="754"/>
      <c r="BF224" s="754"/>
      <c r="BG224" s="754"/>
      <c r="BH224" s="754"/>
    </row>
    <row r="225" spans="1:60">
      <c r="A225" s="754"/>
      <c r="B225" s="754"/>
      <c r="C225" s="754"/>
      <c r="D225" s="754"/>
      <c r="E225" s="754"/>
      <c r="F225" s="754"/>
      <c r="G225" s="754"/>
      <c r="H225" s="754"/>
      <c r="I225" s="754"/>
      <c r="J225" s="754"/>
      <c r="K225" s="754"/>
      <c r="L225" s="754"/>
      <c r="M225" s="754"/>
      <c r="N225" s="754"/>
      <c r="O225" s="754"/>
      <c r="P225" s="754"/>
      <c r="Q225" s="754"/>
      <c r="R225" s="754"/>
      <c r="S225" s="754"/>
      <c r="T225" s="754"/>
      <c r="U225" s="754"/>
      <c r="V225" s="754"/>
      <c r="W225" s="754"/>
      <c r="X225" s="754"/>
      <c r="Y225" s="754"/>
      <c r="Z225" s="754"/>
      <c r="AA225" s="754"/>
      <c r="AB225" s="754"/>
      <c r="AC225" s="754"/>
      <c r="AD225" s="754"/>
      <c r="AE225" s="754"/>
      <c r="AF225" s="754"/>
      <c r="AG225" s="754"/>
      <c r="AH225" s="754"/>
      <c r="AI225" s="754"/>
      <c r="AJ225" s="754"/>
      <c r="AK225" s="754"/>
      <c r="AL225" s="754"/>
      <c r="AM225" s="754"/>
      <c r="AN225" s="754"/>
      <c r="AO225" s="754"/>
      <c r="AP225" s="754"/>
      <c r="AQ225" s="754"/>
      <c r="AR225" s="754"/>
      <c r="AS225" s="754"/>
      <c r="AT225" s="754"/>
      <c r="AU225" s="754"/>
      <c r="AV225" s="754"/>
      <c r="AW225" s="754"/>
      <c r="AX225" s="754"/>
      <c r="AY225" s="754"/>
      <c r="AZ225" s="754"/>
      <c r="BA225" s="754"/>
      <c r="BB225" s="754"/>
      <c r="BC225" s="754"/>
      <c r="BD225" s="754"/>
      <c r="BE225" s="754"/>
      <c r="BF225" s="754"/>
      <c r="BG225" s="754"/>
      <c r="BH225" s="754"/>
    </row>
    <row r="226" spans="1:60">
      <c r="A226" s="754"/>
      <c r="B226" s="754"/>
      <c r="C226" s="754"/>
      <c r="D226" s="754"/>
      <c r="E226" s="754"/>
      <c r="F226" s="754"/>
      <c r="G226" s="754"/>
      <c r="H226" s="754"/>
      <c r="I226" s="754"/>
      <c r="J226" s="754"/>
      <c r="K226" s="754"/>
      <c r="L226" s="754"/>
      <c r="M226" s="754"/>
      <c r="N226" s="754"/>
      <c r="O226" s="754"/>
      <c r="P226" s="754"/>
      <c r="Q226" s="754"/>
      <c r="R226" s="754"/>
      <c r="S226" s="754"/>
      <c r="T226" s="754"/>
      <c r="U226" s="754"/>
      <c r="V226" s="754"/>
      <c r="W226" s="754"/>
      <c r="X226" s="754"/>
      <c r="Y226" s="754"/>
      <c r="Z226" s="754"/>
      <c r="AA226" s="754"/>
      <c r="AB226" s="754"/>
      <c r="AC226" s="754"/>
      <c r="AD226" s="754"/>
      <c r="AE226" s="754"/>
      <c r="AF226" s="754"/>
      <c r="AG226" s="754"/>
      <c r="AH226" s="754"/>
      <c r="AI226" s="754"/>
      <c r="AJ226" s="754"/>
      <c r="AK226" s="754"/>
      <c r="AL226" s="754"/>
      <c r="AM226" s="754"/>
      <c r="AN226" s="754"/>
      <c r="AO226" s="754"/>
      <c r="AP226" s="754"/>
      <c r="AQ226" s="754"/>
      <c r="AR226" s="754"/>
      <c r="AS226" s="754"/>
      <c r="AT226" s="754"/>
      <c r="AU226" s="754"/>
      <c r="AV226" s="754"/>
      <c r="AW226" s="754"/>
      <c r="AX226" s="754"/>
      <c r="AY226" s="754"/>
      <c r="AZ226" s="754"/>
      <c r="BA226" s="754"/>
      <c r="BB226" s="754"/>
      <c r="BC226" s="754"/>
      <c r="BD226" s="754"/>
      <c r="BE226" s="754"/>
      <c r="BF226" s="754"/>
      <c r="BG226" s="754"/>
      <c r="BH226" s="754"/>
    </row>
    <row r="227" spans="1:60">
      <c r="A227" s="754"/>
      <c r="B227" s="754"/>
      <c r="C227" s="754"/>
      <c r="D227" s="754"/>
      <c r="E227" s="754"/>
      <c r="F227" s="754"/>
      <c r="G227" s="754"/>
      <c r="H227" s="754"/>
      <c r="I227" s="754"/>
      <c r="J227" s="754"/>
      <c r="K227" s="754"/>
      <c r="L227" s="754"/>
      <c r="M227" s="754"/>
      <c r="N227" s="754"/>
      <c r="O227" s="754"/>
      <c r="P227" s="754"/>
      <c r="Q227" s="754"/>
      <c r="R227" s="754"/>
      <c r="S227" s="754"/>
      <c r="T227" s="754"/>
      <c r="U227" s="754"/>
      <c r="V227" s="754"/>
      <c r="W227" s="754"/>
      <c r="X227" s="754"/>
      <c r="Y227" s="754"/>
      <c r="Z227" s="754"/>
      <c r="AA227" s="754"/>
      <c r="AB227" s="754"/>
      <c r="AC227" s="754"/>
      <c r="AD227" s="754"/>
      <c r="AE227" s="754"/>
      <c r="AF227" s="754"/>
      <c r="AG227" s="754"/>
      <c r="AH227" s="754"/>
      <c r="AI227" s="754"/>
      <c r="AJ227" s="754"/>
      <c r="AK227" s="754"/>
      <c r="AL227" s="754"/>
      <c r="AM227" s="754"/>
      <c r="AN227" s="754"/>
      <c r="AO227" s="754"/>
      <c r="AP227" s="754"/>
      <c r="AQ227" s="754"/>
      <c r="AR227" s="754"/>
      <c r="AS227" s="754"/>
      <c r="AT227" s="754"/>
      <c r="AU227" s="754"/>
      <c r="AV227" s="754"/>
      <c r="AW227" s="754"/>
      <c r="AX227" s="754"/>
      <c r="AY227" s="754"/>
      <c r="AZ227" s="754"/>
      <c r="BA227" s="754"/>
      <c r="BB227" s="754"/>
      <c r="BC227" s="754"/>
      <c r="BD227" s="754"/>
      <c r="BE227" s="754"/>
      <c r="BF227" s="754"/>
      <c r="BG227" s="754"/>
      <c r="BH227" s="754"/>
    </row>
    <row r="228" spans="1:60">
      <c r="A228" s="754"/>
      <c r="B228" s="754"/>
      <c r="C228" s="754"/>
      <c r="D228" s="754"/>
      <c r="E228" s="754"/>
      <c r="F228" s="754"/>
      <c r="G228" s="754"/>
      <c r="H228" s="754"/>
      <c r="I228" s="754"/>
      <c r="J228" s="754"/>
      <c r="K228" s="754"/>
      <c r="L228" s="754"/>
      <c r="M228" s="754"/>
      <c r="N228" s="754"/>
      <c r="O228" s="754"/>
      <c r="P228" s="754"/>
      <c r="Q228" s="754"/>
      <c r="R228" s="754"/>
      <c r="S228" s="754"/>
      <c r="T228" s="754"/>
      <c r="U228" s="754"/>
      <c r="V228" s="754"/>
      <c r="W228" s="754"/>
      <c r="X228" s="754"/>
      <c r="Y228" s="754"/>
      <c r="Z228" s="754"/>
      <c r="AA228" s="754"/>
      <c r="AB228" s="754"/>
      <c r="AC228" s="754"/>
      <c r="AD228" s="754"/>
      <c r="AE228" s="754"/>
      <c r="AF228" s="754"/>
      <c r="AG228" s="754"/>
      <c r="AH228" s="754"/>
      <c r="AI228" s="754"/>
      <c r="AJ228" s="754"/>
      <c r="AK228" s="754"/>
      <c r="AL228" s="754"/>
      <c r="AM228" s="754"/>
      <c r="AN228" s="754"/>
      <c r="AO228" s="754"/>
      <c r="AP228" s="754"/>
      <c r="AQ228" s="754"/>
      <c r="AR228" s="754"/>
      <c r="AS228" s="754"/>
      <c r="AT228" s="754"/>
      <c r="AU228" s="754"/>
      <c r="AV228" s="754"/>
      <c r="AW228" s="754"/>
      <c r="AX228" s="754"/>
      <c r="AY228" s="754"/>
      <c r="AZ228" s="754"/>
      <c r="BA228" s="754"/>
      <c r="BB228" s="754"/>
      <c r="BC228" s="754"/>
      <c r="BD228" s="754"/>
      <c r="BE228" s="754"/>
      <c r="BF228" s="754"/>
      <c r="BG228" s="754"/>
      <c r="BH228" s="754"/>
    </row>
    <row r="229" spans="1:60">
      <c r="A229" s="754"/>
      <c r="B229" s="754"/>
      <c r="C229" s="754"/>
      <c r="D229" s="754"/>
      <c r="E229" s="754"/>
      <c r="F229" s="754"/>
      <c r="G229" s="754"/>
      <c r="H229" s="754"/>
      <c r="I229" s="754"/>
      <c r="J229" s="754"/>
      <c r="K229" s="754"/>
      <c r="L229" s="754"/>
      <c r="M229" s="754"/>
      <c r="N229" s="754"/>
      <c r="O229" s="754"/>
      <c r="P229" s="754"/>
      <c r="Q229" s="754"/>
      <c r="R229" s="754"/>
      <c r="S229" s="754"/>
      <c r="T229" s="754"/>
      <c r="U229" s="754"/>
      <c r="V229" s="754"/>
      <c r="W229" s="754"/>
      <c r="X229" s="754"/>
      <c r="Y229" s="754"/>
      <c r="Z229" s="754"/>
      <c r="AA229" s="754"/>
      <c r="AB229" s="754"/>
      <c r="AC229" s="754"/>
      <c r="AD229" s="754"/>
      <c r="AE229" s="754"/>
      <c r="AF229" s="754"/>
      <c r="AG229" s="754"/>
      <c r="AH229" s="754"/>
      <c r="AI229" s="754"/>
      <c r="AJ229" s="754"/>
      <c r="AK229" s="754"/>
      <c r="AL229" s="754"/>
      <c r="AM229" s="754"/>
      <c r="AN229" s="754"/>
      <c r="AO229" s="754"/>
      <c r="AP229" s="754"/>
      <c r="AQ229" s="754"/>
      <c r="AR229" s="754"/>
      <c r="AS229" s="754"/>
      <c r="AT229" s="754"/>
      <c r="AU229" s="754"/>
      <c r="AV229" s="754"/>
      <c r="AW229" s="754"/>
      <c r="AX229" s="754"/>
      <c r="AY229" s="754"/>
      <c r="AZ229" s="754"/>
      <c r="BA229" s="754"/>
      <c r="BB229" s="754"/>
      <c r="BC229" s="754"/>
      <c r="BD229" s="754"/>
      <c r="BE229" s="754"/>
      <c r="BF229" s="754"/>
      <c r="BG229" s="754"/>
      <c r="BH229" s="754"/>
    </row>
    <row r="230" spans="1:60">
      <c r="A230" s="754"/>
      <c r="B230" s="754"/>
      <c r="C230" s="754"/>
      <c r="D230" s="754"/>
      <c r="E230" s="754"/>
      <c r="F230" s="754"/>
      <c r="G230" s="754"/>
      <c r="H230" s="754"/>
      <c r="I230" s="754"/>
      <c r="J230" s="754"/>
      <c r="K230" s="754"/>
      <c r="L230" s="754"/>
      <c r="M230" s="754"/>
      <c r="N230" s="754"/>
      <c r="O230" s="754"/>
      <c r="P230" s="754"/>
      <c r="Q230" s="754"/>
      <c r="R230" s="754"/>
      <c r="S230" s="754"/>
      <c r="T230" s="754"/>
      <c r="U230" s="754"/>
      <c r="V230" s="754"/>
      <c r="W230" s="754"/>
      <c r="X230" s="754"/>
      <c r="Y230" s="754"/>
      <c r="Z230" s="754"/>
      <c r="AA230" s="754"/>
      <c r="AB230" s="754"/>
      <c r="AC230" s="754"/>
      <c r="AD230" s="754"/>
      <c r="AE230" s="754"/>
      <c r="AF230" s="754"/>
      <c r="AG230" s="754"/>
      <c r="AH230" s="754"/>
      <c r="AI230" s="754"/>
      <c r="AJ230" s="754"/>
      <c r="AK230" s="754"/>
      <c r="AL230" s="754"/>
      <c r="AM230" s="754"/>
      <c r="AN230" s="754"/>
      <c r="AO230" s="754"/>
      <c r="AP230" s="754"/>
      <c r="AQ230" s="754"/>
      <c r="AR230" s="754"/>
      <c r="AS230" s="754"/>
      <c r="AT230" s="754"/>
      <c r="AU230" s="754"/>
      <c r="AV230" s="754"/>
      <c r="AW230" s="754"/>
      <c r="AX230" s="754"/>
      <c r="AY230" s="754"/>
      <c r="AZ230" s="754"/>
      <c r="BA230" s="754"/>
      <c r="BB230" s="754"/>
      <c r="BC230" s="754"/>
      <c r="BD230" s="754"/>
      <c r="BE230" s="754"/>
      <c r="BF230" s="754"/>
      <c r="BG230" s="754"/>
      <c r="BH230" s="754"/>
    </row>
  </sheetData>
  <mergeCells count="52">
    <mergeCell ref="G52:H52"/>
    <mergeCell ref="E55:F55"/>
    <mergeCell ref="E24:F24"/>
    <mergeCell ref="H63:I63"/>
    <mergeCell ref="G54:H54"/>
    <mergeCell ref="E56:F56"/>
    <mergeCell ref="G56:H56"/>
    <mergeCell ref="E52:F52"/>
    <mergeCell ref="E48:F48"/>
    <mergeCell ref="E15:J15"/>
    <mergeCell ref="E51:F51"/>
    <mergeCell ref="E20:F20"/>
    <mergeCell ref="A9:D22"/>
    <mergeCell ref="E10:F10"/>
    <mergeCell ref="E21:F21"/>
    <mergeCell ref="E23:F23"/>
    <mergeCell ref="E17:F17"/>
    <mergeCell ref="G48:H48"/>
    <mergeCell ref="E44:F44"/>
    <mergeCell ref="E50:F50"/>
    <mergeCell ref="E2:J4"/>
    <mergeCell ref="E28:F28"/>
    <mergeCell ref="G53:H53"/>
    <mergeCell ref="A24:D24"/>
    <mergeCell ref="E5:H5"/>
    <mergeCell ref="E11:F11"/>
    <mergeCell ref="F8:H9"/>
    <mergeCell ref="E7:I7"/>
    <mergeCell ref="G47:H47"/>
    <mergeCell ref="G16:H16"/>
    <mergeCell ref="E18:F18"/>
    <mergeCell ref="G50:H50"/>
    <mergeCell ref="E22:F22"/>
    <mergeCell ref="G44:H44"/>
    <mergeCell ref="G46:H46"/>
    <mergeCell ref="E53:F53"/>
    <mergeCell ref="Y17:Z17"/>
    <mergeCell ref="G49:H49"/>
    <mergeCell ref="E47:F47"/>
    <mergeCell ref="E46:F46"/>
    <mergeCell ref="C66:I67"/>
    <mergeCell ref="E49:F49"/>
    <mergeCell ref="E45:F45"/>
    <mergeCell ref="C29:I29"/>
    <mergeCell ref="G45:H45"/>
    <mergeCell ref="E19:H19"/>
    <mergeCell ref="Y18:Z18"/>
    <mergeCell ref="Q5:T18"/>
    <mergeCell ref="G55:H55"/>
    <mergeCell ref="I44:J44"/>
    <mergeCell ref="G51:H51"/>
    <mergeCell ref="E54:F54"/>
  </mergeCells>
  <conditionalFormatting sqref="H64">
    <cfRule type="iconSet" priority="1">
      <iconSet iconSet="3Symbols2">
        <cfvo type="percent" val="0"/>
        <cfvo type="num" val="1"/>
        <cfvo type="num" val="1.1499999999999999"/>
      </iconSet>
    </cfRule>
  </conditionalFormatting>
  <pageMargins left="0" right="0.47244094488188981" top="0" bottom="0" header="0.11811023622047249" footer="0"/>
  <pageSetup paperSize="9" orientation="portrait" horizontalDpi="4294967293"/>
  <headerFooter>
    <oddFooter>&amp;L&amp;7 CAL_ SOL_  CRF 01 / CRF 02_Sat   rev05 (20-11-25)&amp;C&amp;8             I dati dell' irraggiamento  solare sono presi dal sito jrc.ec.europa.eu&amp;R&amp;7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8"/>
  <dimension ref="D1:T562"/>
  <sheetViews>
    <sheetView zoomScale="71" zoomScaleNormal="71" workbookViewId="0">
      <selection activeCell="D23" sqref="D23"/>
    </sheetView>
  </sheetViews>
  <sheetFormatPr defaultRowHeight="12.75"/>
  <cols>
    <col min="14" max="14" width="8.85546875" style="412" customWidth="1"/>
  </cols>
  <sheetData>
    <row r="1" spans="4:20" ht="13.5" customHeight="1" thickBot="1">
      <c r="I1" s="905" t="s">
        <v>188</v>
      </c>
      <c r="J1" s="906"/>
      <c r="K1" s="906"/>
      <c r="L1" s="907"/>
    </row>
    <row r="2" spans="4:20">
      <c r="I2" s="506"/>
      <c r="J2" s="496">
        <v>1.07</v>
      </c>
      <c r="K2" s="496"/>
      <c r="L2" s="501"/>
      <c r="N2" s="908" t="s">
        <v>189</v>
      </c>
      <c r="O2" s="906"/>
      <c r="P2" s="909"/>
      <c r="Q2" s="499"/>
    </row>
    <row r="3" spans="4:20">
      <c r="I3" s="506"/>
      <c r="J3" s="496">
        <v>1.1599999999999999</v>
      </c>
      <c r="K3" s="496"/>
      <c r="L3" s="501"/>
      <c r="N3" s="500"/>
      <c r="O3" s="496"/>
      <c r="P3" s="496"/>
      <c r="Q3" s="501"/>
    </row>
    <row r="4" spans="4:20">
      <c r="I4" s="506" t="s">
        <v>190</v>
      </c>
      <c r="J4" s="496">
        <v>1.1499999999999999</v>
      </c>
      <c r="K4" s="496" t="s">
        <v>191</v>
      </c>
      <c r="L4" s="501"/>
      <c r="N4" s="500" t="s">
        <v>192</v>
      </c>
      <c r="O4" s="496" t="s">
        <v>193</v>
      </c>
      <c r="P4" s="496"/>
      <c r="Q4" s="501"/>
    </row>
    <row r="5" spans="4:20">
      <c r="D5">
        <v>16</v>
      </c>
      <c r="E5">
        <v>1.5</v>
      </c>
      <c r="F5">
        <f t="shared" ref="F5:F11" si="0">D5/E5</f>
        <v>10.666666666666666</v>
      </c>
      <c r="I5" s="506">
        <v>1</v>
      </c>
      <c r="J5" s="496"/>
      <c r="K5" s="496">
        <v>1.1200000000000001</v>
      </c>
      <c r="L5" s="501"/>
      <c r="N5" s="521" t="s">
        <v>194</v>
      </c>
      <c r="O5" s="496" t="s">
        <v>193</v>
      </c>
      <c r="P5" s="496"/>
      <c r="Q5" s="501"/>
    </row>
    <row r="6" spans="4:20">
      <c r="D6">
        <f t="shared" ref="D6:D11" si="1">D5</f>
        <v>16</v>
      </c>
      <c r="E6">
        <v>1.4</v>
      </c>
      <c r="F6">
        <f t="shared" si="0"/>
        <v>11.428571428571429</v>
      </c>
      <c r="I6" s="506">
        <v>1.1000000000000001</v>
      </c>
      <c r="J6" s="496"/>
      <c r="K6" s="497">
        <f>I6*$J$3</f>
        <v>1.276</v>
      </c>
      <c r="L6" s="501"/>
      <c r="N6" s="500" t="s">
        <v>190</v>
      </c>
      <c r="O6" s="496">
        <v>1.4</v>
      </c>
      <c r="P6" s="496" t="s">
        <v>191</v>
      </c>
      <c r="Q6" s="501"/>
    </row>
    <row r="7" spans="4:20">
      <c r="D7">
        <f t="shared" si="1"/>
        <v>16</v>
      </c>
      <c r="E7">
        <v>1.3</v>
      </c>
      <c r="F7">
        <f t="shared" si="0"/>
        <v>12.307692307692307</v>
      </c>
      <c r="I7" s="506">
        <v>1.2</v>
      </c>
      <c r="J7" s="496"/>
      <c r="K7" s="497">
        <f>I7*$J$3</f>
        <v>1.3919999999999999</v>
      </c>
      <c r="L7" s="501"/>
      <c r="N7" s="502">
        <v>9</v>
      </c>
      <c r="O7" s="496"/>
      <c r="P7" s="498">
        <v>12</v>
      </c>
      <c r="Q7" s="501"/>
      <c r="S7">
        <v>1</v>
      </c>
      <c r="T7">
        <v>2</v>
      </c>
    </row>
    <row r="8" spans="4:20">
      <c r="D8">
        <f t="shared" si="1"/>
        <v>16</v>
      </c>
      <c r="E8">
        <v>1.2</v>
      </c>
      <c r="F8">
        <f t="shared" si="0"/>
        <v>13.333333333333334</v>
      </c>
      <c r="I8" s="506">
        <v>1.3</v>
      </c>
      <c r="J8" s="496"/>
      <c r="K8" s="497">
        <f>I8*$J$3</f>
        <v>1.508</v>
      </c>
      <c r="L8" s="501"/>
      <c r="N8" s="502">
        <v>10</v>
      </c>
      <c r="O8" s="496"/>
      <c r="P8" s="496">
        <v>14</v>
      </c>
      <c r="Q8" s="501"/>
      <c r="S8" t="s">
        <v>195</v>
      </c>
      <c r="T8">
        <v>4</v>
      </c>
    </row>
    <row r="9" spans="4:20">
      <c r="D9">
        <f t="shared" si="1"/>
        <v>16</v>
      </c>
      <c r="E9">
        <v>1.1000000000000001</v>
      </c>
      <c r="F9">
        <f t="shared" si="0"/>
        <v>14.545454545454545</v>
      </c>
      <c r="I9" s="506">
        <v>1.4</v>
      </c>
      <c r="J9" s="496"/>
      <c r="K9" s="497">
        <f>I9*$J$3</f>
        <v>1.6239999999999999</v>
      </c>
      <c r="L9" s="501"/>
      <c r="N9" s="502">
        <v>11</v>
      </c>
      <c r="O9" s="496"/>
      <c r="P9" s="496">
        <v>15</v>
      </c>
      <c r="Q9" s="501"/>
      <c r="S9">
        <v>2</v>
      </c>
      <c r="T9">
        <v>5</v>
      </c>
    </row>
    <row r="10" spans="4:20">
      <c r="D10">
        <f t="shared" si="1"/>
        <v>16</v>
      </c>
      <c r="E10">
        <v>1</v>
      </c>
      <c r="F10">
        <f t="shared" si="0"/>
        <v>16</v>
      </c>
      <c r="I10" s="506">
        <v>1.5</v>
      </c>
      <c r="J10" s="496"/>
      <c r="K10" s="497">
        <f>I10*$J$4</f>
        <v>1.7249999999999999</v>
      </c>
      <c r="L10" s="501"/>
      <c r="N10" s="502">
        <v>12</v>
      </c>
      <c r="O10" s="496"/>
      <c r="P10" s="496">
        <v>16</v>
      </c>
      <c r="Q10" s="501"/>
      <c r="S10" t="s">
        <v>196</v>
      </c>
      <c r="T10">
        <v>13</v>
      </c>
    </row>
    <row r="11" spans="4:20">
      <c r="D11">
        <f t="shared" si="1"/>
        <v>16</v>
      </c>
      <c r="E11">
        <v>0.9</v>
      </c>
      <c r="F11">
        <f t="shared" si="0"/>
        <v>17.777777777777779</v>
      </c>
      <c r="I11" s="506">
        <v>1.6</v>
      </c>
      <c r="J11" s="496"/>
      <c r="K11" s="497">
        <f>I11*$J$4</f>
        <v>1.8399999999999999</v>
      </c>
      <c r="L11" s="501"/>
      <c r="N11" s="502">
        <v>13</v>
      </c>
      <c r="O11" s="496"/>
      <c r="P11" s="496">
        <v>16.5</v>
      </c>
      <c r="Q11" s="501"/>
      <c r="S11">
        <v>3</v>
      </c>
      <c r="T11">
        <v>15</v>
      </c>
    </row>
    <row r="12" spans="4:20">
      <c r="I12" s="506">
        <v>1.7</v>
      </c>
      <c r="J12" s="496"/>
      <c r="K12" s="497">
        <f>I12*$J$4</f>
        <v>1.9549999999999998</v>
      </c>
      <c r="L12" s="501"/>
      <c r="N12" s="502">
        <v>14</v>
      </c>
      <c r="O12" s="496"/>
      <c r="P12" s="496">
        <v>17</v>
      </c>
      <c r="Q12" s="501"/>
      <c r="S12" t="s">
        <v>197</v>
      </c>
      <c r="T12">
        <v>30</v>
      </c>
    </row>
    <row r="13" spans="4:20">
      <c r="I13" s="506">
        <v>1.8</v>
      </c>
      <c r="J13" s="496"/>
      <c r="K13" s="497">
        <f>I13*$J$4</f>
        <v>2.0699999999999998</v>
      </c>
      <c r="L13" s="501"/>
      <c r="N13" s="502">
        <v>15</v>
      </c>
      <c r="O13" s="496"/>
      <c r="P13" s="496">
        <v>18</v>
      </c>
      <c r="Q13" s="501"/>
      <c r="S13">
        <v>4</v>
      </c>
      <c r="T13">
        <v>36</v>
      </c>
    </row>
    <row r="14" spans="4:20">
      <c r="I14" s="506">
        <f t="shared" ref="I14:I77" si="2">I13+0.1</f>
        <v>1.9000000000000001</v>
      </c>
      <c r="J14" s="496"/>
      <c r="K14" s="497">
        <f>I14*$J$4</f>
        <v>2.1850000000000001</v>
      </c>
      <c r="L14" s="501"/>
      <c r="N14" s="502">
        <v>16</v>
      </c>
      <c r="O14" s="496"/>
      <c r="P14" s="496">
        <v>18.5</v>
      </c>
      <c r="Q14" s="501"/>
      <c r="S14" t="s">
        <v>198</v>
      </c>
      <c r="T14">
        <v>65</v>
      </c>
    </row>
    <row r="15" spans="4:20">
      <c r="I15" s="506">
        <f t="shared" si="2"/>
        <v>2</v>
      </c>
      <c r="J15" s="496"/>
      <c r="K15" s="497">
        <f t="shared" ref="K15:K25" si="3">I16</f>
        <v>2.1</v>
      </c>
      <c r="L15" s="501"/>
      <c r="N15" s="502">
        <v>17</v>
      </c>
      <c r="O15" s="496"/>
      <c r="P15" s="496">
        <v>19</v>
      </c>
      <c r="Q15" s="501"/>
      <c r="S15">
        <v>5</v>
      </c>
      <c r="T15">
        <v>75</v>
      </c>
    </row>
    <row r="16" spans="4:20">
      <c r="I16" s="506">
        <f t="shared" si="2"/>
        <v>2.1</v>
      </c>
      <c r="J16" s="496"/>
      <c r="K16" s="497">
        <f t="shared" si="3"/>
        <v>2.2000000000000002</v>
      </c>
      <c r="L16" s="501"/>
      <c r="N16" s="502">
        <v>18</v>
      </c>
      <c r="O16" s="496"/>
      <c r="P16" s="496">
        <v>20</v>
      </c>
      <c r="Q16" s="501"/>
      <c r="S16" t="s">
        <v>199</v>
      </c>
      <c r="T16">
        <v>130</v>
      </c>
    </row>
    <row r="17" spans="4:20">
      <c r="I17" s="506">
        <f t="shared" si="2"/>
        <v>2.2000000000000002</v>
      </c>
      <c r="J17" s="496"/>
      <c r="K17" s="497">
        <f t="shared" si="3"/>
        <v>2.3000000000000003</v>
      </c>
      <c r="L17" s="501"/>
      <c r="N17" s="502">
        <v>19</v>
      </c>
      <c r="O17" s="496"/>
      <c r="P17" s="496">
        <v>20.5</v>
      </c>
      <c r="Q17" s="501"/>
      <c r="S17">
        <v>6</v>
      </c>
      <c r="T17">
        <v>150</v>
      </c>
    </row>
    <row r="18" spans="4:20">
      <c r="I18" s="506">
        <f t="shared" si="2"/>
        <v>2.3000000000000003</v>
      </c>
      <c r="J18" s="496"/>
      <c r="K18" s="497">
        <f t="shared" si="3"/>
        <v>2.4000000000000004</v>
      </c>
      <c r="L18" s="501"/>
      <c r="N18" s="502">
        <v>20</v>
      </c>
      <c r="O18" s="496"/>
      <c r="P18" s="496">
        <v>21</v>
      </c>
      <c r="Q18" s="501"/>
      <c r="S18" t="s">
        <v>200</v>
      </c>
      <c r="T18">
        <v>240</v>
      </c>
    </row>
    <row r="19" spans="4:20">
      <c r="I19" s="506">
        <f t="shared" si="2"/>
        <v>2.4000000000000004</v>
      </c>
      <c r="J19" s="496"/>
      <c r="K19" s="497">
        <f t="shared" si="3"/>
        <v>2.5000000000000004</v>
      </c>
      <c r="L19" s="501"/>
      <c r="N19" s="502">
        <v>21</v>
      </c>
      <c r="O19" s="496"/>
      <c r="P19" s="496">
        <v>22</v>
      </c>
      <c r="Q19" s="501"/>
      <c r="S19">
        <v>7</v>
      </c>
      <c r="T19">
        <v>270</v>
      </c>
    </row>
    <row r="20" spans="4:20">
      <c r="D20" t="e">
        <f>IF(STAMPA!G64&lt;1.1,"FANALE  NON ADATTO  PER  QUESTA  INSTALLAZIONE",IF(STAMPA!G63&lt;9,"FANALE  NON ADATTO  PER  QUESTA  INSTALLAZIONE",IF(STAMPA!G63*STAMPA!G64&lt;12.3,"FANALE  NON ADATTO  PER  QUESTA  INSTALLAZIONE","FANALE  ADATTO  PER  QUESTA  INSTALLAZIONE")))</f>
        <v>#N/A</v>
      </c>
      <c r="I20" s="506">
        <f t="shared" si="2"/>
        <v>2.5000000000000004</v>
      </c>
      <c r="J20" s="496"/>
      <c r="K20" s="497">
        <f t="shared" si="3"/>
        <v>2.6000000000000005</v>
      </c>
      <c r="L20" s="501"/>
      <c r="N20" s="502">
        <v>22</v>
      </c>
      <c r="O20" s="496"/>
      <c r="P20" s="496">
        <v>23</v>
      </c>
      <c r="Q20" s="501"/>
      <c r="S20" t="s">
        <v>201</v>
      </c>
      <c r="T20">
        <v>450</v>
      </c>
    </row>
    <row r="21" spans="4:20">
      <c r="I21" s="506">
        <f t="shared" si="2"/>
        <v>2.6000000000000005</v>
      </c>
      <c r="J21" s="496"/>
      <c r="K21" s="497">
        <f t="shared" si="3"/>
        <v>2.7000000000000006</v>
      </c>
      <c r="L21" s="501"/>
      <c r="N21" s="502">
        <v>23</v>
      </c>
      <c r="O21" s="496"/>
      <c r="P21" s="496">
        <v>24</v>
      </c>
      <c r="Q21" s="501"/>
      <c r="S21">
        <v>8</v>
      </c>
      <c r="T21">
        <v>500</v>
      </c>
    </row>
    <row r="22" spans="4:20">
      <c r="D22" s="2" t="s">
        <v>202</v>
      </c>
      <c r="I22" s="506">
        <f t="shared" si="2"/>
        <v>2.7000000000000006</v>
      </c>
      <c r="J22" s="496"/>
      <c r="K22" s="497">
        <f t="shared" si="3"/>
        <v>2.8000000000000007</v>
      </c>
      <c r="L22" s="501"/>
      <c r="N22" s="502">
        <v>24</v>
      </c>
      <c r="O22" s="496"/>
      <c r="P22" s="496">
        <v>25</v>
      </c>
      <c r="Q22" s="501"/>
      <c r="S22" t="s">
        <v>203</v>
      </c>
      <c r="T22">
        <v>700</v>
      </c>
    </row>
    <row r="23" spans="4:20">
      <c r="I23" s="506">
        <f t="shared" si="2"/>
        <v>2.8000000000000007</v>
      </c>
      <c r="J23" s="496"/>
      <c r="K23" s="497">
        <f t="shared" si="3"/>
        <v>2.9000000000000008</v>
      </c>
      <c r="L23" s="501"/>
      <c r="N23" s="502">
        <v>25</v>
      </c>
      <c r="O23" s="496"/>
      <c r="P23" s="496">
        <v>26</v>
      </c>
      <c r="Q23" s="501"/>
      <c r="S23">
        <v>9</v>
      </c>
      <c r="T23">
        <v>850</v>
      </c>
    </row>
    <row r="24" spans="4:20">
      <c r="I24" s="506">
        <f t="shared" si="2"/>
        <v>2.9000000000000008</v>
      </c>
      <c r="J24" s="496"/>
      <c r="K24" s="497">
        <f t="shared" si="3"/>
        <v>3.0000000000000009</v>
      </c>
      <c r="L24" s="501"/>
      <c r="N24" s="502">
        <v>26</v>
      </c>
      <c r="O24" s="496"/>
      <c r="P24" s="496">
        <v>27</v>
      </c>
      <c r="Q24" s="501"/>
    </row>
    <row r="25" spans="4:20" ht="13.5" customHeight="1" thickBot="1">
      <c r="I25" s="506">
        <f t="shared" si="2"/>
        <v>3.0000000000000009</v>
      </c>
      <c r="J25" s="496"/>
      <c r="K25" s="508">
        <f t="shared" si="3"/>
        <v>3.100000000000001</v>
      </c>
      <c r="L25" s="501"/>
      <c r="N25" s="502">
        <v>27</v>
      </c>
      <c r="O25" s="496"/>
      <c r="P25" s="496">
        <v>28</v>
      </c>
      <c r="Q25" s="501"/>
    </row>
    <row r="26" spans="4:20" ht="13.5" customHeight="1" thickBot="1">
      <c r="I26" s="507">
        <f t="shared" si="2"/>
        <v>3.100000000000001</v>
      </c>
      <c r="J26" s="504"/>
      <c r="K26" s="508">
        <v>3.2</v>
      </c>
      <c r="L26" s="505"/>
      <c r="N26" s="502">
        <v>28</v>
      </c>
      <c r="O26" s="496"/>
      <c r="P26" s="496">
        <v>29</v>
      </c>
      <c r="Q26" s="501"/>
    </row>
    <row r="27" spans="4:20">
      <c r="I27" s="731">
        <f t="shared" si="2"/>
        <v>3.2000000000000011</v>
      </c>
      <c r="K27" s="731">
        <f t="shared" ref="K27:K90" si="4">K26+0.1</f>
        <v>3.3000000000000003</v>
      </c>
      <c r="N27" s="502">
        <v>29</v>
      </c>
      <c r="O27" s="496"/>
      <c r="P27" s="496">
        <v>30</v>
      </c>
      <c r="Q27" s="501"/>
    </row>
    <row r="28" spans="4:20">
      <c r="I28" s="731">
        <f t="shared" si="2"/>
        <v>3.3000000000000012</v>
      </c>
      <c r="K28" s="731">
        <f t="shared" si="4"/>
        <v>3.4000000000000004</v>
      </c>
      <c r="N28" s="502">
        <v>30</v>
      </c>
      <c r="O28" s="496"/>
      <c r="P28" s="496">
        <v>31</v>
      </c>
      <c r="Q28" s="501"/>
    </row>
    <row r="29" spans="4:20">
      <c r="I29" s="731">
        <f t="shared" si="2"/>
        <v>3.4000000000000012</v>
      </c>
      <c r="K29" s="731">
        <f t="shared" si="4"/>
        <v>3.5000000000000004</v>
      </c>
      <c r="N29" s="502">
        <v>31</v>
      </c>
      <c r="O29" s="496"/>
      <c r="P29" s="496">
        <v>32</v>
      </c>
      <c r="Q29" s="501"/>
    </row>
    <row r="30" spans="4:20">
      <c r="I30" s="731">
        <f t="shared" si="2"/>
        <v>3.5000000000000013</v>
      </c>
      <c r="K30" s="731">
        <f t="shared" si="4"/>
        <v>3.6000000000000005</v>
      </c>
      <c r="N30" s="502">
        <v>32</v>
      </c>
      <c r="O30" s="496"/>
      <c r="P30" s="496">
        <v>33</v>
      </c>
      <c r="Q30" s="501"/>
    </row>
    <row r="31" spans="4:20">
      <c r="I31" s="731">
        <f t="shared" si="2"/>
        <v>3.6000000000000014</v>
      </c>
      <c r="K31" s="731">
        <f t="shared" si="4"/>
        <v>3.7000000000000006</v>
      </c>
      <c r="N31" s="502">
        <v>33</v>
      </c>
      <c r="O31" s="496"/>
      <c r="P31" s="496">
        <v>34</v>
      </c>
      <c r="Q31" s="501"/>
    </row>
    <row r="32" spans="4:20">
      <c r="I32" s="731">
        <f t="shared" si="2"/>
        <v>3.7000000000000015</v>
      </c>
      <c r="K32" s="731">
        <f t="shared" si="4"/>
        <v>3.8000000000000007</v>
      </c>
      <c r="N32" s="502">
        <v>34</v>
      </c>
      <c r="O32" s="496"/>
      <c r="P32" s="496">
        <v>35</v>
      </c>
      <c r="Q32" s="501"/>
    </row>
    <row r="33" spans="9:17">
      <c r="I33" s="731">
        <f t="shared" si="2"/>
        <v>3.8000000000000016</v>
      </c>
      <c r="K33" s="731">
        <f t="shared" si="4"/>
        <v>3.9000000000000008</v>
      </c>
      <c r="N33" s="502">
        <v>35</v>
      </c>
      <c r="O33" s="496"/>
      <c r="P33" s="496">
        <v>36</v>
      </c>
      <c r="Q33" s="501"/>
    </row>
    <row r="34" spans="9:17">
      <c r="I34" s="731">
        <f t="shared" si="2"/>
        <v>3.9000000000000017</v>
      </c>
      <c r="K34" s="731">
        <f t="shared" si="4"/>
        <v>4.0000000000000009</v>
      </c>
      <c r="N34" s="502">
        <v>36</v>
      </c>
      <c r="O34" s="496"/>
      <c r="P34" s="496">
        <v>37</v>
      </c>
      <c r="Q34" s="501"/>
    </row>
    <row r="35" spans="9:17">
      <c r="I35" s="731">
        <f t="shared" si="2"/>
        <v>4.0000000000000018</v>
      </c>
      <c r="K35" s="731">
        <f t="shared" si="4"/>
        <v>4.1000000000000005</v>
      </c>
      <c r="N35" s="502">
        <v>37</v>
      </c>
      <c r="O35" s="496"/>
      <c r="P35" s="496">
        <v>38</v>
      </c>
      <c r="Q35" s="501"/>
    </row>
    <row r="36" spans="9:17">
      <c r="I36" s="731">
        <f t="shared" si="2"/>
        <v>4.1000000000000014</v>
      </c>
      <c r="K36" s="731">
        <f t="shared" si="4"/>
        <v>4.2</v>
      </c>
      <c r="N36" s="502">
        <v>38</v>
      </c>
      <c r="O36" s="496"/>
      <c r="P36" s="496">
        <v>39</v>
      </c>
      <c r="Q36" s="501"/>
    </row>
    <row r="37" spans="9:17">
      <c r="I37" s="731">
        <f t="shared" si="2"/>
        <v>4.2000000000000011</v>
      </c>
      <c r="K37" s="731">
        <f t="shared" si="4"/>
        <v>4.3</v>
      </c>
      <c r="N37" s="502">
        <v>39</v>
      </c>
      <c r="O37" s="496"/>
      <c r="P37" s="496">
        <v>40</v>
      </c>
      <c r="Q37" s="501"/>
    </row>
    <row r="38" spans="9:17">
      <c r="I38" s="731">
        <f t="shared" si="2"/>
        <v>4.3000000000000007</v>
      </c>
      <c r="K38" s="731">
        <f t="shared" si="4"/>
        <v>4.3999999999999995</v>
      </c>
      <c r="N38" s="502">
        <v>40</v>
      </c>
      <c r="O38" s="496"/>
      <c r="P38" s="496">
        <v>41</v>
      </c>
      <c r="Q38" s="501"/>
    </row>
    <row r="39" spans="9:17">
      <c r="I39" s="731">
        <f t="shared" si="2"/>
        <v>4.4000000000000004</v>
      </c>
      <c r="K39" s="731">
        <f t="shared" si="4"/>
        <v>4.4999999999999991</v>
      </c>
      <c r="N39" s="502">
        <v>41</v>
      </c>
      <c r="O39" s="496"/>
      <c r="P39" s="496">
        <v>42</v>
      </c>
      <c r="Q39" s="501"/>
    </row>
    <row r="40" spans="9:17">
      <c r="I40" s="731">
        <f t="shared" si="2"/>
        <v>4.5</v>
      </c>
      <c r="K40" s="731">
        <f t="shared" si="4"/>
        <v>4.5999999999999988</v>
      </c>
      <c r="N40" s="502">
        <v>42</v>
      </c>
      <c r="O40" s="496"/>
      <c r="P40" s="496">
        <v>43</v>
      </c>
      <c r="Q40" s="501"/>
    </row>
    <row r="41" spans="9:17">
      <c r="I41" s="731">
        <f t="shared" si="2"/>
        <v>4.5999999999999996</v>
      </c>
      <c r="K41" s="731">
        <f t="shared" si="4"/>
        <v>4.6999999999999984</v>
      </c>
      <c r="N41" s="502">
        <v>43</v>
      </c>
      <c r="O41" s="496"/>
      <c r="P41" s="496">
        <v>44</v>
      </c>
      <c r="Q41" s="501"/>
    </row>
    <row r="42" spans="9:17">
      <c r="I42" s="731">
        <f t="shared" si="2"/>
        <v>4.6999999999999993</v>
      </c>
      <c r="K42" s="731">
        <f t="shared" si="4"/>
        <v>4.799999999999998</v>
      </c>
      <c r="N42" s="502">
        <v>44</v>
      </c>
      <c r="O42" s="496"/>
      <c r="P42" s="496">
        <v>45</v>
      </c>
      <c r="Q42" s="501"/>
    </row>
    <row r="43" spans="9:17">
      <c r="I43" s="731">
        <f t="shared" si="2"/>
        <v>4.7999999999999989</v>
      </c>
      <c r="K43" s="731">
        <f t="shared" si="4"/>
        <v>4.8999999999999977</v>
      </c>
      <c r="N43" s="502">
        <v>45</v>
      </c>
      <c r="O43" s="496"/>
      <c r="P43" s="496">
        <v>46</v>
      </c>
      <c r="Q43" s="501"/>
    </row>
    <row r="44" spans="9:17">
      <c r="I44" s="731">
        <f t="shared" si="2"/>
        <v>4.8999999999999986</v>
      </c>
      <c r="K44" s="731">
        <f t="shared" si="4"/>
        <v>4.9999999999999973</v>
      </c>
      <c r="N44" s="502">
        <v>46</v>
      </c>
      <c r="O44" s="496"/>
      <c r="P44" s="496">
        <v>47</v>
      </c>
      <c r="Q44" s="501"/>
    </row>
    <row r="45" spans="9:17">
      <c r="I45" s="731">
        <f t="shared" si="2"/>
        <v>4.9999999999999982</v>
      </c>
      <c r="K45" s="731">
        <f t="shared" si="4"/>
        <v>5.099999999999997</v>
      </c>
      <c r="N45" s="502">
        <v>47</v>
      </c>
      <c r="O45" s="496"/>
      <c r="P45" s="496">
        <v>48</v>
      </c>
      <c r="Q45" s="501"/>
    </row>
    <row r="46" spans="9:17">
      <c r="I46" s="731">
        <f t="shared" si="2"/>
        <v>5.0999999999999979</v>
      </c>
      <c r="K46" s="731">
        <f t="shared" si="4"/>
        <v>5.1999999999999966</v>
      </c>
      <c r="N46" s="502">
        <v>48</v>
      </c>
      <c r="O46" s="496"/>
      <c r="P46" s="496">
        <v>49</v>
      </c>
      <c r="Q46" s="501"/>
    </row>
    <row r="47" spans="9:17">
      <c r="I47" s="731">
        <f t="shared" si="2"/>
        <v>5.1999999999999975</v>
      </c>
      <c r="K47" s="731">
        <f t="shared" si="4"/>
        <v>5.2999999999999963</v>
      </c>
      <c r="N47" s="502">
        <v>49</v>
      </c>
      <c r="O47" s="496"/>
      <c r="P47" s="496">
        <v>50</v>
      </c>
      <c r="Q47" s="501"/>
    </row>
    <row r="48" spans="9:17">
      <c r="I48" s="731">
        <f t="shared" si="2"/>
        <v>5.2999999999999972</v>
      </c>
      <c r="K48" s="731">
        <f t="shared" si="4"/>
        <v>5.3999999999999959</v>
      </c>
      <c r="N48" s="502">
        <v>50</v>
      </c>
      <c r="O48" s="496"/>
      <c r="P48" s="496">
        <v>51</v>
      </c>
      <c r="Q48" s="501"/>
    </row>
    <row r="49" spans="9:17">
      <c r="I49" s="731">
        <f t="shared" si="2"/>
        <v>5.3999999999999968</v>
      </c>
      <c r="K49" s="731">
        <f t="shared" si="4"/>
        <v>5.4999999999999956</v>
      </c>
      <c r="N49" s="502">
        <v>51</v>
      </c>
      <c r="O49" s="496"/>
      <c r="P49" s="496">
        <v>52</v>
      </c>
      <c r="Q49" s="501"/>
    </row>
    <row r="50" spans="9:17">
      <c r="I50" s="731">
        <f t="shared" si="2"/>
        <v>5.4999999999999964</v>
      </c>
      <c r="K50" s="731">
        <f t="shared" si="4"/>
        <v>5.5999999999999952</v>
      </c>
      <c r="N50" s="502">
        <v>52</v>
      </c>
      <c r="O50" s="496"/>
      <c r="P50" s="496">
        <v>53</v>
      </c>
      <c r="Q50" s="501"/>
    </row>
    <row r="51" spans="9:17">
      <c r="I51" s="731">
        <f t="shared" si="2"/>
        <v>5.5999999999999961</v>
      </c>
      <c r="K51" s="731">
        <f t="shared" si="4"/>
        <v>5.6999999999999948</v>
      </c>
      <c r="N51" s="502">
        <v>53</v>
      </c>
      <c r="O51" s="496"/>
      <c r="P51" s="496">
        <v>54</v>
      </c>
      <c r="Q51" s="501"/>
    </row>
    <row r="52" spans="9:17">
      <c r="I52" s="731">
        <f t="shared" si="2"/>
        <v>5.6999999999999957</v>
      </c>
      <c r="K52" s="731">
        <f t="shared" si="4"/>
        <v>5.7999999999999945</v>
      </c>
      <c r="N52" s="502">
        <v>54</v>
      </c>
      <c r="O52" s="496"/>
      <c r="P52" s="496">
        <v>55</v>
      </c>
      <c r="Q52" s="501"/>
    </row>
    <row r="53" spans="9:17">
      <c r="I53" s="731">
        <f t="shared" si="2"/>
        <v>5.7999999999999954</v>
      </c>
      <c r="K53" s="731">
        <f t="shared" si="4"/>
        <v>5.8999999999999941</v>
      </c>
      <c r="N53" s="502">
        <v>55</v>
      </c>
      <c r="O53" s="496"/>
      <c r="P53" s="496">
        <v>56</v>
      </c>
      <c r="Q53" s="501"/>
    </row>
    <row r="54" spans="9:17">
      <c r="I54" s="731">
        <f t="shared" si="2"/>
        <v>5.899999999999995</v>
      </c>
      <c r="K54" s="731">
        <f t="shared" si="4"/>
        <v>5.9999999999999938</v>
      </c>
      <c r="N54" s="502">
        <v>56</v>
      </c>
      <c r="O54" s="496"/>
      <c r="P54" s="496">
        <v>57</v>
      </c>
      <c r="Q54" s="501"/>
    </row>
    <row r="55" spans="9:17">
      <c r="I55" s="731">
        <f t="shared" si="2"/>
        <v>5.9999999999999947</v>
      </c>
      <c r="K55" s="731">
        <f t="shared" si="4"/>
        <v>6.0999999999999934</v>
      </c>
      <c r="N55" s="502">
        <v>57</v>
      </c>
      <c r="O55" s="496"/>
      <c r="P55" s="496">
        <v>58</v>
      </c>
      <c r="Q55" s="501"/>
    </row>
    <row r="56" spans="9:17">
      <c r="I56" s="731">
        <f t="shared" si="2"/>
        <v>6.0999999999999943</v>
      </c>
      <c r="K56" s="731">
        <f t="shared" si="4"/>
        <v>6.1999999999999931</v>
      </c>
      <c r="N56" s="502">
        <v>58</v>
      </c>
      <c r="O56" s="496"/>
      <c r="P56" s="496">
        <v>59</v>
      </c>
      <c r="Q56" s="501"/>
    </row>
    <row r="57" spans="9:17" ht="13.5" customHeight="1" thickBot="1">
      <c r="I57" s="731">
        <f t="shared" si="2"/>
        <v>6.199999999999994</v>
      </c>
      <c r="K57" s="731">
        <f t="shared" si="4"/>
        <v>6.2999999999999927</v>
      </c>
      <c r="N57" s="502">
        <v>59</v>
      </c>
      <c r="O57" s="496"/>
      <c r="P57" s="504">
        <v>60</v>
      </c>
      <c r="Q57" s="501"/>
    </row>
    <row r="58" spans="9:17" ht="13.5" customHeight="1" thickBot="1">
      <c r="I58" s="731">
        <f t="shared" si="2"/>
        <v>6.2999999999999936</v>
      </c>
      <c r="K58" s="731">
        <f t="shared" si="4"/>
        <v>6.3999999999999924</v>
      </c>
      <c r="N58" s="503">
        <v>60</v>
      </c>
      <c r="O58" s="504"/>
      <c r="P58" s="504">
        <v>61</v>
      </c>
      <c r="Q58" s="505"/>
    </row>
    <row r="59" spans="9:17" ht="13.5" customHeight="1" thickBot="1">
      <c r="I59" s="731">
        <f t="shared" si="2"/>
        <v>6.3999999999999932</v>
      </c>
      <c r="K59" s="731">
        <f t="shared" si="4"/>
        <v>6.499999999999992</v>
      </c>
      <c r="N59" s="503">
        <v>61</v>
      </c>
      <c r="P59" s="503">
        <v>62</v>
      </c>
    </row>
    <row r="60" spans="9:17" ht="13.5" customHeight="1" thickBot="1">
      <c r="I60" s="731">
        <f t="shared" si="2"/>
        <v>6.4999999999999929</v>
      </c>
      <c r="K60" s="731">
        <f t="shared" si="4"/>
        <v>6.5999999999999917</v>
      </c>
      <c r="N60" s="503">
        <v>62</v>
      </c>
      <c r="P60" s="503">
        <v>63</v>
      </c>
    </row>
    <row r="61" spans="9:17" ht="13.5" customHeight="1" thickBot="1">
      <c r="I61" s="731">
        <f t="shared" si="2"/>
        <v>6.5999999999999925</v>
      </c>
      <c r="K61" s="731">
        <f t="shared" si="4"/>
        <v>6.6999999999999913</v>
      </c>
      <c r="N61" s="503">
        <v>63</v>
      </c>
      <c r="P61" s="503">
        <v>64</v>
      </c>
    </row>
    <row r="62" spans="9:17" ht="13.5" customHeight="1" thickBot="1">
      <c r="I62" s="731">
        <f t="shared" si="2"/>
        <v>6.6999999999999922</v>
      </c>
      <c r="K62" s="731">
        <f t="shared" si="4"/>
        <v>6.7999999999999909</v>
      </c>
      <c r="N62" s="503">
        <v>64</v>
      </c>
      <c r="P62" s="503">
        <v>65</v>
      </c>
    </row>
    <row r="63" spans="9:17" ht="13.5" customHeight="1" thickBot="1">
      <c r="I63" s="731">
        <f t="shared" si="2"/>
        <v>6.7999999999999918</v>
      </c>
      <c r="K63" s="731">
        <f t="shared" si="4"/>
        <v>6.8999999999999906</v>
      </c>
      <c r="N63" s="503">
        <v>65</v>
      </c>
      <c r="P63" s="503">
        <v>66</v>
      </c>
    </row>
    <row r="64" spans="9:17" ht="13.5" customHeight="1" thickBot="1">
      <c r="I64" s="731">
        <f t="shared" si="2"/>
        <v>6.8999999999999915</v>
      </c>
      <c r="K64" s="731">
        <f t="shared" si="4"/>
        <v>6.9999999999999902</v>
      </c>
      <c r="N64" s="503">
        <v>66</v>
      </c>
      <c r="P64" s="503">
        <v>67</v>
      </c>
    </row>
    <row r="65" spans="9:16" ht="13.5" customHeight="1" thickBot="1">
      <c r="I65" s="731">
        <f t="shared" si="2"/>
        <v>6.9999999999999911</v>
      </c>
      <c r="K65" s="731">
        <f t="shared" si="4"/>
        <v>7.0999999999999899</v>
      </c>
      <c r="N65" s="503">
        <v>67</v>
      </c>
      <c r="P65" s="503">
        <v>68</v>
      </c>
    </row>
    <row r="66" spans="9:16" ht="13.5" customHeight="1" thickBot="1">
      <c r="I66" s="731">
        <f t="shared" si="2"/>
        <v>7.0999999999999908</v>
      </c>
      <c r="K66" s="731">
        <f t="shared" si="4"/>
        <v>7.1999999999999895</v>
      </c>
      <c r="N66" s="503">
        <v>68</v>
      </c>
      <c r="P66" s="503">
        <v>69</v>
      </c>
    </row>
    <row r="67" spans="9:16" ht="13.5" customHeight="1" thickBot="1">
      <c r="I67" s="731">
        <f t="shared" si="2"/>
        <v>7.1999999999999904</v>
      </c>
      <c r="K67" s="731">
        <f t="shared" si="4"/>
        <v>7.2999999999999892</v>
      </c>
      <c r="N67" s="503">
        <v>69</v>
      </c>
      <c r="P67" s="503">
        <v>70</v>
      </c>
    </row>
    <row r="68" spans="9:16" ht="13.5" customHeight="1" thickBot="1">
      <c r="I68" s="731">
        <f t="shared" si="2"/>
        <v>7.2999999999999901</v>
      </c>
      <c r="K68" s="731">
        <f t="shared" si="4"/>
        <v>7.3999999999999888</v>
      </c>
      <c r="N68" s="503">
        <v>70</v>
      </c>
      <c r="P68" s="503">
        <v>71</v>
      </c>
    </row>
    <row r="69" spans="9:16" ht="13.5" customHeight="1" thickBot="1">
      <c r="I69" s="731">
        <f t="shared" si="2"/>
        <v>7.3999999999999897</v>
      </c>
      <c r="K69" s="731">
        <f t="shared" si="4"/>
        <v>7.4999999999999885</v>
      </c>
      <c r="N69" s="503">
        <v>71</v>
      </c>
      <c r="P69" s="503">
        <v>72</v>
      </c>
    </row>
    <row r="70" spans="9:16" ht="13.5" customHeight="1" thickBot="1">
      <c r="I70" s="731">
        <f t="shared" si="2"/>
        <v>7.4999999999999893</v>
      </c>
      <c r="K70" s="731">
        <f t="shared" si="4"/>
        <v>7.5999999999999881</v>
      </c>
      <c r="N70" s="503">
        <v>72</v>
      </c>
      <c r="P70" s="503">
        <v>73</v>
      </c>
    </row>
    <row r="71" spans="9:16" ht="13.5" customHeight="1" thickBot="1">
      <c r="I71" s="731">
        <f t="shared" si="2"/>
        <v>7.599999999999989</v>
      </c>
      <c r="K71" s="731">
        <f t="shared" si="4"/>
        <v>7.6999999999999877</v>
      </c>
      <c r="N71" s="503">
        <v>73</v>
      </c>
      <c r="P71" s="503">
        <v>74</v>
      </c>
    </row>
    <row r="72" spans="9:16" ht="13.5" customHeight="1" thickBot="1">
      <c r="I72" s="731">
        <f t="shared" si="2"/>
        <v>7.6999999999999886</v>
      </c>
      <c r="K72" s="731">
        <f t="shared" si="4"/>
        <v>7.7999999999999874</v>
      </c>
      <c r="N72" s="503">
        <v>74</v>
      </c>
      <c r="P72" s="503">
        <v>75</v>
      </c>
    </row>
    <row r="73" spans="9:16" ht="13.5" customHeight="1" thickBot="1">
      <c r="I73" s="731">
        <f t="shared" si="2"/>
        <v>7.7999999999999883</v>
      </c>
      <c r="K73" s="731">
        <f t="shared" si="4"/>
        <v>7.899999999999987</v>
      </c>
      <c r="N73" s="503">
        <v>75</v>
      </c>
      <c r="P73" s="503">
        <v>76</v>
      </c>
    </row>
    <row r="74" spans="9:16" ht="13.5" customHeight="1" thickBot="1">
      <c r="I74" s="731">
        <f t="shared" si="2"/>
        <v>7.8999999999999879</v>
      </c>
      <c r="K74" s="731">
        <f t="shared" si="4"/>
        <v>7.9999999999999867</v>
      </c>
      <c r="N74" s="503">
        <v>76</v>
      </c>
      <c r="P74" s="503">
        <v>77</v>
      </c>
    </row>
    <row r="75" spans="9:16" ht="13.5" customHeight="1" thickBot="1">
      <c r="I75" s="731">
        <f t="shared" si="2"/>
        <v>7.9999999999999876</v>
      </c>
      <c r="K75" s="731">
        <f t="shared" si="4"/>
        <v>8.0999999999999872</v>
      </c>
      <c r="N75" s="503">
        <v>77</v>
      </c>
      <c r="P75" s="503">
        <v>78</v>
      </c>
    </row>
    <row r="76" spans="9:16" ht="13.5" customHeight="1" thickBot="1">
      <c r="I76" s="731">
        <f t="shared" si="2"/>
        <v>8.0999999999999872</v>
      </c>
      <c r="K76" s="731">
        <f t="shared" si="4"/>
        <v>8.1999999999999869</v>
      </c>
      <c r="N76" s="503">
        <v>78</v>
      </c>
      <c r="P76" s="503">
        <v>79</v>
      </c>
    </row>
    <row r="77" spans="9:16" ht="13.5" customHeight="1" thickBot="1">
      <c r="I77" s="731">
        <f t="shared" si="2"/>
        <v>8.1999999999999869</v>
      </c>
      <c r="K77" s="731">
        <f t="shared" si="4"/>
        <v>8.2999999999999865</v>
      </c>
      <c r="N77" s="503">
        <v>79</v>
      </c>
      <c r="P77" s="503">
        <v>80</v>
      </c>
    </row>
    <row r="78" spans="9:16" ht="13.5" customHeight="1" thickBot="1">
      <c r="I78" s="731">
        <f t="shared" ref="I78:I141" si="5">I77+0.1</f>
        <v>8.2999999999999865</v>
      </c>
      <c r="K78" s="731">
        <f t="shared" si="4"/>
        <v>8.3999999999999861</v>
      </c>
      <c r="N78" s="503">
        <v>80</v>
      </c>
      <c r="P78" s="503">
        <v>81</v>
      </c>
    </row>
    <row r="79" spans="9:16" ht="13.5" customHeight="1" thickBot="1">
      <c r="I79" s="731">
        <f t="shared" si="5"/>
        <v>8.3999999999999861</v>
      </c>
      <c r="K79" s="731">
        <f t="shared" si="4"/>
        <v>8.4999999999999858</v>
      </c>
      <c r="N79" s="503">
        <v>81</v>
      </c>
      <c r="P79" s="503">
        <v>82</v>
      </c>
    </row>
    <row r="80" spans="9:16" ht="13.5" customHeight="1" thickBot="1">
      <c r="I80" s="731">
        <f t="shared" si="5"/>
        <v>8.4999999999999858</v>
      </c>
      <c r="K80" s="731">
        <f t="shared" si="4"/>
        <v>8.5999999999999854</v>
      </c>
      <c r="N80" s="503">
        <v>82</v>
      </c>
      <c r="P80" s="503">
        <v>83</v>
      </c>
    </row>
    <row r="81" spans="9:16" ht="13.5" customHeight="1" thickBot="1">
      <c r="I81" s="731">
        <f t="shared" si="5"/>
        <v>8.5999999999999854</v>
      </c>
      <c r="K81" s="731">
        <f t="shared" si="4"/>
        <v>8.6999999999999851</v>
      </c>
      <c r="N81" s="503">
        <v>83</v>
      </c>
      <c r="P81" s="503">
        <v>84</v>
      </c>
    </row>
    <row r="82" spans="9:16" ht="13.5" customHeight="1" thickBot="1">
      <c r="I82" s="731">
        <f t="shared" si="5"/>
        <v>8.6999999999999851</v>
      </c>
      <c r="K82" s="731">
        <f t="shared" si="4"/>
        <v>8.7999999999999847</v>
      </c>
      <c r="N82" s="503">
        <v>84</v>
      </c>
      <c r="P82" s="503">
        <v>85</v>
      </c>
    </row>
    <row r="83" spans="9:16" ht="13.5" customHeight="1" thickBot="1">
      <c r="I83" s="731">
        <f t="shared" si="5"/>
        <v>8.7999999999999847</v>
      </c>
      <c r="K83" s="731">
        <f t="shared" si="4"/>
        <v>8.8999999999999844</v>
      </c>
      <c r="N83" s="503">
        <v>85</v>
      </c>
      <c r="P83" s="503">
        <v>86</v>
      </c>
    </row>
    <row r="84" spans="9:16" ht="13.5" customHeight="1" thickBot="1">
      <c r="I84" s="731">
        <f t="shared" si="5"/>
        <v>8.8999999999999844</v>
      </c>
      <c r="K84" s="731">
        <f t="shared" si="4"/>
        <v>8.999999999999984</v>
      </c>
      <c r="N84" s="503">
        <v>86</v>
      </c>
      <c r="P84" s="503">
        <v>87</v>
      </c>
    </row>
    <row r="85" spans="9:16" ht="13.5" customHeight="1" thickBot="1">
      <c r="I85" s="731">
        <f t="shared" si="5"/>
        <v>8.999999999999984</v>
      </c>
      <c r="K85" s="731">
        <f t="shared" si="4"/>
        <v>9.0999999999999837</v>
      </c>
      <c r="N85" s="503">
        <v>87</v>
      </c>
      <c r="P85" s="503">
        <v>88</v>
      </c>
    </row>
    <row r="86" spans="9:16" ht="13.5" customHeight="1" thickBot="1">
      <c r="I86" s="731">
        <f t="shared" si="5"/>
        <v>9.0999999999999837</v>
      </c>
      <c r="K86" s="731">
        <f t="shared" si="4"/>
        <v>9.1999999999999833</v>
      </c>
      <c r="N86" s="503">
        <v>88</v>
      </c>
      <c r="P86" s="503">
        <v>89</v>
      </c>
    </row>
    <row r="87" spans="9:16" ht="13.5" customHeight="1" thickBot="1">
      <c r="I87" s="731">
        <f t="shared" si="5"/>
        <v>9.1999999999999833</v>
      </c>
      <c r="K87" s="731">
        <f t="shared" si="4"/>
        <v>9.2999999999999829</v>
      </c>
      <c r="N87" s="503">
        <v>89</v>
      </c>
      <c r="P87" s="503">
        <v>90</v>
      </c>
    </row>
    <row r="88" spans="9:16" ht="13.5" customHeight="1" thickBot="1">
      <c r="I88" s="731">
        <f t="shared" si="5"/>
        <v>9.2999999999999829</v>
      </c>
      <c r="K88" s="731">
        <f t="shared" si="4"/>
        <v>9.3999999999999826</v>
      </c>
      <c r="N88" s="503">
        <v>90</v>
      </c>
      <c r="P88" s="503">
        <v>91</v>
      </c>
    </row>
    <row r="89" spans="9:16" ht="13.5" customHeight="1" thickBot="1">
      <c r="I89" s="731">
        <f t="shared" si="5"/>
        <v>9.3999999999999826</v>
      </c>
      <c r="K89" s="731">
        <f t="shared" si="4"/>
        <v>9.4999999999999822</v>
      </c>
      <c r="N89" s="503">
        <v>91</v>
      </c>
      <c r="P89" s="503">
        <v>92</v>
      </c>
    </row>
    <row r="90" spans="9:16" ht="13.5" customHeight="1" thickBot="1">
      <c r="I90" s="731">
        <f t="shared" si="5"/>
        <v>9.4999999999999822</v>
      </c>
      <c r="K90" s="731">
        <f t="shared" si="4"/>
        <v>9.5999999999999819</v>
      </c>
      <c r="N90" s="503">
        <v>92</v>
      </c>
      <c r="P90" s="503">
        <v>93</v>
      </c>
    </row>
    <row r="91" spans="9:16" ht="13.5" customHeight="1" thickBot="1">
      <c r="I91" s="731">
        <f t="shared" si="5"/>
        <v>9.5999999999999819</v>
      </c>
      <c r="K91" s="731">
        <f t="shared" ref="K91:K154" si="6">K90+0.1</f>
        <v>9.6999999999999815</v>
      </c>
      <c r="N91" s="503">
        <v>93</v>
      </c>
      <c r="P91" s="503">
        <v>94</v>
      </c>
    </row>
    <row r="92" spans="9:16" ht="13.5" customHeight="1" thickBot="1">
      <c r="I92" s="731">
        <f t="shared" si="5"/>
        <v>9.6999999999999815</v>
      </c>
      <c r="K92" s="731">
        <f t="shared" si="6"/>
        <v>9.7999999999999812</v>
      </c>
      <c r="N92" s="503">
        <v>94</v>
      </c>
      <c r="P92" s="503">
        <v>95</v>
      </c>
    </row>
    <row r="93" spans="9:16" ht="13.5" customHeight="1" thickBot="1">
      <c r="I93" s="731">
        <f t="shared" si="5"/>
        <v>9.7999999999999812</v>
      </c>
      <c r="K93" s="731">
        <f t="shared" si="6"/>
        <v>9.8999999999999808</v>
      </c>
      <c r="N93" s="503">
        <v>95</v>
      </c>
      <c r="P93" s="503">
        <v>96</v>
      </c>
    </row>
    <row r="94" spans="9:16" ht="13.5" customHeight="1" thickBot="1">
      <c r="I94" s="731">
        <f t="shared" si="5"/>
        <v>9.8999999999999808</v>
      </c>
      <c r="K94" s="731">
        <f t="shared" si="6"/>
        <v>9.9999999999999805</v>
      </c>
      <c r="N94" s="503">
        <v>96</v>
      </c>
      <c r="P94" s="503">
        <v>97</v>
      </c>
    </row>
    <row r="95" spans="9:16" ht="13.5" customHeight="1" thickBot="1">
      <c r="I95" s="731">
        <f t="shared" si="5"/>
        <v>9.9999999999999805</v>
      </c>
      <c r="K95" s="731">
        <f t="shared" si="6"/>
        <v>10.09999999999998</v>
      </c>
      <c r="N95" s="503">
        <v>97</v>
      </c>
      <c r="P95" s="503">
        <v>98</v>
      </c>
    </row>
    <row r="96" spans="9:16" ht="13.5" customHeight="1" thickBot="1">
      <c r="I96" s="731">
        <f t="shared" si="5"/>
        <v>10.09999999999998</v>
      </c>
      <c r="K96" s="731">
        <f t="shared" si="6"/>
        <v>10.19999999999998</v>
      </c>
      <c r="N96" s="503">
        <v>98</v>
      </c>
      <c r="P96" s="503">
        <v>99</v>
      </c>
    </row>
    <row r="97" spans="9:16" ht="13.5" customHeight="1" thickBot="1">
      <c r="I97" s="731">
        <f t="shared" si="5"/>
        <v>10.19999999999998</v>
      </c>
      <c r="K97" s="731">
        <f t="shared" si="6"/>
        <v>10.299999999999979</v>
      </c>
      <c r="N97" s="503">
        <v>99</v>
      </c>
      <c r="P97" s="503">
        <v>100</v>
      </c>
    </row>
    <row r="98" spans="9:16" ht="13.5" customHeight="1" thickBot="1">
      <c r="I98" s="731">
        <f t="shared" si="5"/>
        <v>10.299999999999979</v>
      </c>
      <c r="K98" s="731">
        <f t="shared" si="6"/>
        <v>10.399999999999979</v>
      </c>
      <c r="N98" s="503">
        <v>100</v>
      </c>
      <c r="P98" s="726">
        <v>101</v>
      </c>
    </row>
    <row r="99" spans="9:16" ht="13.5" customHeight="1" thickBot="1">
      <c r="I99" s="731">
        <f t="shared" si="5"/>
        <v>10.399999999999979</v>
      </c>
      <c r="K99" s="731">
        <f t="shared" si="6"/>
        <v>10.499999999999979</v>
      </c>
      <c r="N99" s="503">
        <f t="shared" ref="N99:N162" si="7">N98+1</f>
        <v>101</v>
      </c>
      <c r="P99" s="726">
        <f t="shared" ref="P99:P162" si="8">P98+1</f>
        <v>102</v>
      </c>
    </row>
    <row r="100" spans="9:16" ht="13.5" customHeight="1" thickBot="1">
      <c r="I100" s="731">
        <f t="shared" si="5"/>
        <v>10.499999999999979</v>
      </c>
      <c r="K100" s="731">
        <f t="shared" si="6"/>
        <v>10.599999999999978</v>
      </c>
      <c r="N100" s="503">
        <f t="shared" si="7"/>
        <v>102</v>
      </c>
      <c r="P100" s="726">
        <f t="shared" si="8"/>
        <v>103</v>
      </c>
    </row>
    <row r="101" spans="9:16" ht="13.5" customHeight="1" thickBot="1">
      <c r="I101" s="731">
        <f t="shared" si="5"/>
        <v>10.599999999999978</v>
      </c>
      <c r="K101" s="731">
        <f t="shared" si="6"/>
        <v>10.699999999999978</v>
      </c>
      <c r="N101" s="503">
        <f t="shared" si="7"/>
        <v>103</v>
      </c>
      <c r="P101" s="726">
        <f t="shared" si="8"/>
        <v>104</v>
      </c>
    </row>
    <row r="102" spans="9:16" ht="13.5" customHeight="1" thickBot="1">
      <c r="I102" s="731">
        <f t="shared" si="5"/>
        <v>10.699999999999978</v>
      </c>
      <c r="K102" s="731">
        <f t="shared" si="6"/>
        <v>10.799999999999978</v>
      </c>
      <c r="N102" s="503">
        <f t="shared" si="7"/>
        <v>104</v>
      </c>
      <c r="P102" s="726">
        <f t="shared" si="8"/>
        <v>105</v>
      </c>
    </row>
    <row r="103" spans="9:16" ht="13.5" customHeight="1" thickBot="1">
      <c r="I103" s="731">
        <f t="shared" si="5"/>
        <v>10.799999999999978</v>
      </c>
      <c r="K103" s="731">
        <f t="shared" si="6"/>
        <v>10.899999999999977</v>
      </c>
      <c r="N103" s="503">
        <f t="shared" si="7"/>
        <v>105</v>
      </c>
      <c r="P103" s="726">
        <f t="shared" si="8"/>
        <v>106</v>
      </c>
    </row>
    <row r="104" spans="9:16" ht="13.5" customHeight="1" thickBot="1">
      <c r="I104" s="731">
        <f t="shared" si="5"/>
        <v>10.899999999999977</v>
      </c>
      <c r="K104" s="731">
        <f t="shared" si="6"/>
        <v>10.999999999999977</v>
      </c>
      <c r="N104" s="503">
        <f t="shared" si="7"/>
        <v>106</v>
      </c>
      <c r="P104" s="726">
        <f t="shared" si="8"/>
        <v>107</v>
      </c>
    </row>
    <row r="105" spans="9:16" ht="13.5" customHeight="1" thickBot="1">
      <c r="I105" s="731">
        <f t="shared" si="5"/>
        <v>10.999999999999977</v>
      </c>
      <c r="K105" s="731">
        <f t="shared" si="6"/>
        <v>11.099999999999977</v>
      </c>
      <c r="N105" s="503">
        <f t="shared" si="7"/>
        <v>107</v>
      </c>
      <c r="P105" s="726">
        <f t="shared" si="8"/>
        <v>108</v>
      </c>
    </row>
    <row r="106" spans="9:16" ht="13.5" customHeight="1" thickBot="1">
      <c r="I106" s="731">
        <f t="shared" si="5"/>
        <v>11.099999999999977</v>
      </c>
      <c r="K106" s="731">
        <f t="shared" si="6"/>
        <v>11.199999999999976</v>
      </c>
      <c r="N106" s="503">
        <f t="shared" si="7"/>
        <v>108</v>
      </c>
      <c r="P106" s="726">
        <f t="shared" si="8"/>
        <v>109</v>
      </c>
    </row>
    <row r="107" spans="9:16" ht="13.5" customHeight="1" thickBot="1">
      <c r="I107" s="731">
        <f t="shared" si="5"/>
        <v>11.199999999999976</v>
      </c>
      <c r="K107" s="731">
        <f t="shared" si="6"/>
        <v>11.299999999999976</v>
      </c>
      <c r="N107" s="503">
        <f t="shared" si="7"/>
        <v>109</v>
      </c>
      <c r="P107" s="726">
        <f t="shared" si="8"/>
        <v>110</v>
      </c>
    </row>
    <row r="108" spans="9:16" ht="13.5" customHeight="1" thickBot="1">
      <c r="I108" s="731">
        <f t="shared" si="5"/>
        <v>11.299999999999976</v>
      </c>
      <c r="K108" s="731">
        <f t="shared" si="6"/>
        <v>11.399999999999975</v>
      </c>
      <c r="N108" s="503">
        <f t="shared" si="7"/>
        <v>110</v>
      </c>
      <c r="P108" s="726">
        <f t="shared" si="8"/>
        <v>111</v>
      </c>
    </row>
    <row r="109" spans="9:16" ht="13.5" customHeight="1" thickBot="1">
      <c r="I109" s="731">
        <f t="shared" si="5"/>
        <v>11.399999999999975</v>
      </c>
      <c r="K109" s="731">
        <f t="shared" si="6"/>
        <v>11.499999999999975</v>
      </c>
      <c r="N109" s="503">
        <f t="shared" si="7"/>
        <v>111</v>
      </c>
      <c r="P109" s="726">
        <f t="shared" si="8"/>
        <v>112</v>
      </c>
    </row>
    <row r="110" spans="9:16" ht="13.5" customHeight="1" thickBot="1">
      <c r="I110" s="731">
        <f t="shared" si="5"/>
        <v>11.499999999999975</v>
      </c>
      <c r="K110" s="731">
        <f t="shared" si="6"/>
        <v>11.599999999999975</v>
      </c>
      <c r="N110" s="503">
        <f t="shared" si="7"/>
        <v>112</v>
      </c>
      <c r="P110" s="726">
        <f t="shared" si="8"/>
        <v>113</v>
      </c>
    </row>
    <row r="111" spans="9:16" ht="13.5" customHeight="1" thickBot="1">
      <c r="I111" s="731">
        <f t="shared" si="5"/>
        <v>11.599999999999975</v>
      </c>
      <c r="K111" s="731">
        <f t="shared" si="6"/>
        <v>11.699999999999974</v>
      </c>
      <c r="N111" s="503">
        <f t="shared" si="7"/>
        <v>113</v>
      </c>
      <c r="P111" s="726">
        <f t="shared" si="8"/>
        <v>114</v>
      </c>
    </row>
    <row r="112" spans="9:16" ht="13.5" customHeight="1" thickBot="1">
      <c r="I112" s="731">
        <f t="shared" si="5"/>
        <v>11.699999999999974</v>
      </c>
      <c r="K112" s="731">
        <f t="shared" si="6"/>
        <v>11.799999999999974</v>
      </c>
      <c r="N112" s="503">
        <f t="shared" si="7"/>
        <v>114</v>
      </c>
      <c r="P112" s="726">
        <f t="shared" si="8"/>
        <v>115</v>
      </c>
    </row>
    <row r="113" spans="9:16" ht="13.5" customHeight="1" thickBot="1">
      <c r="I113" s="731">
        <f t="shared" si="5"/>
        <v>11.799999999999974</v>
      </c>
      <c r="K113" s="731">
        <f t="shared" si="6"/>
        <v>11.899999999999974</v>
      </c>
      <c r="N113" s="503">
        <f t="shared" si="7"/>
        <v>115</v>
      </c>
      <c r="P113" s="726">
        <f t="shared" si="8"/>
        <v>116</v>
      </c>
    </row>
    <row r="114" spans="9:16" ht="13.5" customHeight="1" thickBot="1">
      <c r="I114" s="731">
        <f t="shared" si="5"/>
        <v>11.899999999999974</v>
      </c>
      <c r="K114" s="731">
        <f t="shared" si="6"/>
        <v>11.999999999999973</v>
      </c>
      <c r="N114" s="503">
        <f t="shared" si="7"/>
        <v>116</v>
      </c>
      <c r="P114" s="726">
        <f t="shared" si="8"/>
        <v>117</v>
      </c>
    </row>
    <row r="115" spans="9:16" ht="13.5" customHeight="1" thickBot="1">
      <c r="I115" s="731">
        <f t="shared" si="5"/>
        <v>11.999999999999973</v>
      </c>
      <c r="K115" s="731">
        <f t="shared" si="6"/>
        <v>12.099999999999973</v>
      </c>
      <c r="N115" s="503">
        <f t="shared" si="7"/>
        <v>117</v>
      </c>
      <c r="P115" s="726">
        <f t="shared" si="8"/>
        <v>118</v>
      </c>
    </row>
    <row r="116" spans="9:16" ht="13.5" customHeight="1" thickBot="1">
      <c r="I116" s="731">
        <f t="shared" si="5"/>
        <v>12.099999999999973</v>
      </c>
      <c r="K116" s="731">
        <f t="shared" si="6"/>
        <v>12.199999999999973</v>
      </c>
      <c r="N116" s="503">
        <f t="shared" si="7"/>
        <v>118</v>
      </c>
      <c r="P116" s="726">
        <f t="shared" si="8"/>
        <v>119</v>
      </c>
    </row>
    <row r="117" spans="9:16" ht="13.5" customHeight="1" thickBot="1">
      <c r="I117" s="731">
        <f t="shared" si="5"/>
        <v>12.199999999999973</v>
      </c>
      <c r="K117" s="731">
        <f t="shared" si="6"/>
        <v>12.299999999999972</v>
      </c>
      <c r="N117" s="503">
        <f t="shared" si="7"/>
        <v>119</v>
      </c>
      <c r="P117" s="726">
        <f t="shared" si="8"/>
        <v>120</v>
      </c>
    </row>
    <row r="118" spans="9:16" ht="13.5" customHeight="1" thickBot="1">
      <c r="I118" s="731">
        <f t="shared" si="5"/>
        <v>12.299999999999972</v>
      </c>
      <c r="K118" s="731">
        <f t="shared" si="6"/>
        <v>12.399999999999972</v>
      </c>
      <c r="N118" s="503">
        <f t="shared" si="7"/>
        <v>120</v>
      </c>
      <c r="P118" s="726">
        <f t="shared" si="8"/>
        <v>121</v>
      </c>
    </row>
    <row r="119" spans="9:16" ht="13.5" customHeight="1" thickBot="1">
      <c r="I119" s="731">
        <f t="shared" si="5"/>
        <v>12.399999999999972</v>
      </c>
      <c r="K119" s="731">
        <f t="shared" si="6"/>
        <v>12.499999999999972</v>
      </c>
      <c r="N119" s="503">
        <f t="shared" si="7"/>
        <v>121</v>
      </c>
      <c r="P119" s="726">
        <f t="shared" si="8"/>
        <v>122</v>
      </c>
    </row>
    <row r="120" spans="9:16" ht="13.5" customHeight="1" thickBot="1">
      <c r="I120" s="731">
        <f t="shared" si="5"/>
        <v>12.499999999999972</v>
      </c>
      <c r="K120" s="731">
        <f t="shared" si="6"/>
        <v>12.599999999999971</v>
      </c>
      <c r="N120" s="503">
        <f t="shared" si="7"/>
        <v>122</v>
      </c>
      <c r="P120" s="726">
        <f t="shared" si="8"/>
        <v>123</v>
      </c>
    </row>
    <row r="121" spans="9:16" ht="13.5" customHeight="1" thickBot="1">
      <c r="I121" s="731">
        <f t="shared" si="5"/>
        <v>12.599999999999971</v>
      </c>
      <c r="K121" s="731">
        <f t="shared" si="6"/>
        <v>12.699999999999971</v>
      </c>
      <c r="N121" s="503">
        <f t="shared" si="7"/>
        <v>123</v>
      </c>
      <c r="P121" s="726">
        <f t="shared" si="8"/>
        <v>124</v>
      </c>
    </row>
    <row r="122" spans="9:16" ht="13.5" customHeight="1" thickBot="1">
      <c r="I122" s="731">
        <f t="shared" si="5"/>
        <v>12.699999999999971</v>
      </c>
      <c r="K122" s="731">
        <f t="shared" si="6"/>
        <v>12.799999999999971</v>
      </c>
      <c r="N122" s="503">
        <f t="shared" si="7"/>
        <v>124</v>
      </c>
      <c r="P122" s="726">
        <f t="shared" si="8"/>
        <v>125</v>
      </c>
    </row>
    <row r="123" spans="9:16" ht="13.5" customHeight="1" thickBot="1">
      <c r="I123" s="731">
        <f t="shared" si="5"/>
        <v>12.799999999999971</v>
      </c>
      <c r="K123" s="731">
        <f t="shared" si="6"/>
        <v>12.89999999999997</v>
      </c>
      <c r="N123" s="503">
        <f t="shared" si="7"/>
        <v>125</v>
      </c>
      <c r="P123" s="726">
        <f t="shared" si="8"/>
        <v>126</v>
      </c>
    </row>
    <row r="124" spans="9:16" ht="13.5" customHeight="1" thickBot="1">
      <c r="I124" s="731">
        <f t="shared" si="5"/>
        <v>12.89999999999997</v>
      </c>
      <c r="K124" s="731">
        <f t="shared" si="6"/>
        <v>12.99999999999997</v>
      </c>
      <c r="N124" s="503">
        <f t="shared" si="7"/>
        <v>126</v>
      </c>
      <c r="P124" s="726">
        <f t="shared" si="8"/>
        <v>127</v>
      </c>
    </row>
    <row r="125" spans="9:16" ht="13.5" customHeight="1" thickBot="1">
      <c r="I125" s="731">
        <f t="shared" si="5"/>
        <v>12.99999999999997</v>
      </c>
      <c r="K125" s="731">
        <f t="shared" si="6"/>
        <v>13.099999999999969</v>
      </c>
      <c r="N125" s="503">
        <f t="shared" si="7"/>
        <v>127</v>
      </c>
      <c r="P125" s="726">
        <f t="shared" si="8"/>
        <v>128</v>
      </c>
    </row>
    <row r="126" spans="9:16" ht="13.5" customHeight="1" thickBot="1">
      <c r="I126" s="731">
        <f t="shared" si="5"/>
        <v>13.099999999999969</v>
      </c>
      <c r="K126" s="731">
        <f t="shared" si="6"/>
        <v>13.199999999999969</v>
      </c>
      <c r="N126" s="503">
        <f t="shared" si="7"/>
        <v>128</v>
      </c>
      <c r="P126" s="726">
        <f t="shared" si="8"/>
        <v>129</v>
      </c>
    </row>
    <row r="127" spans="9:16" ht="13.5" customHeight="1" thickBot="1">
      <c r="I127" s="731">
        <f t="shared" si="5"/>
        <v>13.199999999999969</v>
      </c>
      <c r="K127" s="731">
        <f t="shared" si="6"/>
        <v>13.299999999999969</v>
      </c>
      <c r="N127" s="503">
        <f t="shared" si="7"/>
        <v>129</v>
      </c>
      <c r="P127" s="726">
        <f t="shared" si="8"/>
        <v>130</v>
      </c>
    </row>
    <row r="128" spans="9:16" ht="13.5" customHeight="1" thickBot="1">
      <c r="I128" s="731">
        <f t="shared" si="5"/>
        <v>13.299999999999969</v>
      </c>
      <c r="K128" s="731">
        <f t="shared" si="6"/>
        <v>13.399999999999968</v>
      </c>
      <c r="N128" s="503">
        <f t="shared" si="7"/>
        <v>130</v>
      </c>
      <c r="P128" s="726">
        <f t="shared" si="8"/>
        <v>131</v>
      </c>
    </row>
    <row r="129" spans="9:16" ht="13.5" customHeight="1" thickBot="1">
      <c r="I129" s="731">
        <f t="shared" si="5"/>
        <v>13.399999999999968</v>
      </c>
      <c r="K129" s="731">
        <f t="shared" si="6"/>
        <v>13.499999999999968</v>
      </c>
      <c r="N129" s="503">
        <f t="shared" si="7"/>
        <v>131</v>
      </c>
      <c r="P129" s="726">
        <f t="shared" si="8"/>
        <v>132</v>
      </c>
    </row>
    <row r="130" spans="9:16" ht="13.5" customHeight="1" thickBot="1">
      <c r="I130" s="731">
        <f t="shared" si="5"/>
        <v>13.499999999999968</v>
      </c>
      <c r="K130" s="731">
        <f t="shared" si="6"/>
        <v>13.599999999999968</v>
      </c>
      <c r="N130" s="503">
        <f t="shared" si="7"/>
        <v>132</v>
      </c>
      <c r="P130" s="726">
        <f t="shared" si="8"/>
        <v>133</v>
      </c>
    </row>
    <row r="131" spans="9:16" ht="13.5" customHeight="1" thickBot="1">
      <c r="I131" s="731">
        <f t="shared" si="5"/>
        <v>13.599999999999968</v>
      </c>
      <c r="K131" s="731">
        <f t="shared" si="6"/>
        <v>13.699999999999967</v>
      </c>
      <c r="N131" s="503">
        <f t="shared" si="7"/>
        <v>133</v>
      </c>
      <c r="P131" s="726">
        <f t="shared" si="8"/>
        <v>134</v>
      </c>
    </row>
    <row r="132" spans="9:16" ht="13.5" customHeight="1" thickBot="1">
      <c r="I132" s="731">
        <f t="shared" si="5"/>
        <v>13.699999999999967</v>
      </c>
      <c r="K132" s="731">
        <f t="shared" si="6"/>
        <v>13.799999999999967</v>
      </c>
      <c r="N132" s="503">
        <f t="shared" si="7"/>
        <v>134</v>
      </c>
      <c r="P132" s="726">
        <f t="shared" si="8"/>
        <v>135</v>
      </c>
    </row>
    <row r="133" spans="9:16" ht="13.5" customHeight="1" thickBot="1">
      <c r="I133" s="731">
        <f t="shared" si="5"/>
        <v>13.799999999999967</v>
      </c>
      <c r="K133" s="731">
        <f t="shared" si="6"/>
        <v>13.899999999999967</v>
      </c>
      <c r="N133" s="503">
        <f t="shared" si="7"/>
        <v>135</v>
      </c>
      <c r="P133" s="726">
        <f t="shared" si="8"/>
        <v>136</v>
      </c>
    </row>
    <row r="134" spans="9:16" ht="13.5" customHeight="1" thickBot="1">
      <c r="I134" s="731">
        <f t="shared" si="5"/>
        <v>13.899999999999967</v>
      </c>
      <c r="K134" s="731">
        <f t="shared" si="6"/>
        <v>13.999999999999966</v>
      </c>
      <c r="N134" s="503">
        <f t="shared" si="7"/>
        <v>136</v>
      </c>
      <c r="P134" s="726">
        <f t="shared" si="8"/>
        <v>137</v>
      </c>
    </row>
    <row r="135" spans="9:16" ht="13.5" customHeight="1" thickBot="1">
      <c r="I135" s="731">
        <f t="shared" si="5"/>
        <v>13.999999999999966</v>
      </c>
      <c r="K135" s="731">
        <f t="shared" si="6"/>
        <v>14.099999999999966</v>
      </c>
      <c r="N135" s="503">
        <f t="shared" si="7"/>
        <v>137</v>
      </c>
      <c r="P135" s="726">
        <f t="shared" si="8"/>
        <v>138</v>
      </c>
    </row>
    <row r="136" spans="9:16" ht="13.5" customHeight="1" thickBot="1">
      <c r="I136" s="731">
        <f t="shared" si="5"/>
        <v>14.099999999999966</v>
      </c>
      <c r="K136" s="731">
        <f t="shared" si="6"/>
        <v>14.199999999999966</v>
      </c>
      <c r="N136" s="503">
        <f t="shared" si="7"/>
        <v>138</v>
      </c>
      <c r="P136" s="726">
        <f t="shared" si="8"/>
        <v>139</v>
      </c>
    </row>
    <row r="137" spans="9:16" ht="13.5" customHeight="1" thickBot="1">
      <c r="I137" s="731">
        <f t="shared" si="5"/>
        <v>14.199999999999966</v>
      </c>
      <c r="K137" s="731">
        <f t="shared" si="6"/>
        <v>14.299999999999965</v>
      </c>
      <c r="N137" s="503">
        <f t="shared" si="7"/>
        <v>139</v>
      </c>
      <c r="P137" s="726">
        <f t="shared" si="8"/>
        <v>140</v>
      </c>
    </row>
    <row r="138" spans="9:16" ht="13.5" customHeight="1" thickBot="1">
      <c r="I138" s="731">
        <f t="shared" si="5"/>
        <v>14.299999999999965</v>
      </c>
      <c r="K138" s="731">
        <f t="shared" si="6"/>
        <v>14.399999999999965</v>
      </c>
      <c r="N138" s="503">
        <f t="shared" si="7"/>
        <v>140</v>
      </c>
      <c r="P138" s="726">
        <f t="shared" si="8"/>
        <v>141</v>
      </c>
    </row>
    <row r="139" spans="9:16" ht="13.5" customHeight="1" thickBot="1">
      <c r="I139" s="731">
        <f t="shared" si="5"/>
        <v>14.399999999999965</v>
      </c>
      <c r="K139" s="731">
        <f t="shared" si="6"/>
        <v>14.499999999999964</v>
      </c>
      <c r="N139" s="503">
        <f t="shared" si="7"/>
        <v>141</v>
      </c>
      <c r="P139" s="726">
        <f t="shared" si="8"/>
        <v>142</v>
      </c>
    </row>
    <row r="140" spans="9:16" ht="13.5" customHeight="1" thickBot="1">
      <c r="I140" s="731">
        <f t="shared" si="5"/>
        <v>14.499999999999964</v>
      </c>
      <c r="K140" s="731">
        <f t="shared" si="6"/>
        <v>14.599999999999964</v>
      </c>
      <c r="N140" s="503">
        <f t="shared" si="7"/>
        <v>142</v>
      </c>
      <c r="P140" s="726">
        <f t="shared" si="8"/>
        <v>143</v>
      </c>
    </row>
    <row r="141" spans="9:16" ht="13.5" customHeight="1" thickBot="1">
      <c r="I141" s="731">
        <f t="shared" si="5"/>
        <v>14.599999999999964</v>
      </c>
      <c r="K141" s="731">
        <f t="shared" si="6"/>
        <v>14.699999999999964</v>
      </c>
      <c r="N141" s="503">
        <f t="shared" si="7"/>
        <v>143</v>
      </c>
      <c r="P141" s="726">
        <f t="shared" si="8"/>
        <v>144</v>
      </c>
    </row>
    <row r="142" spans="9:16" ht="13.5" customHeight="1" thickBot="1">
      <c r="I142" s="731">
        <f t="shared" ref="I142:I205" si="9">I141+0.1</f>
        <v>14.699999999999964</v>
      </c>
      <c r="K142" s="731">
        <f t="shared" si="6"/>
        <v>14.799999999999963</v>
      </c>
      <c r="N142" s="503">
        <f t="shared" si="7"/>
        <v>144</v>
      </c>
      <c r="P142" s="726">
        <f t="shared" si="8"/>
        <v>145</v>
      </c>
    </row>
    <row r="143" spans="9:16" ht="13.5" customHeight="1" thickBot="1">
      <c r="I143" s="731">
        <f t="shared" si="9"/>
        <v>14.799999999999963</v>
      </c>
      <c r="K143" s="731">
        <f t="shared" si="6"/>
        <v>14.899999999999963</v>
      </c>
      <c r="N143" s="503">
        <f t="shared" si="7"/>
        <v>145</v>
      </c>
      <c r="P143" s="726">
        <f t="shared" si="8"/>
        <v>146</v>
      </c>
    </row>
    <row r="144" spans="9:16" ht="13.5" customHeight="1" thickBot="1">
      <c r="I144" s="731">
        <f t="shared" si="9"/>
        <v>14.899999999999963</v>
      </c>
      <c r="K144" s="731">
        <f t="shared" si="6"/>
        <v>14.999999999999963</v>
      </c>
      <c r="N144" s="503">
        <f t="shared" si="7"/>
        <v>146</v>
      </c>
      <c r="P144" s="726">
        <f t="shared" si="8"/>
        <v>147</v>
      </c>
    </row>
    <row r="145" spans="9:16" ht="13.5" customHeight="1" thickBot="1">
      <c r="I145" s="731">
        <f t="shared" si="9"/>
        <v>14.999999999999963</v>
      </c>
      <c r="K145" s="731">
        <f t="shared" si="6"/>
        <v>15.099999999999962</v>
      </c>
      <c r="N145" s="503">
        <f t="shared" si="7"/>
        <v>147</v>
      </c>
      <c r="P145" s="726">
        <f t="shared" si="8"/>
        <v>148</v>
      </c>
    </row>
    <row r="146" spans="9:16" ht="13.5" customHeight="1" thickBot="1">
      <c r="I146" s="731">
        <f t="shared" si="9"/>
        <v>15.099999999999962</v>
      </c>
      <c r="K146" s="731">
        <f t="shared" si="6"/>
        <v>15.199999999999962</v>
      </c>
      <c r="N146" s="503">
        <f t="shared" si="7"/>
        <v>148</v>
      </c>
      <c r="P146" s="726">
        <f t="shared" si="8"/>
        <v>149</v>
      </c>
    </row>
    <row r="147" spans="9:16" ht="13.5" customHeight="1" thickBot="1">
      <c r="I147" s="731">
        <f t="shared" si="9"/>
        <v>15.199999999999962</v>
      </c>
      <c r="K147" s="731">
        <f t="shared" si="6"/>
        <v>15.299999999999962</v>
      </c>
      <c r="N147" s="503">
        <f t="shared" si="7"/>
        <v>149</v>
      </c>
      <c r="P147" s="726">
        <f t="shared" si="8"/>
        <v>150</v>
      </c>
    </row>
    <row r="148" spans="9:16" ht="13.5" customHeight="1" thickBot="1">
      <c r="I148" s="731">
        <f t="shared" si="9"/>
        <v>15.299999999999962</v>
      </c>
      <c r="K148" s="731">
        <f t="shared" si="6"/>
        <v>15.399999999999961</v>
      </c>
      <c r="N148" s="503">
        <f t="shared" si="7"/>
        <v>150</v>
      </c>
      <c r="P148" s="726">
        <f t="shared" si="8"/>
        <v>151</v>
      </c>
    </row>
    <row r="149" spans="9:16" ht="13.5" customHeight="1" thickBot="1">
      <c r="I149" s="731">
        <f t="shared" si="9"/>
        <v>15.399999999999961</v>
      </c>
      <c r="K149" s="731">
        <f t="shared" si="6"/>
        <v>15.499999999999961</v>
      </c>
      <c r="N149" s="503">
        <f t="shared" si="7"/>
        <v>151</v>
      </c>
      <c r="P149" s="726">
        <f t="shared" si="8"/>
        <v>152</v>
      </c>
    </row>
    <row r="150" spans="9:16" ht="13.5" customHeight="1" thickBot="1">
      <c r="I150" s="731">
        <f t="shared" si="9"/>
        <v>15.499999999999961</v>
      </c>
      <c r="K150" s="731">
        <f t="shared" si="6"/>
        <v>15.599999999999961</v>
      </c>
      <c r="N150" s="503">
        <f t="shared" si="7"/>
        <v>152</v>
      </c>
      <c r="P150" s="726">
        <f t="shared" si="8"/>
        <v>153</v>
      </c>
    </row>
    <row r="151" spans="9:16" ht="13.5" customHeight="1" thickBot="1">
      <c r="I151" s="731">
        <f t="shared" si="9"/>
        <v>15.599999999999961</v>
      </c>
      <c r="K151" s="731">
        <f t="shared" si="6"/>
        <v>15.69999999999996</v>
      </c>
      <c r="N151" s="503">
        <f t="shared" si="7"/>
        <v>153</v>
      </c>
      <c r="P151" s="726">
        <f t="shared" si="8"/>
        <v>154</v>
      </c>
    </row>
    <row r="152" spans="9:16" ht="13.5" customHeight="1" thickBot="1">
      <c r="I152" s="731">
        <f t="shared" si="9"/>
        <v>15.69999999999996</v>
      </c>
      <c r="K152" s="731">
        <f t="shared" si="6"/>
        <v>15.79999999999996</v>
      </c>
      <c r="N152" s="503">
        <f t="shared" si="7"/>
        <v>154</v>
      </c>
      <c r="P152" s="726">
        <f t="shared" si="8"/>
        <v>155</v>
      </c>
    </row>
    <row r="153" spans="9:16" ht="13.5" customHeight="1" thickBot="1">
      <c r="I153" s="731">
        <f t="shared" si="9"/>
        <v>15.79999999999996</v>
      </c>
      <c r="K153" s="731">
        <f t="shared" si="6"/>
        <v>15.899999999999959</v>
      </c>
      <c r="N153" s="503">
        <f t="shared" si="7"/>
        <v>155</v>
      </c>
      <c r="P153" s="726">
        <f t="shared" si="8"/>
        <v>156</v>
      </c>
    </row>
    <row r="154" spans="9:16" ht="13.5" customHeight="1" thickBot="1">
      <c r="I154" s="731">
        <f t="shared" si="9"/>
        <v>15.899999999999959</v>
      </c>
      <c r="K154" s="731">
        <f t="shared" si="6"/>
        <v>15.999999999999959</v>
      </c>
      <c r="N154" s="503">
        <f t="shared" si="7"/>
        <v>156</v>
      </c>
      <c r="P154" s="726">
        <f t="shared" si="8"/>
        <v>157</v>
      </c>
    </row>
    <row r="155" spans="9:16" ht="13.5" customHeight="1" thickBot="1">
      <c r="I155" s="731">
        <f t="shared" si="9"/>
        <v>15.999999999999959</v>
      </c>
      <c r="K155" s="731">
        <f t="shared" ref="K155:K218" si="10">K154+0.1</f>
        <v>16.099999999999959</v>
      </c>
      <c r="N155" s="503">
        <f t="shared" si="7"/>
        <v>157</v>
      </c>
      <c r="P155" s="726">
        <f t="shared" si="8"/>
        <v>158</v>
      </c>
    </row>
    <row r="156" spans="9:16" ht="13.5" customHeight="1" thickBot="1">
      <c r="I156" s="731">
        <f t="shared" si="9"/>
        <v>16.099999999999959</v>
      </c>
      <c r="K156" s="731">
        <f t="shared" si="10"/>
        <v>16.19999999999996</v>
      </c>
      <c r="N156" s="503">
        <f t="shared" si="7"/>
        <v>158</v>
      </c>
      <c r="P156" s="726">
        <f t="shared" si="8"/>
        <v>159</v>
      </c>
    </row>
    <row r="157" spans="9:16" ht="13.5" customHeight="1" thickBot="1">
      <c r="I157" s="731">
        <f t="shared" si="9"/>
        <v>16.19999999999996</v>
      </c>
      <c r="K157" s="731">
        <f t="shared" si="10"/>
        <v>16.299999999999962</v>
      </c>
      <c r="N157" s="503">
        <f t="shared" si="7"/>
        <v>159</v>
      </c>
      <c r="P157" s="726">
        <f t="shared" si="8"/>
        <v>160</v>
      </c>
    </row>
    <row r="158" spans="9:16" ht="13.5" customHeight="1" thickBot="1">
      <c r="I158" s="731">
        <f t="shared" si="9"/>
        <v>16.299999999999962</v>
      </c>
      <c r="K158" s="731">
        <f t="shared" si="10"/>
        <v>16.399999999999963</v>
      </c>
      <c r="N158" s="503">
        <f t="shared" si="7"/>
        <v>160</v>
      </c>
      <c r="P158" s="726">
        <f t="shared" si="8"/>
        <v>161</v>
      </c>
    </row>
    <row r="159" spans="9:16" ht="13.5" customHeight="1" thickBot="1">
      <c r="I159" s="731">
        <f t="shared" si="9"/>
        <v>16.399999999999963</v>
      </c>
      <c r="K159" s="731">
        <f t="shared" si="10"/>
        <v>16.499999999999964</v>
      </c>
      <c r="N159" s="503">
        <f t="shared" si="7"/>
        <v>161</v>
      </c>
      <c r="P159" s="726">
        <f t="shared" si="8"/>
        <v>162</v>
      </c>
    </row>
    <row r="160" spans="9:16" ht="13.5" customHeight="1" thickBot="1">
      <c r="I160" s="731">
        <f t="shared" si="9"/>
        <v>16.499999999999964</v>
      </c>
      <c r="K160" s="731">
        <f t="shared" si="10"/>
        <v>16.599999999999966</v>
      </c>
      <c r="N160" s="503">
        <f t="shared" si="7"/>
        <v>162</v>
      </c>
      <c r="P160" s="726">
        <f t="shared" si="8"/>
        <v>163</v>
      </c>
    </row>
    <row r="161" spans="9:16" ht="13.5" customHeight="1" thickBot="1">
      <c r="I161" s="731">
        <f t="shared" si="9"/>
        <v>16.599999999999966</v>
      </c>
      <c r="K161" s="731">
        <f t="shared" si="10"/>
        <v>16.699999999999967</v>
      </c>
      <c r="N161" s="503">
        <f t="shared" si="7"/>
        <v>163</v>
      </c>
      <c r="P161" s="726">
        <f t="shared" si="8"/>
        <v>164</v>
      </c>
    </row>
    <row r="162" spans="9:16" ht="13.5" customHeight="1" thickBot="1">
      <c r="I162" s="731">
        <f t="shared" si="9"/>
        <v>16.699999999999967</v>
      </c>
      <c r="K162" s="731">
        <f t="shared" si="10"/>
        <v>16.799999999999969</v>
      </c>
      <c r="N162" s="503">
        <f t="shared" si="7"/>
        <v>164</v>
      </c>
      <c r="P162" s="726">
        <f t="shared" si="8"/>
        <v>165</v>
      </c>
    </row>
    <row r="163" spans="9:16" ht="13.5" customHeight="1" thickBot="1">
      <c r="I163" s="731">
        <f t="shared" si="9"/>
        <v>16.799999999999969</v>
      </c>
      <c r="K163" s="731">
        <f t="shared" si="10"/>
        <v>16.89999999999997</v>
      </c>
      <c r="N163" s="503">
        <f t="shared" ref="N163:N226" si="11">N162+1</f>
        <v>165</v>
      </c>
      <c r="P163" s="726">
        <f t="shared" ref="P163:P226" si="12">P162+1</f>
        <v>166</v>
      </c>
    </row>
    <row r="164" spans="9:16" ht="13.5" customHeight="1" thickBot="1">
      <c r="I164" s="731">
        <f t="shared" si="9"/>
        <v>16.89999999999997</v>
      </c>
      <c r="K164" s="731">
        <f t="shared" si="10"/>
        <v>16.999999999999972</v>
      </c>
      <c r="N164" s="503">
        <f t="shared" si="11"/>
        <v>166</v>
      </c>
      <c r="P164" s="726">
        <f t="shared" si="12"/>
        <v>167</v>
      </c>
    </row>
    <row r="165" spans="9:16" ht="13.5" customHeight="1" thickBot="1">
      <c r="I165" s="731">
        <f t="shared" si="9"/>
        <v>16.999999999999972</v>
      </c>
      <c r="K165" s="731">
        <f t="shared" si="10"/>
        <v>17.099999999999973</v>
      </c>
      <c r="N165" s="503">
        <f t="shared" si="11"/>
        <v>167</v>
      </c>
      <c r="P165" s="726">
        <f t="shared" si="12"/>
        <v>168</v>
      </c>
    </row>
    <row r="166" spans="9:16" ht="13.5" customHeight="1" thickBot="1">
      <c r="I166" s="731">
        <f t="shared" si="9"/>
        <v>17.099999999999973</v>
      </c>
      <c r="K166" s="731">
        <f t="shared" si="10"/>
        <v>17.199999999999974</v>
      </c>
      <c r="N166" s="503">
        <f t="shared" si="11"/>
        <v>168</v>
      </c>
      <c r="P166" s="726">
        <f t="shared" si="12"/>
        <v>169</v>
      </c>
    </row>
    <row r="167" spans="9:16" ht="13.5" customHeight="1" thickBot="1">
      <c r="I167" s="731">
        <f t="shared" si="9"/>
        <v>17.199999999999974</v>
      </c>
      <c r="K167" s="731">
        <f t="shared" si="10"/>
        <v>17.299999999999976</v>
      </c>
      <c r="N167" s="503">
        <f t="shared" si="11"/>
        <v>169</v>
      </c>
      <c r="P167" s="726">
        <f t="shared" si="12"/>
        <v>170</v>
      </c>
    </row>
    <row r="168" spans="9:16" ht="13.5" customHeight="1" thickBot="1">
      <c r="I168" s="731">
        <f t="shared" si="9"/>
        <v>17.299999999999976</v>
      </c>
      <c r="K168" s="731">
        <f t="shared" si="10"/>
        <v>17.399999999999977</v>
      </c>
      <c r="N168" s="503">
        <f t="shared" si="11"/>
        <v>170</v>
      </c>
      <c r="P168" s="726">
        <f t="shared" si="12"/>
        <v>171</v>
      </c>
    </row>
    <row r="169" spans="9:16" ht="13.5" customHeight="1" thickBot="1">
      <c r="I169" s="731">
        <f t="shared" si="9"/>
        <v>17.399999999999977</v>
      </c>
      <c r="K169" s="731">
        <f t="shared" si="10"/>
        <v>17.499999999999979</v>
      </c>
      <c r="N169" s="503">
        <f t="shared" si="11"/>
        <v>171</v>
      </c>
      <c r="P169" s="726">
        <f t="shared" si="12"/>
        <v>172</v>
      </c>
    </row>
    <row r="170" spans="9:16" ht="13.5" customHeight="1" thickBot="1">
      <c r="I170" s="731">
        <f t="shared" si="9"/>
        <v>17.499999999999979</v>
      </c>
      <c r="K170" s="731">
        <f t="shared" si="10"/>
        <v>17.59999999999998</v>
      </c>
      <c r="N170" s="503">
        <f t="shared" si="11"/>
        <v>172</v>
      </c>
      <c r="P170" s="726">
        <f t="shared" si="12"/>
        <v>173</v>
      </c>
    </row>
    <row r="171" spans="9:16" ht="13.5" customHeight="1" thickBot="1">
      <c r="I171" s="731">
        <f t="shared" si="9"/>
        <v>17.59999999999998</v>
      </c>
      <c r="K171" s="731">
        <f t="shared" si="10"/>
        <v>17.699999999999982</v>
      </c>
      <c r="N171" s="503">
        <f t="shared" si="11"/>
        <v>173</v>
      </c>
      <c r="P171" s="726">
        <f t="shared" si="12"/>
        <v>174</v>
      </c>
    </row>
    <row r="172" spans="9:16" ht="13.5" customHeight="1" thickBot="1">
      <c r="I172" s="731">
        <f t="shared" si="9"/>
        <v>17.699999999999982</v>
      </c>
      <c r="K172" s="731">
        <f t="shared" si="10"/>
        <v>17.799999999999983</v>
      </c>
      <c r="N172" s="503">
        <f t="shared" si="11"/>
        <v>174</v>
      </c>
      <c r="P172" s="726">
        <f t="shared" si="12"/>
        <v>175</v>
      </c>
    </row>
    <row r="173" spans="9:16" ht="13.5" customHeight="1" thickBot="1">
      <c r="I173" s="731">
        <f t="shared" si="9"/>
        <v>17.799999999999983</v>
      </c>
      <c r="K173" s="731">
        <f t="shared" si="10"/>
        <v>17.899999999999984</v>
      </c>
      <c r="N173" s="503">
        <f t="shared" si="11"/>
        <v>175</v>
      </c>
      <c r="P173" s="726">
        <f t="shared" si="12"/>
        <v>176</v>
      </c>
    </row>
    <row r="174" spans="9:16" ht="13.5" customHeight="1" thickBot="1">
      <c r="I174" s="731">
        <f t="shared" si="9"/>
        <v>17.899999999999984</v>
      </c>
      <c r="K174" s="731">
        <f t="shared" si="10"/>
        <v>17.999999999999986</v>
      </c>
      <c r="N174" s="503">
        <f t="shared" si="11"/>
        <v>176</v>
      </c>
      <c r="P174" s="726">
        <f t="shared" si="12"/>
        <v>177</v>
      </c>
    </row>
    <row r="175" spans="9:16" ht="13.5" customHeight="1" thickBot="1">
      <c r="I175" s="731">
        <f t="shared" si="9"/>
        <v>17.999999999999986</v>
      </c>
      <c r="K175" s="731">
        <f t="shared" si="10"/>
        <v>18.099999999999987</v>
      </c>
      <c r="N175" s="503">
        <f t="shared" si="11"/>
        <v>177</v>
      </c>
      <c r="P175" s="726">
        <f t="shared" si="12"/>
        <v>178</v>
      </c>
    </row>
    <row r="176" spans="9:16" ht="13.5" customHeight="1" thickBot="1">
      <c r="I176" s="731">
        <f t="shared" si="9"/>
        <v>18.099999999999987</v>
      </c>
      <c r="K176" s="731">
        <f t="shared" si="10"/>
        <v>18.199999999999989</v>
      </c>
      <c r="N176" s="503">
        <f t="shared" si="11"/>
        <v>178</v>
      </c>
      <c r="P176" s="726">
        <f t="shared" si="12"/>
        <v>179</v>
      </c>
    </row>
    <row r="177" spans="9:16" ht="13.5" customHeight="1" thickBot="1">
      <c r="I177" s="731">
        <f t="shared" si="9"/>
        <v>18.199999999999989</v>
      </c>
      <c r="K177" s="731">
        <f t="shared" si="10"/>
        <v>18.29999999999999</v>
      </c>
      <c r="N177" s="503">
        <f t="shared" si="11"/>
        <v>179</v>
      </c>
      <c r="P177" s="726">
        <f t="shared" si="12"/>
        <v>180</v>
      </c>
    </row>
    <row r="178" spans="9:16" ht="13.5" customHeight="1" thickBot="1">
      <c r="I178" s="731">
        <f t="shared" si="9"/>
        <v>18.29999999999999</v>
      </c>
      <c r="K178" s="731">
        <f t="shared" si="10"/>
        <v>18.399999999999991</v>
      </c>
      <c r="N178" s="503">
        <f t="shared" si="11"/>
        <v>180</v>
      </c>
      <c r="P178" s="726">
        <f t="shared" si="12"/>
        <v>181</v>
      </c>
    </row>
    <row r="179" spans="9:16" ht="13.5" customHeight="1" thickBot="1">
      <c r="I179" s="731">
        <f t="shared" si="9"/>
        <v>18.399999999999991</v>
      </c>
      <c r="K179" s="731">
        <f t="shared" si="10"/>
        <v>18.499999999999993</v>
      </c>
      <c r="N179" s="503">
        <f t="shared" si="11"/>
        <v>181</v>
      </c>
      <c r="P179" s="726">
        <f t="shared" si="12"/>
        <v>182</v>
      </c>
    </row>
    <row r="180" spans="9:16" ht="13.5" customHeight="1" thickBot="1">
      <c r="I180" s="731">
        <f t="shared" si="9"/>
        <v>18.499999999999993</v>
      </c>
      <c r="K180" s="731">
        <f t="shared" si="10"/>
        <v>18.599999999999994</v>
      </c>
      <c r="N180" s="503">
        <f t="shared" si="11"/>
        <v>182</v>
      </c>
      <c r="P180" s="726">
        <f t="shared" si="12"/>
        <v>183</v>
      </c>
    </row>
    <row r="181" spans="9:16" ht="13.5" customHeight="1" thickBot="1">
      <c r="I181" s="731">
        <f t="shared" si="9"/>
        <v>18.599999999999994</v>
      </c>
      <c r="K181" s="731">
        <f t="shared" si="10"/>
        <v>18.699999999999996</v>
      </c>
      <c r="N181" s="503">
        <f t="shared" si="11"/>
        <v>183</v>
      </c>
      <c r="P181" s="726">
        <f t="shared" si="12"/>
        <v>184</v>
      </c>
    </row>
    <row r="182" spans="9:16" ht="13.5" customHeight="1" thickBot="1">
      <c r="I182" s="731">
        <f t="shared" si="9"/>
        <v>18.699999999999996</v>
      </c>
      <c r="K182" s="731">
        <f t="shared" si="10"/>
        <v>18.799999999999997</v>
      </c>
      <c r="N182" s="503">
        <f t="shared" si="11"/>
        <v>184</v>
      </c>
      <c r="P182" s="726">
        <f t="shared" si="12"/>
        <v>185</v>
      </c>
    </row>
    <row r="183" spans="9:16" ht="13.5" customHeight="1" thickBot="1">
      <c r="I183" s="731">
        <f t="shared" si="9"/>
        <v>18.799999999999997</v>
      </c>
      <c r="K183" s="731">
        <f t="shared" si="10"/>
        <v>18.899999999999999</v>
      </c>
      <c r="N183" s="503">
        <f t="shared" si="11"/>
        <v>185</v>
      </c>
      <c r="P183" s="726">
        <f t="shared" si="12"/>
        <v>186</v>
      </c>
    </row>
    <row r="184" spans="9:16" ht="13.5" customHeight="1" thickBot="1">
      <c r="I184" s="731">
        <f t="shared" si="9"/>
        <v>18.899999999999999</v>
      </c>
      <c r="K184" s="731">
        <f t="shared" si="10"/>
        <v>19</v>
      </c>
      <c r="N184" s="503">
        <f t="shared" si="11"/>
        <v>186</v>
      </c>
      <c r="P184" s="726">
        <f t="shared" si="12"/>
        <v>187</v>
      </c>
    </row>
    <row r="185" spans="9:16" ht="13.5" customHeight="1" thickBot="1">
      <c r="I185" s="731">
        <f t="shared" si="9"/>
        <v>19</v>
      </c>
      <c r="K185" s="731">
        <f t="shared" si="10"/>
        <v>19.100000000000001</v>
      </c>
      <c r="N185" s="503">
        <f t="shared" si="11"/>
        <v>187</v>
      </c>
      <c r="P185" s="726">
        <f t="shared" si="12"/>
        <v>188</v>
      </c>
    </row>
    <row r="186" spans="9:16" ht="13.5" customHeight="1" thickBot="1">
      <c r="I186" s="731">
        <f t="shared" si="9"/>
        <v>19.100000000000001</v>
      </c>
      <c r="K186" s="731">
        <f t="shared" si="10"/>
        <v>19.200000000000003</v>
      </c>
      <c r="N186" s="503">
        <f t="shared" si="11"/>
        <v>188</v>
      </c>
      <c r="P186" s="726">
        <f t="shared" si="12"/>
        <v>189</v>
      </c>
    </row>
    <row r="187" spans="9:16" ht="13.5" customHeight="1" thickBot="1">
      <c r="I187" s="731">
        <f t="shared" si="9"/>
        <v>19.200000000000003</v>
      </c>
      <c r="K187" s="731">
        <f t="shared" si="10"/>
        <v>19.300000000000004</v>
      </c>
      <c r="N187" s="503">
        <f t="shared" si="11"/>
        <v>189</v>
      </c>
      <c r="P187" s="726">
        <f t="shared" si="12"/>
        <v>190</v>
      </c>
    </row>
    <row r="188" spans="9:16" ht="13.5" customHeight="1" thickBot="1">
      <c r="I188" s="731">
        <f t="shared" si="9"/>
        <v>19.300000000000004</v>
      </c>
      <c r="K188" s="731">
        <f t="shared" si="10"/>
        <v>19.400000000000006</v>
      </c>
      <c r="N188" s="503">
        <f t="shared" si="11"/>
        <v>190</v>
      </c>
      <c r="P188" s="726">
        <f t="shared" si="12"/>
        <v>191</v>
      </c>
    </row>
    <row r="189" spans="9:16" ht="13.5" customHeight="1" thickBot="1">
      <c r="I189" s="731">
        <f t="shared" si="9"/>
        <v>19.400000000000006</v>
      </c>
      <c r="K189" s="731">
        <f t="shared" si="10"/>
        <v>19.500000000000007</v>
      </c>
      <c r="N189" s="503">
        <f t="shared" si="11"/>
        <v>191</v>
      </c>
      <c r="P189" s="726">
        <f t="shared" si="12"/>
        <v>192</v>
      </c>
    </row>
    <row r="190" spans="9:16" ht="13.5" customHeight="1" thickBot="1">
      <c r="I190" s="731">
        <f t="shared" si="9"/>
        <v>19.500000000000007</v>
      </c>
      <c r="K190" s="731">
        <f t="shared" si="10"/>
        <v>19.600000000000009</v>
      </c>
      <c r="N190" s="503">
        <f t="shared" si="11"/>
        <v>192</v>
      </c>
      <c r="P190" s="726">
        <f t="shared" si="12"/>
        <v>193</v>
      </c>
    </row>
    <row r="191" spans="9:16" ht="13.5" customHeight="1" thickBot="1">
      <c r="I191" s="731">
        <f t="shared" si="9"/>
        <v>19.600000000000009</v>
      </c>
      <c r="K191" s="731">
        <f t="shared" si="10"/>
        <v>19.70000000000001</v>
      </c>
      <c r="N191" s="503">
        <f t="shared" si="11"/>
        <v>193</v>
      </c>
      <c r="P191" s="726">
        <f t="shared" si="12"/>
        <v>194</v>
      </c>
    </row>
    <row r="192" spans="9:16" ht="13.5" customHeight="1" thickBot="1">
      <c r="I192" s="731">
        <f t="shared" si="9"/>
        <v>19.70000000000001</v>
      </c>
      <c r="K192" s="731">
        <f t="shared" si="10"/>
        <v>19.800000000000011</v>
      </c>
      <c r="N192" s="503">
        <f t="shared" si="11"/>
        <v>194</v>
      </c>
      <c r="P192" s="726">
        <f t="shared" si="12"/>
        <v>195</v>
      </c>
    </row>
    <row r="193" spans="9:16" ht="13.5" customHeight="1" thickBot="1">
      <c r="I193" s="731">
        <f t="shared" si="9"/>
        <v>19.800000000000011</v>
      </c>
      <c r="K193" s="731">
        <f t="shared" si="10"/>
        <v>19.900000000000013</v>
      </c>
      <c r="N193" s="503">
        <f t="shared" si="11"/>
        <v>195</v>
      </c>
      <c r="P193" s="726">
        <f t="shared" si="12"/>
        <v>196</v>
      </c>
    </row>
    <row r="194" spans="9:16" ht="13.5" customHeight="1" thickBot="1">
      <c r="I194" s="731">
        <f t="shared" si="9"/>
        <v>19.900000000000013</v>
      </c>
      <c r="K194" s="731">
        <f t="shared" si="10"/>
        <v>20.000000000000014</v>
      </c>
      <c r="N194" s="503">
        <f t="shared" si="11"/>
        <v>196</v>
      </c>
      <c r="P194" s="726">
        <f t="shared" si="12"/>
        <v>197</v>
      </c>
    </row>
    <row r="195" spans="9:16" ht="13.5" customHeight="1" thickBot="1">
      <c r="I195" s="731">
        <f t="shared" si="9"/>
        <v>20.000000000000014</v>
      </c>
      <c r="K195" s="731">
        <f t="shared" si="10"/>
        <v>20.100000000000016</v>
      </c>
      <c r="N195" s="503">
        <f t="shared" si="11"/>
        <v>197</v>
      </c>
      <c r="P195" s="726">
        <f t="shared" si="12"/>
        <v>198</v>
      </c>
    </row>
    <row r="196" spans="9:16" ht="13.5" customHeight="1" thickBot="1">
      <c r="I196" s="731">
        <f t="shared" si="9"/>
        <v>20.100000000000016</v>
      </c>
      <c r="K196" s="731">
        <f t="shared" si="10"/>
        <v>20.200000000000017</v>
      </c>
      <c r="N196" s="503">
        <f t="shared" si="11"/>
        <v>198</v>
      </c>
      <c r="P196" s="726">
        <f t="shared" si="12"/>
        <v>199</v>
      </c>
    </row>
    <row r="197" spans="9:16" ht="13.5" customHeight="1" thickBot="1">
      <c r="I197" s="731">
        <f t="shared" si="9"/>
        <v>20.200000000000017</v>
      </c>
      <c r="K197" s="731">
        <f t="shared" si="10"/>
        <v>20.300000000000018</v>
      </c>
      <c r="N197" s="503">
        <f t="shared" si="11"/>
        <v>199</v>
      </c>
      <c r="P197" s="726">
        <f t="shared" si="12"/>
        <v>200</v>
      </c>
    </row>
    <row r="198" spans="9:16" ht="13.5" customHeight="1" thickBot="1">
      <c r="I198" s="731">
        <f t="shared" si="9"/>
        <v>20.300000000000018</v>
      </c>
      <c r="K198" s="731">
        <f t="shared" si="10"/>
        <v>20.40000000000002</v>
      </c>
      <c r="N198" s="503">
        <f t="shared" si="11"/>
        <v>200</v>
      </c>
      <c r="P198" s="726">
        <f t="shared" si="12"/>
        <v>201</v>
      </c>
    </row>
    <row r="199" spans="9:16" ht="13.5" customHeight="1" thickBot="1">
      <c r="I199" s="731">
        <f t="shared" si="9"/>
        <v>20.40000000000002</v>
      </c>
      <c r="K199" s="731">
        <f t="shared" si="10"/>
        <v>20.500000000000021</v>
      </c>
      <c r="N199" s="503">
        <f t="shared" si="11"/>
        <v>201</v>
      </c>
      <c r="P199" s="726">
        <f t="shared" si="12"/>
        <v>202</v>
      </c>
    </row>
    <row r="200" spans="9:16" ht="13.5" customHeight="1" thickBot="1">
      <c r="I200" s="731">
        <f t="shared" si="9"/>
        <v>20.500000000000021</v>
      </c>
      <c r="K200" s="731">
        <f t="shared" si="10"/>
        <v>20.600000000000023</v>
      </c>
      <c r="N200" s="503">
        <f t="shared" si="11"/>
        <v>202</v>
      </c>
      <c r="P200" s="726">
        <f t="shared" si="12"/>
        <v>203</v>
      </c>
    </row>
    <row r="201" spans="9:16" ht="13.5" customHeight="1" thickBot="1">
      <c r="I201" s="731">
        <f t="shared" si="9"/>
        <v>20.600000000000023</v>
      </c>
      <c r="K201" s="731">
        <f t="shared" si="10"/>
        <v>20.700000000000024</v>
      </c>
      <c r="N201" s="503">
        <f t="shared" si="11"/>
        <v>203</v>
      </c>
      <c r="P201" s="726">
        <f t="shared" si="12"/>
        <v>204</v>
      </c>
    </row>
    <row r="202" spans="9:16" ht="13.5" customHeight="1" thickBot="1">
      <c r="I202" s="731">
        <f t="shared" si="9"/>
        <v>20.700000000000024</v>
      </c>
      <c r="K202" s="731">
        <f t="shared" si="10"/>
        <v>20.800000000000026</v>
      </c>
      <c r="N202" s="503">
        <f t="shared" si="11"/>
        <v>204</v>
      </c>
      <c r="P202" s="726">
        <f t="shared" si="12"/>
        <v>205</v>
      </c>
    </row>
    <row r="203" spans="9:16" ht="13.5" customHeight="1" thickBot="1">
      <c r="I203" s="731">
        <f t="shared" si="9"/>
        <v>20.800000000000026</v>
      </c>
      <c r="K203" s="731">
        <f t="shared" si="10"/>
        <v>20.900000000000027</v>
      </c>
      <c r="N203" s="503">
        <f t="shared" si="11"/>
        <v>205</v>
      </c>
      <c r="P203" s="726">
        <f t="shared" si="12"/>
        <v>206</v>
      </c>
    </row>
    <row r="204" spans="9:16" ht="13.5" customHeight="1" thickBot="1">
      <c r="I204" s="731">
        <f t="shared" si="9"/>
        <v>20.900000000000027</v>
      </c>
      <c r="K204" s="731">
        <f t="shared" si="10"/>
        <v>21.000000000000028</v>
      </c>
      <c r="N204" s="503">
        <f t="shared" si="11"/>
        <v>206</v>
      </c>
      <c r="P204" s="726">
        <f t="shared" si="12"/>
        <v>207</v>
      </c>
    </row>
    <row r="205" spans="9:16" ht="13.5" customHeight="1" thickBot="1">
      <c r="I205" s="731">
        <f t="shared" si="9"/>
        <v>21.000000000000028</v>
      </c>
      <c r="K205" s="731">
        <f t="shared" si="10"/>
        <v>21.10000000000003</v>
      </c>
      <c r="N205" s="503">
        <f t="shared" si="11"/>
        <v>207</v>
      </c>
      <c r="P205" s="726">
        <f t="shared" si="12"/>
        <v>208</v>
      </c>
    </row>
    <row r="206" spans="9:16" ht="13.5" customHeight="1" thickBot="1">
      <c r="I206" s="731">
        <f t="shared" ref="I206:I269" si="13">I205+0.1</f>
        <v>21.10000000000003</v>
      </c>
      <c r="K206" s="731">
        <f t="shared" si="10"/>
        <v>21.200000000000031</v>
      </c>
      <c r="N206" s="503">
        <f t="shared" si="11"/>
        <v>208</v>
      </c>
      <c r="P206" s="726">
        <f t="shared" si="12"/>
        <v>209</v>
      </c>
    </row>
    <row r="207" spans="9:16" ht="13.5" customHeight="1" thickBot="1">
      <c r="I207" s="731">
        <f t="shared" si="13"/>
        <v>21.200000000000031</v>
      </c>
      <c r="K207" s="731">
        <f t="shared" si="10"/>
        <v>21.300000000000033</v>
      </c>
      <c r="N207" s="503">
        <f t="shared" si="11"/>
        <v>209</v>
      </c>
      <c r="P207" s="726">
        <f t="shared" si="12"/>
        <v>210</v>
      </c>
    </row>
    <row r="208" spans="9:16" ht="13.5" customHeight="1" thickBot="1">
      <c r="I208" s="731">
        <f t="shared" si="13"/>
        <v>21.300000000000033</v>
      </c>
      <c r="K208" s="731">
        <f t="shared" si="10"/>
        <v>21.400000000000034</v>
      </c>
      <c r="N208" s="503">
        <f t="shared" si="11"/>
        <v>210</v>
      </c>
      <c r="P208" s="726">
        <f t="shared" si="12"/>
        <v>211</v>
      </c>
    </row>
    <row r="209" spans="9:16" ht="13.5" customHeight="1" thickBot="1">
      <c r="I209" s="731">
        <f t="shared" si="13"/>
        <v>21.400000000000034</v>
      </c>
      <c r="K209" s="731">
        <f t="shared" si="10"/>
        <v>21.500000000000036</v>
      </c>
      <c r="N209" s="503">
        <f t="shared" si="11"/>
        <v>211</v>
      </c>
      <c r="P209" s="726">
        <f t="shared" si="12"/>
        <v>212</v>
      </c>
    </row>
    <row r="210" spans="9:16" ht="13.5" customHeight="1" thickBot="1">
      <c r="I210" s="731">
        <f t="shared" si="13"/>
        <v>21.500000000000036</v>
      </c>
      <c r="K210" s="731">
        <f t="shared" si="10"/>
        <v>21.600000000000037</v>
      </c>
      <c r="N210" s="503">
        <f t="shared" si="11"/>
        <v>212</v>
      </c>
      <c r="P210" s="726">
        <f t="shared" si="12"/>
        <v>213</v>
      </c>
    </row>
    <row r="211" spans="9:16" ht="13.5" customHeight="1" thickBot="1">
      <c r="I211" s="731">
        <f t="shared" si="13"/>
        <v>21.600000000000037</v>
      </c>
      <c r="K211" s="731">
        <f t="shared" si="10"/>
        <v>21.700000000000038</v>
      </c>
      <c r="N211" s="503">
        <f t="shared" si="11"/>
        <v>213</v>
      </c>
      <c r="P211" s="726">
        <f t="shared" si="12"/>
        <v>214</v>
      </c>
    </row>
    <row r="212" spans="9:16" ht="13.5" customHeight="1" thickBot="1">
      <c r="I212" s="731">
        <f t="shared" si="13"/>
        <v>21.700000000000038</v>
      </c>
      <c r="K212" s="731">
        <f t="shared" si="10"/>
        <v>21.80000000000004</v>
      </c>
      <c r="N212" s="503">
        <f t="shared" si="11"/>
        <v>214</v>
      </c>
      <c r="P212" s="726">
        <f t="shared" si="12"/>
        <v>215</v>
      </c>
    </row>
    <row r="213" spans="9:16" ht="13.5" customHeight="1" thickBot="1">
      <c r="I213" s="731">
        <f t="shared" si="13"/>
        <v>21.80000000000004</v>
      </c>
      <c r="K213" s="731">
        <f t="shared" si="10"/>
        <v>21.900000000000041</v>
      </c>
      <c r="N213" s="503">
        <f t="shared" si="11"/>
        <v>215</v>
      </c>
      <c r="P213" s="726">
        <f t="shared" si="12"/>
        <v>216</v>
      </c>
    </row>
    <row r="214" spans="9:16" ht="13.5" customHeight="1" thickBot="1">
      <c r="I214" s="731">
        <f t="shared" si="13"/>
        <v>21.900000000000041</v>
      </c>
      <c r="K214" s="731">
        <f t="shared" si="10"/>
        <v>22.000000000000043</v>
      </c>
      <c r="N214" s="503">
        <f t="shared" si="11"/>
        <v>216</v>
      </c>
      <c r="P214" s="726">
        <f t="shared" si="12"/>
        <v>217</v>
      </c>
    </row>
    <row r="215" spans="9:16" ht="13.5" customHeight="1" thickBot="1">
      <c r="I215" s="731">
        <f t="shared" si="13"/>
        <v>22.000000000000043</v>
      </c>
      <c r="K215" s="731">
        <f t="shared" si="10"/>
        <v>22.100000000000044</v>
      </c>
      <c r="N215" s="503">
        <f t="shared" si="11"/>
        <v>217</v>
      </c>
      <c r="P215" s="726">
        <f t="shared" si="12"/>
        <v>218</v>
      </c>
    </row>
    <row r="216" spans="9:16" ht="13.5" customHeight="1" thickBot="1">
      <c r="I216" s="731">
        <f t="shared" si="13"/>
        <v>22.100000000000044</v>
      </c>
      <c r="K216" s="731">
        <f t="shared" si="10"/>
        <v>22.200000000000045</v>
      </c>
      <c r="N216" s="503">
        <f t="shared" si="11"/>
        <v>218</v>
      </c>
      <c r="P216" s="726">
        <f t="shared" si="12"/>
        <v>219</v>
      </c>
    </row>
    <row r="217" spans="9:16" ht="13.5" customHeight="1" thickBot="1">
      <c r="I217" s="731">
        <f t="shared" si="13"/>
        <v>22.200000000000045</v>
      </c>
      <c r="K217" s="731">
        <f t="shared" si="10"/>
        <v>22.300000000000047</v>
      </c>
      <c r="N217" s="503">
        <f t="shared" si="11"/>
        <v>219</v>
      </c>
      <c r="P217" s="726">
        <f t="shared" si="12"/>
        <v>220</v>
      </c>
    </row>
    <row r="218" spans="9:16" ht="13.5" customHeight="1" thickBot="1">
      <c r="I218" s="731">
        <f t="shared" si="13"/>
        <v>22.300000000000047</v>
      </c>
      <c r="K218" s="731">
        <f t="shared" si="10"/>
        <v>22.400000000000048</v>
      </c>
      <c r="N218" s="503">
        <f t="shared" si="11"/>
        <v>220</v>
      </c>
      <c r="P218" s="726">
        <f t="shared" si="12"/>
        <v>221</v>
      </c>
    </row>
    <row r="219" spans="9:16" ht="13.5" customHeight="1" thickBot="1">
      <c r="I219" s="731">
        <f t="shared" si="13"/>
        <v>22.400000000000048</v>
      </c>
      <c r="K219" s="731">
        <f t="shared" ref="K219:K282" si="14">K218+0.1</f>
        <v>22.50000000000005</v>
      </c>
      <c r="N219" s="503">
        <f t="shared" si="11"/>
        <v>221</v>
      </c>
      <c r="P219" s="726">
        <f t="shared" si="12"/>
        <v>222</v>
      </c>
    </row>
    <row r="220" spans="9:16" ht="13.5" customHeight="1" thickBot="1">
      <c r="I220" s="731">
        <f t="shared" si="13"/>
        <v>22.50000000000005</v>
      </c>
      <c r="K220" s="731">
        <f t="shared" si="14"/>
        <v>22.600000000000051</v>
      </c>
      <c r="N220" s="503">
        <f t="shared" si="11"/>
        <v>222</v>
      </c>
      <c r="P220" s="726">
        <f t="shared" si="12"/>
        <v>223</v>
      </c>
    </row>
    <row r="221" spans="9:16" ht="13.5" customHeight="1" thickBot="1">
      <c r="I221" s="731">
        <f t="shared" si="13"/>
        <v>22.600000000000051</v>
      </c>
      <c r="K221" s="731">
        <f t="shared" si="14"/>
        <v>22.700000000000053</v>
      </c>
      <c r="N221" s="503">
        <f t="shared" si="11"/>
        <v>223</v>
      </c>
      <c r="P221" s="726">
        <f t="shared" si="12"/>
        <v>224</v>
      </c>
    </row>
    <row r="222" spans="9:16" ht="13.5" customHeight="1" thickBot="1">
      <c r="I222" s="731">
        <f t="shared" si="13"/>
        <v>22.700000000000053</v>
      </c>
      <c r="K222" s="731">
        <f t="shared" si="14"/>
        <v>22.800000000000054</v>
      </c>
      <c r="N222" s="503">
        <f t="shared" si="11"/>
        <v>224</v>
      </c>
      <c r="P222" s="726">
        <f t="shared" si="12"/>
        <v>225</v>
      </c>
    </row>
    <row r="223" spans="9:16" ht="13.5" customHeight="1" thickBot="1">
      <c r="I223" s="731">
        <f t="shared" si="13"/>
        <v>22.800000000000054</v>
      </c>
      <c r="K223" s="731">
        <f t="shared" si="14"/>
        <v>22.900000000000055</v>
      </c>
      <c r="N223" s="503">
        <f t="shared" si="11"/>
        <v>225</v>
      </c>
      <c r="P223" s="726">
        <f t="shared" si="12"/>
        <v>226</v>
      </c>
    </row>
    <row r="224" spans="9:16" ht="13.5" customHeight="1" thickBot="1">
      <c r="I224" s="731">
        <f t="shared" si="13"/>
        <v>22.900000000000055</v>
      </c>
      <c r="K224" s="731">
        <f t="shared" si="14"/>
        <v>23.000000000000057</v>
      </c>
      <c r="N224" s="503">
        <f t="shared" si="11"/>
        <v>226</v>
      </c>
      <c r="P224" s="726">
        <f t="shared" si="12"/>
        <v>227</v>
      </c>
    </row>
    <row r="225" spans="9:16" ht="13.5" customHeight="1" thickBot="1">
      <c r="I225" s="731">
        <f t="shared" si="13"/>
        <v>23.000000000000057</v>
      </c>
      <c r="K225" s="731">
        <f t="shared" si="14"/>
        <v>23.100000000000058</v>
      </c>
      <c r="N225" s="503">
        <f t="shared" si="11"/>
        <v>227</v>
      </c>
      <c r="P225" s="726">
        <f t="shared" si="12"/>
        <v>228</v>
      </c>
    </row>
    <row r="226" spans="9:16" ht="13.5" customHeight="1" thickBot="1">
      <c r="I226" s="731">
        <f t="shared" si="13"/>
        <v>23.100000000000058</v>
      </c>
      <c r="K226" s="731">
        <f t="shared" si="14"/>
        <v>23.20000000000006</v>
      </c>
      <c r="N226" s="503">
        <f t="shared" si="11"/>
        <v>228</v>
      </c>
      <c r="P226" s="726">
        <f t="shared" si="12"/>
        <v>229</v>
      </c>
    </row>
    <row r="227" spans="9:16" ht="13.5" customHeight="1" thickBot="1">
      <c r="I227" s="731">
        <f t="shared" si="13"/>
        <v>23.20000000000006</v>
      </c>
      <c r="K227" s="731">
        <f t="shared" si="14"/>
        <v>23.300000000000061</v>
      </c>
      <c r="N227" s="503">
        <f t="shared" ref="N227:N290" si="15">N226+1</f>
        <v>229</v>
      </c>
      <c r="P227" s="726">
        <f t="shared" ref="P227:P290" si="16">P226+1</f>
        <v>230</v>
      </c>
    </row>
    <row r="228" spans="9:16" ht="13.5" customHeight="1" thickBot="1">
      <c r="I228" s="731">
        <f t="shared" si="13"/>
        <v>23.300000000000061</v>
      </c>
      <c r="K228" s="731">
        <f t="shared" si="14"/>
        <v>23.400000000000063</v>
      </c>
      <c r="N228" s="503">
        <f t="shared" si="15"/>
        <v>230</v>
      </c>
      <c r="P228" s="726">
        <f t="shared" si="16"/>
        <v>231</v>
      </c>
    </row>
    <row r="229" spans="9:16" ht="13.5" customHeight="1" thickBot="1">
      <c r="I229" s="731">
        <f t="shared" si="13"/>
        <v>23.400000000000063</v>
      </c>
      <c r="K229" s="731">
        <f t="shared" si="14"/>
        <v>23.500000000000064</v>
      </c>
      <c r="N229" s="503">
        <f t="shared" si="15"/>
        <v>231</v>
      </c>
      <c r="P229" s="726">
        <f t="shared" si="16"/>
        <v>232</v>
      </c>
    </row>
    <row r="230" spans="9:16" ht="13.5" customHeight="1" thickBot="1">
      <c r="I230" s="731">
        <f t="shared" si="13"/>
        <v>23.500000000000064</v>
      </c>
      <c r="K230" s="731">
        <f t="shared" si="14"/>
        <v>23.600000000000065</v>
      </c>
      <c r="N230" s="503">
        <f t="shared" si="15"/>
        <v>232</v>
      </c>
      <c r="P230" s="726">
        <f t="shared" si="16"/>
        <v>233</v>
      </c>
    </row>
    <row r="231" spans="9:16" ht="13.5" customHeight="1" thickBot="1">
      <c r="I231" s="731">
        <f t="shared" si="13"/>
        <v>23.600000000000065</v>
      </c>
      <c r="K231" s="731">
        <f t="shared" si="14"/>
        <v>23.700000000000067</v>
      </c>
      <c r="N231" s="503">
        <f t="shared" si="15"/>
        <v>233</v>
      </c>
      <c r="P231" s="726">
        <f t="shared" si="16"/>
        <v>234</v>
      </c>
    </row>
    <row r="232" spans="9:16" ht="13.5" customHeight="1" thickBot="1">
      <c r="I232" s="731">
        <f t="shared" si="13"/>
        <v>23.700000000000067</v>
      </c>
      <c r="K232" s="731">
        <f t="shared" si="14"/>
        <v>23.800000000000068</v>
      </c>
      <c r="N232" s="503">
        <f t="shared" si="15"/>
        <v>234</v>
      </c>
      <c r="P232" s="726">
        <f t="shared" si="16"/>
        <v>235</v>
      </c>
    </row>
    <row r="233" spans="9:16" ht="13.5" customHeight="1" thickBot="1">
      <c r="I233" s="731">
        <f t="shared" si="13"/>
        <v>23.800000000000068</v>
      </c>
      <c r="K233" s="731">
        <f t="shared" si="14"/>
        <v>23.90000000000007</v>
      </c>
      <c r="N233" s="503">
        <f t="shared" si="15"/>
        <v>235</v>
      </c>
      <c r="P233" s="726">
        <f t="shared" si="16"/>
        <v>236</v>
      </c>
    </row>
    <row r="234" spans="9:16" ht="13.5" customHeight="1" thickBot="1">
      <c r="I234" s="731">
        <f t="shared" si="13"/>
        <v>23.90000000000007</v>
      </c>
      <c r="K234" s="731">
        <f t="shared" si="14"/>
        <v>24.000000000000071</v>
      </c>
      <c r="N234" s="503">
        <f t="shared" si="15"/>
        <v>236</v>
      </c>
      <c r="P234" s="726">
        <f t="shared" si="16"/>
        <v>237</v>
      </c>
    </row>
    <row r="235" spans="9:16" ht="13.5" customHeight="1" thickBot="1">
      <c r="I235" s="731">
        <f t="shared" si="13"/>
        <v>24.000000000000071</v>
      </c>
      <c r="K235" s="731">
        <f t="shared" si="14"/>
        <v>24.100000000000072</v>
      </c>
      <c r="N235" s="503">
        <f t="shared" si="15"/>
        <v>237</v>
      </c>
      <c r="P235" s="726">
        <f t="shared" si="16"/>
        <v>238</v>
      </c>
    </row>
    <row r="236" spans="9:16" ht="13.5" customHeight="1" thickBot="1">
      <c r="I236" s="731">
        <f t="shared" si="13"/>
        <v>24.100000000000072</v>
      </c>
      <c r="K236" s="731">
        <f t="shared" si="14"/>
        <v>24.200000000000074</v>
      </c>
      <c r="N236" s="503">
        <f t="shared" si="15"/>
        <v>238</v>
      </c>
      <c r="P236" s="726">
        <f t="shared" si="16"/>
        <v>239</v>
      </c>
    </row>
    <row r="237" spans="9:16" ht="13.5" customHeight="1" thickBot="1">
      <c r="I237" s="731">
        <f t="shared" si="13"/>
        <v>24.200000000000074</v>
      </c>
      <c r="K237" s="731">
        <f t="shared" si="14"/>
        <v>24.300000000000075</v>
      </c>
      <c r="N237" s="503">
        <f t="shared" si="15"/>
        <v>239</v>
      </c>
      <c r="P237" s="726">
        <f t="shared" si="16"/>
        <v>240</v>
      </c>
    </row>
    <row r="238" spans="9:16" ht="13.5" customHeight="1" thickBot="1">
      <c r="I238" s="731">
        <f t="shared" si="13"/>
        <v>24.300000000000075</v>
      </c>
      <c r="K238" s="731">
        <f t="shared" si="14"/>
        <v>24.400000000000077</v>
      </c>
      <c r="N238" s="503">
        <f t="shared" si="15"/>
        <v>240</v>
      </c>
      <c r="P238" s="726">
        <f t="shared" si="16"/>
        <v>241</v>
      </c>
    </row>
    <row r="239" spans="9:16" ht="13.5" customHeight="1" thickBot="1">
      <c r="I239" s="731">
        <f t="shared" si="13"/>
        <v>24.400000000000077</v>
      </c>
      <c r="K239" s="731">
        <f t="shared" si="14"/>
        <v>24.500000000000078</v>
      </c>
      <c r="N239" s="503">
        <f t="shared" si="15"/>
        <v>241</v>
      </c>
      <c r="P239" s="726">
        <f t="shared" si="16"/>
        <v>242</v>
      </c>
    </row>
    <row r="240" spans="9:16" ht="13.5" customHeight="1" thickBot="1">
      <c r="I240" s="731">
        <f t="shared" si="13"/>
        <v>24.500000000000078</v>
      </c>
      <c r="K240" s="731">
        <f t="shared" si="14"/>
        <v>24.60000000000008</v>
      </c>
      <c r="N240" s="503">
        <f t="shared" si="15"/>
        <v>242</v>
      </c>
      <c r="P240" s="726">
        <f t="shared" si="16"/>
        <v>243</v>
      </c>
    </row>
    <row r="241" spans="9:16" ht="13.5" customHeight="1" thickBot="1">
      <c r="I241" s="731">
        <f t="shared" si="13"/>
        <v>24.60000000000008</v>
      </c>
      <c r="K241" s="731">
        <f t="shared" si="14"/>
        <v>24.700000000000081</v>
      </c>
      <c r="N241" s="503">
        <f t="shared" si="15"/>
        <v>243</v>
      </c>
      <c r="P241" s="726">
        <f t="shared" si="16"/>
        <v>244</v>
      </c>
    </row>
    <row r="242" spans="9:16" ht="13.5" customHeight="1" thickBot="1">
      <c r="I242" s="731">
        <f t="shared" si="13"/>
        <v>24.700000000000081</v>
      </c>
      <c r="K242" s="731">
        <f t="shared" si="14"/>
        <v>24.800000000000082</v>
      </c>
      <c r="N242" s="503">
        <f t="shared" si="15"/>
        <v>244</v>
      </c>
      <c r="P242" s="726">
        <f t="shared" si="16"/>
        <v>245</v>
      </c>
    </row>
    <row r="243" spans="9:16" ht="13.5" customHeight="1" thickBot="1">
      <c r="I243" s="731">
        <f t="shared" si="13"/>
        <v>24.800000000000082</v>
      </c>
      <c r="K243" s="731">
        <f t="shared" si="14"/>
        <v>24.900000000000084</v>
      </c>
      <c r="N243" s="503">
        <f t="shared" si="15"/>
        <v>245</v>
      </c>
      <c r="P243" s="726">
        <f t="shared" si="16"/>
        <v>246</v>
      </c>
    </row>
    <row r="244" spans="9:16" ht="13.5" customHeight="1" thickBot="1">
      <c r="I244" s="731">
        <f t="shared" si="13"/>
        <v>24.900000000000084</v>
      </c>
      <c r="K244" s="731">
        <f t="shared" si="14"/>
        <v>25.000000000000085</v>
      </c>
      <c r="N244" s="503">
        <f t="shared" si="15"/>
        <v>246</v>
      </c>
      <c r="P244" s="726">
        <f t="shared" si="16"/>
        <v>247</v>
      </c>
    </row>
    <row r="245" spans="9:16" ht="13.5" customHeight="1" thickBot="1">
      <c r="I245" s="731">
        <f t="shared" si="13"/>
        <v>25.000000000000085</v>
      </c>
      <c r="K245" s="731">
        <f t="shared" si="14"/>
        <v>25.100000000000087</v>
      </c>
      <c r="N245" s="503">
        <f t="shared" si="15"/>
        <v>247</v>
      </c>
      <c r="P245" s="726">
        <f t="shared" si="16"/>
        <v>248</v>
      </c>
    </row>
    <row r="246" spans="9:16" ht="13.5" customHeight="1" thickBot="1">
      <c r="I246" s="731">
        <f t="shared" si="13"/>
        <v>25.100000000000087</v>
      </c>
      <c r="K246" s="731">
        <f t="shared" si="14"/>
        <v>25.200000000000088</v>
      </c>
      <c r="N246" s="503">
        <f t="shared" si="15"/>
        <v>248</v>
      </c>
      <c r="P246" s="726">
        <f t="shared" si="16"/>
        <v>249</v>
      </c>
    </row>
    <row r="247" spans="9:16" ht="13.5" customHeight="1" thickBot="1">
      <c r="I247" s="731">
        <f t="shared" si="13"/>
        <v>25.200000000000088</v>
      </c>
      <c r="K247" s="731">
        <f t="shared" si="14"/>
        <v>25.30000000000009</v>
      </c>
      <c r="N247" s="503">
        <f t="shared" si="15"/>
        <v>249</v>
      </c>
      <c r="P247" s="726">
        <f t="shared" si="16"/>
        <v>250</v>
      </c>
    </row>
    <row r="248" spans="9:16" ht="13.5" customHeight="1" thickBot="1">
      <c r="I248" s="731">
        <f t="shared" si="13"/>
        <v>25.30000000000009</v>
      </c>
      <c r="K248" s="731">
        <f t="shared" si="14"/>
        <v>25.400000000000091</v>
      </c>
      <c r="N248" s="503">
        <f t="shared" si="15"/>
        <v>250</v>
      </c>
      <c r="P248" s="726">
        <f t="shared" si="16"/>
        <v>251</v>
      </c>
    </row>
    <row r="249" spans="9:16" ht="13.5" customHeight="1" thickBot="1">
      <c r="I249" s="731">
        <f t="shared" si="13"/>
        <v>25.400000000000091</v>
      </c>
      <c r="K249" s="731">
        <f t="shared" si="14"/>
        <v>25.500000000000092</v>
      </c>
      <c r="N249" s="503">
        <f t="shared" si="15"/>
        <v>251</v>
      </c>
      <c r="P249" s="726">
        <f t="shared" si="16"/>
        <v>252</v>
      </c>
    </row>
    <row r="250" spans="9:16" ht="13.5" customHeight="1" thickBot="1">
      <c r="I250" s="731">
        <f t="shared" si="13"/>
        <v>25.500000000000092</v>
      </c>
      <c r="K250" s="731">
        <f t="shared" si="14"/>
        <v>25.600000000000094</v>
      </c>
      <c r="N250" s="503">
        <f t="shared" si="15"/>
        <v>252</v>
      </c>
      <c r="P250" s="726">
        <f t="shared" si="16"/>
        <v>253</v>
      </c>
    </row>
    <row r="251" spans="9:16" ht="13.5" customHeight="1" thickBot="1">
      <c r="I251" s="731">
        <f t="shared" si="13"/>
        <v>25.600000000000094</v>
      </c>
      <c r="K251" s="731">
        <f t="shared" si="14"/>
        <v>25.700000000000095</v>
      </c>
      <c r="N251" s="503">
        <f t="shared" si="15"/>
        <v>253</v>
      </c>
      <c r="P251" s="726">
        <f t="shared" si="16"/>
        <v>254</v>
      </c>
    </row>
    <row r="252" spans="9:16" ht="13.5" customHeight="1" thickBot="1">
      <c r="I252" s="731">
        <f t="shared" si="13"/>
        <v>25.700000000000095</v>
      </c>
      <c r="K252" s="731">
        <f t="shared" si="14"/>
        <v>25.800000000000097</v>
      </c>
      <c r="N252" s="503">
        <f t="shared" si="15"/>
        <v>254</v>
      </c>
      <c r="P252" s="726">
        <f t="shared" si="16"/>
        <v>255</v>
      </c>
    </row>
    <row r="253" spans="9:16" ht="13.5" customHeight="1" thickBot="1">
      <c r="I253" s="731">
        <f t="shared" si="13"/>
        <v>25.800000000000097</v>
      </c>
      <c r="K253" s="731">
        <f t="shared" si="14"/>
        <v>25.900000000000098</v>
      </c>
      <c r="N253" s="503">
        <f t="shared" si="15"/>
        <v>255</v>
      </c>
      <c r="P253" s="726">
        <f t="shared" si="16"/>
        <v>256</v>
      </c>
    </row>
    <row r="254" spans="9:16" ht="13.5" customHeight="1" thickBot="1">
      <c r="I254" s="731">
        <f t="shared" si="13"/>
        <v>25.900000000000098</v>
      </c>
      <c r="K254" s="731">
        <f t="shared" si="14"/>
        <v>26.000000000000099</v>
      </c>
      <c r="N254" s="503">
        <f t="shared" si="15"/>
        <v>256</v>
      </c>
      <c r="P254" s="726">
        <f t="shared" si="16"/>
        <v>257</v>
      </c>
    </row>
    <row r="255" spans="9:16" ht="13.5" customHeight="1" thickBot="1">
      <c r="I255" s="731">
        <f t="shared" si="13"/>
        <v>26.000000000000099</v>
      </c>
      <c r="K255" s="731">
        <f t="shared" si="14"/>
        <v>26.100000000000101</v>
      </c>
      <c r="N255" s="503">
        <f t="shared" si="15"/>
        <v>257</v>
      </c>
      <c r="P255" s="726">
        <f t="shared" si="16"/>
        <v>258</v>
      </c>
    </row>
    <row r="256" spans="9:16" ht="13.5" customHeight="1" thickBot="1">
      <c r="I256" s="731">
        <f t="shared" si="13"/>
        <v>26.100000000000101</v>
      </c>
      <c r="K256" s="731">
        <f t="shared" si="14"/>
        <v>26.200000000000102</v>
      </c>
      <c r="N256" s="503">
        <f t="shared" si="15"/>
        <v>258</v>
      </c>
      <c r="P256" s="726">
        <f t="shared" si="16"/>
        <v>259</v>
      </c>
    </row>
    <row r="257" spans="9:16" ht="13.5" customHeight="1" thickBot="1">
      <c r="I257" s="731">
        <f t="shared" si="13"/>
        <v>26.200000000000102</v>
      </c>
      <c r="K257" s="731">
        <f t="shared" si="14"/>
        <v>26.300000000000104</v>
      </c>
      <c r="N257" s="503">
        <f t="shared" si="15"/>
        <v>259</v>
      </c>
      <c r="P257" s="726">
        <f t="shared" si="16"/>
        <v>260</v>
      </c>
    </row>
    <row r="258" spans="9:16" ht="13.5" customHeight="1" thickBot="1">
      <c r="I258" s="731">
        <f t="shared" si="13"/>
        <v>26.300000000000104</v>
      </c>
      <c r="K258" s="731">
        <f t="shared" si="14"/>
        <v>26.400000000000105</v>
      </c>
      <c r="N258" s="503">
        <f t="shared" si="15"/>
        <v>260</v>
      </c>
      <c r="P258" s="726">
        <f t="shared" si="16"/>
        <v>261</v>
      </c>
    </row>
    <row r="259" spans="9:16" ht="13.5" customHeight="1" thickBot="1">
      <c r="I259" s="731">
        <f t="shared" si="13"/>
        <v>26.400000000000105</v>
      </c>
      <c r="K259" s="731">
        <f t="shared" si="14"/>
        <v>26.500000000000107</v>
      </c>
      <c r="N259" s="503">
        <f t="shared" si="15"/>
        <v>261</v>
      </c>
      <c r="P259" s="726">
        <f t="shared" si="16"/>
        <v>262</v>
      </c>
    </row>
    <row r="260" spans="9:16" ht="13.5" customHeight="1" thickBot="1">
      <c r="I260" s="731">
        <f t="shared" si="13"/>
        <v>26.500000000000107</v>
      </c>
      <c r="K260" s="731">
        <f t="shared" si="14"/>
        <v>26.600000000000108</v>
      </c>
      <c r="N260" s="503">
        <f t="shared" si="15"/>
        <v>262</v>
      </c>
      <c r="P260" s="726">
        <f t="shared" si="16"/>
        <v>263</v>
      </c>
    </row>
    <row r="261" spans="9:16" ht="13.5" customHeight="1" thickBot="1">
      <c r="I261" s="731">
        <f t="shared" si="13"/>
        <v>26.600000000000108</v>
      </c>
      <c r="K261" s="731">
        <f t="shared" si="14"/>
        <v>26.700000000000109</v>
      </c>
      <c r="N261" s="503">
        <f t="shared" si="15"/>
        <v>263</v>
      </c>
      <c r="P261" s="726">
        <f t="shared" si="16"/>
        <v>264</v>
      </c>
    </row>
    <row r="262" spans="9:16" ht="13.5" customHeight="1" thickBot="1">
      <c r="I262" s="731">
        <f t="shared" si="13"/>
        <v>26.700000000000109</v>
      </c>
      <c r="K262" s="731">
        <f t="shared" si="14"/>
        <v>26.800000000000111</v>
      </c>
      <c r="N262" s="503">
        <f t="shared" si="15"/>
        <v>264</v>
      </c>
      <c r="P262" s="726">
        <f t="shared" si="16"/>
        <v>265</v>
      </c>
    </row>
    <row r="263" spans="9:16" ht="13.5" customHeight="1" thickBot="1">
      <c r="I263" s="731">
        <f t="shared" si="13"/>
        <v>26.800000000000111</v>
      </c>
      <c r="K263" s="731">
        <f t="shared" si="14"/>
        <v>26.900000000000112</v>
      </c>
      <c r="N263" s="503">
        <f t="shared" si="15"/>
        <v>265</v>
      </c>
      <c r="P263" s="726">
        <f t="shared" si="16"/>
        <v>266</v>
      </c>
    </row>
    <row r="264" spans="9:16" ht="13.5" customHeight="1" thickBot="1">
      <c r="I264" s="731">
        <f t="shared" si="13"/>
        <v>26.900000000000112</v>
      </c>
      <c r="K264" s="731">
        <f t="shared" si="14"/>
        <v>27.000000000000114</v>
      </c>
      <c r="N264" s="503">
        <f t="shared" si="15"/>
        <v>266</v>
      </c>
      <c r="P264" s="726">
        <f t="shared" si="16"/>
        <v>267</v>
      </c>
    </row>
    <row r="265" spans="9:16" ht="13.5" customHeight="1" thickBot="1">
      <c r="I265" s="731">
        <f t="shared" si="13"/>
        <v>27.000000000000114</v>
      </c>
      <c r="K265" s="731">
        <f t="shared" si="14"/>
        <v>27.100000000000115</v>
      </c>
      <c r="N265" s="503">
        <f t="shared" si="15"/>
        <v>267</v>
      </c>
      <c r="P265" s="726">
        <f t="shared" si="16"/>
        <v>268</v>
      </c>
    </row>
    <row r="266" spans="9:16" ht="13.5" customHeight="1" thickBot="1">
      <c r="I266" s="731">
        <f t="shared" si="13"/>
        <v>27.100000000000115</v>
      </c>
      <c r="K266" s="731">
        <f t="shared" si="14"/>
        <v>27.200000000000117</v>
      </c>
      <c r="N266" s="503">
        <f t="shared" si="15"/>
        <v>268</v>
      </c>
      <c r="P266" s="726">
        <f t="shared" si="16"/>
        <v>269</v>
      </c>
    </row>
    <row r="267" spans="9:16" ht="13.5" customHeight="1" thickBot="1">
      <c r="I267" s="731">
        <f t="shared" si="13"/>
        <v>27.200000000000117</v>
      </c>
      <c r="K267" s="731">
        <f t="shared" si="14"/>
        <v>27.300000000000118</v>
      </c>
      <c r="N267" s="503">
        <f t="shared" si="15"/>
        <v>269</v>
      </c>
      <c r="P267" s="726">
        <f t="shared" si="16"/>
        <v>270</v>
      </c>
    </row>
    <row r="268" spans="9:16" ht="13.5" customHeight="1" thickBot="1">
      <c r="I268" s="731">
        <f t="shared" si="13"/>
        <v>27.300000000000118</v>
      </c>
      <c r="K268" s="731">
        <f t="shared" si="14"/>
        <v>27.400000000000119</v>
      </c>
      <c r="N268" s="503">
        <f t="shared" si="15"/>
        <v>270</v>
      </c>
      <c r="P268" s="726">
        <f t="shared" si="16"/>
        <v>271</v>
      </c>
    </row>
    <row r="269" spans="9:16" ht="13.5" customHeight="1" thickBot="1">
      <c r="I269" s="731">
        <f t="shared" si="13"/>
        <v>27.400000000000119</v>
      </c>
      <c r="K269" s="731">
        <f t="shared" si="14"/>
        <v>27.500000000000121</v>
      </c>
      <c r="N269" s="503">
        <f t="shared" si="15"/>
        <v>271</v>
      </c>
      <c r="P269" s="726">
        <f t="shared" si="16"/>
        <v>272</v>
      </c>
    </row>
    <row r="270" spans="9:16" ht="13.5" customHeight="1" thickBot="1">
      <c r="I270" s="731">
        <f t="shared" ref="I270:I333" si="17">I269+0.1</f>
        <v>27.500000000000121</v>
      </c>
      <c r="K270" s="731">
        <f t="shared" si="14"/>
        <v>27.600000000000122</v>
      </c>
      <c r="N270" s="503">
        <f t="shared" si="15"/>
        <v>272</v>
      </c>
      <c r="P270" s="726">
        <f t="shared" si="16"/>
        <v>273</v>
      </c>
    </row>
    <row r="271" spans="9:16" ht="13.5" customHeight="1" thickBot="1">
      <c r="I271" s="731">
        <f t="shared" si="17"/>
        <v>27.600000000000122</v>
      </c>
      <c r="K271" s="731">
        <f t="shared" si="14"/>
        <v>27.700000000000124</v>
      </c>
      <c r="N271" s="503">
        <f t="shared" si="15"/>
        <v>273</v>
      </c>
      <c r="P271" s="726">
        <f t="shared" si="16"/>
        <v>274</v>
      </c>
    </row>
    <row r="272" spans="9:16" ht="13.5" customHeight="1" thickBot="1">
      <c r="I272" s="731">
        <f t="shared" si="17"/>
        <v>27.700000000000124</v>
      </c>
      <c r="K272" s="731">
        <f t="shared" si="14"/>
        <v>27.800000000000125</v>
      </c>
      <c r="N272" s="503">
        <f t="shared" si="15"/>
        <v>274</v>
      </c>
      <c r="P272" s="726">
        <f t="shared" si="16"/>
        <v>275</v>
      </c>
    </row>
    <row r="273" spans="9:16" ht="13.5" customHeight="1" thickBot="1">
      <c r="I273" s="731">
        <f t="shared" si="17"/>
        <v>27.800000000000125</v>
      </c>
      <c r="K273" s="731">
        <f t="shared" si="14"/>
        <v>27.900000000000126</v>
      </c>
      <c r="N273" s="503">
        <f t="shared" si="15"/>
        <v>275</v>
      </c>
      <c r="P273" s="726">
        <f t="shared" si="16"/>
        <v>276</v>
      </c>
    </row>
    <row r="274" spans="9:16" ht="13.5" customHeight="1" thickBot="1">
      <c r="I274" s="731">
        <f t="shared" si="17"/>
        <v>27.900000000000126</v>
      </c>
      <c r="K274" s="731">
        <f t="shared" si="14"/>
        <v>28.000000000000128</v>
      </c>
      <c r="N274" s="503">
        <f t="shared" si="15"/>
        <v>276</v>
      </c>
      <c r="P274" s="726">
        <f t="shared" si="16"/>
        <v>277</v>
      </c>
    </row>
    <row r="275" spans="9:16" ht="13.5" customHeight="1" thickBot="1">
      <c r="I275" s="731">
        <f t="shared" si="17"/>
        <v>28.000000000000128</v>
      </c>
      <c r="K275" s="731">
        <f t="shared" si="14"/>
        <v>28.100000000000129</v>
      </c>
      <c r="N275" s="503">
        <f t="shared" si="15"/>
        <v>277</v>
      </c>
      <c r="P275" s="726">
        <f t="shared" si="16"/>
        <v>278</v>
      </c>
    </row>
    <row r="276" spans="9:16" ht="13.5" customHeight="1" thickBot="1">
      <c r="I276" s="731">
        <f t="shared" si="17"/>
        <v>28.100000000000129</v>
      </c>
      <c r="K276" s="731">
        <f t="shared" si="14"/>
        <v>28.200000000000131</v>
      </c>
      <c r="N276" s="503">
        <f t="shared" si="15"/>
        <v>278</v>
      </c>
      <c r="P276" s="726">
        <f t="shared" si="16"/>
        <v>279</v>
      </c>
    </row>
    <row r="277" spans="9:16" ht="13.5" customHeight="1" thickBot="1">
      <c r="I277" s="731">
        <f t="shared" si="17"/>
        <v>28.200000000000131</v>
      </c>
      <c r="K277" s="731">
        <f t="shared" si="14"/>
        <v>28.300000000000132</v>
      </c>
      <c r="N277" s="503">
        <f t="shared" si="15"/>
        <v>279</v>
      </c>
      <c r="P277" s="726">
        <f t="shared" si="16"/>
        <v>280</v>
      </c>
    </row>
    <row r="278" spans="9:16" ht="13.5" customHeight="1" thickBot="1">
      <c r="I278" s="731">
        <f t="shared" si="17"/>
        <v>28.300000000000132</v>
      </c>
      <c r="K278" s="731">
        <f t="shared" si="14"/>
        <v>28.400000000000134</v>
      </c>
      <c r="N278" s="503">
        <f t="shared" si="15"/>
        <v>280</v>
      </c>
      <c r="P278" s="726">
        <f t="shared" si="16"/>
        <v>281</v>
      </c>
    </row>
    <row r="279" spans="9:16" ht="13.5" customHeight="1" thickBot="1">
      <c r="I279" s="731">
        <f t="shared" si="17"/>
        <v>28.400000000000134</v>
      </c>
      <c r="K279" s="731">
        <f t="shared" si="14"/>
        <v>28.500000000000135</v>
      </c>
      <c r="N279" s="503">
        <f t="shared" si="15"/>
        <v>281</v>
      </c>
      <c r="P279" s="726">
        <f t="shared" si="16"/>
        <v>282</v>
      </c>
    </row>
    <row r="280" spans="9:16" ht="13.5" customHeight="1" thickBot="1">
      <c r="I280" s="731">
        <f t="shared" si="17"/>
        <v>28.500000000000135</v>
      </c>
      <c r="K280" s="731">
        <f t="shared" si="14"/>
        <v>28.600000000000136</v>
      </c>
      <c r="N280" s="503">
        <f t="shared" si="15"/>
        <v>282</v>
      </c>
      <c r="P280" s="726">
        <f t="shared" si="16"/>
        <v>283</v>
      </c>
    </row>
    <row r="281" spans="9:16" ht="13.5" customHeight="1" thickBot="1">
      <c r="I281" s="731">
        <f t="shared" si="17"/>
        <v>28.600000000000136</v>
      </c>
      <c r="K281" s="731">
        <f t="shared" si="14"/>
        <v>28.700000000000138</v>
      </c>
      <c r="N281" s="503">
        <f t="shared" si="15"/>
        <v>283</v>
      </c>
      <c r="P281" s="726">
        <f t="shared" si="16"/>
        <v>284</v>
      </c>
    </row>
    <row r="282" spans="9:16" ht="13.5" customHeight="1" thickBot="1">
      <c r="I282" s="731">
        <f t="shared" si="17"/>
        <v>28.700000000000138</v>
      </c>
      <c r="K282" s="731">
        <f t="shared" si="14"/>
        <v>28.800000000000139</v>
      </c>
      <c r="N282" s="503">
        <f t="shared" si="15"/>
        <v>284</v>
      </c>
      <c r="P282" s="726">
        <f t="shared" si="16"/>
        <v>285</v>
      </c>
    </row>
    <row r="283" spans="9:16" ht="13.5" customHeight="1" thickBot="1">
      <c r="I283" s="731">
        <f t="shared" si="17"/>
        <v>28.800000000000139</v>
      </c>
      <c r="K283" s="731">
        <f t="shared" ref="K283:K346" si="18">K282+0.1</f>
        <v>28.900000000000141</v>
      </c>
      <c r="N283" s="503">
        <f t="shared" si="15"/>
        <v>285</v>
      </c>
      <c r="P283" s="726">
        <f t="shared" si="16"/>
        <v>286</v>
      </c>
    </row>
    <row r="284" spans="9:16" ht="13.5" customHeight="1" thickBot="1">
      <c r="I284" s="731">
        <f t="shared" si="17"/>
        <v>28.900000000000141</v>
      </c>
      <c r="K284" s="731">
        <f t="shared" si="18"/>
        <v>29.000000000000142</v>
      </c>
      <c r="N284" s="503">
        <f t="shared" si="15"/>
        <v>286</v>
      </c>
      <c r="P284" s="726">
        <f t="shared" si="16"/>
        <v>287</v>
      </c>
    </row>
    <row r="285" spans="9:16" ht="13.5" customHeight="1" thickBot="1">
      <c r="I285" s="731">
        <f t="shared" si="17"/>
        <v>29.000000000000142</v>
      </c>
      <c r="K285" s="731">
        <f t="shared" si="18"/>
        <v>29.100000000000144</v>
      </c>
      <c r="N285" s="503">
        <f t="shared" si="15"/>
        <v>287</v>
      </c>
      <c r="P285" s="726">
        <f t="shared" si="16"/>
        <v>288</v>
      </c>
    </row>
    <row r="286" spans="9:16" ht="13.5" customHeight="1" thickBot="1">
      <c r="I286" s="731">
        <f t="shared" si="17"/>
        <v>29.100000000000144</v>
      </c>
      <c r="K286" s="731">
        <f t="shared" si="18"/>
        <v>29.200000000000145</v>
      </c>
      <c r="N286" s="503">
        <f t="shared" si="15"/>
        <v>288</v>
      </c>
      <c r="P286" s="726">
        <f t="shared" si="16"/>
        <v>289</v>
      </c>
    </row>
    <row r="287" spans="9:16" ht="13.5" customHeight="1" thickBot="1">
      <c r="I287" s="731">
        <f t="shared" si="17"/>
        <v>29.200000000000145</v>
      </c>
      <c r="K287" s="731">
        <f t="shared" si="18"/>
        <v>29.300000000000146</v>
      </c>
      <c r="N287" s="503">
        <f t="shared" si="15"/>
        <v>289</v>
      </c>
      <c r="P287" s="726">
        <f t="shared" si="16"/>
        <v>290</v>
      </c>
    </row>
    <row r="288" spans="9:16" ht="13.5" customHeight="1" thickBot="1">
      <c r="I288" s="731">
        <f t="shared" si="17"/>
        <v>29.300000000000146</v>
      </c>
      <c r="K288" s="731">
        <f t="shared" si="18"/>
        <v>29.400000000000148</v>
      </c>
      <c r="N288" s="503">
        <f t="shared" si="15"/>
        <v>290</v>
      </c>
      <c r="P288" s="726">
        <f t="shared" si="16"/>
        <v>291</v>
      </c>
    </row>
    <row r="289" spans="9:16" ht="13.5" customHeight="1" thickBot="1">
      <c r="I289" s="731">
        <f t="shared" si="17"/>
        <v>29.400000000000148</v>
      </c>
      <c r="K289" s="731">
        <f t="shared" si="18"/>
        <v>29.500000000000149</v>
      </c>
      <c r="N289" s="503">
        <f t="shared" si="15"/>
        <v>291</v>
      </c>
      <c r="P289" s="726">
        <f t="shared" si="16"/>
        <v>292</v>
      </c>
    </row>
    <row r="290" spans="9:16" ht="13.5" customHeight="1" thickBot="1">
      <c r="I290" s="731">
        <f t="shared" si="17"/>
        <v>29.500000000000149</v>
      </c>
      <c r="K290" s="731">
        <f t="shared" si="18"/>
        <v>29.600000000000151</v>
      </c>
      <c r="N290" s="503">
        <f t="shared" si="15"/>
        <v>292</v>
      </c>
      <c r="P290" s="726">
        <f t="shared" si="16"/>
        <v>293</v>
      </c>
    </row>
    <row r="291" spans="9:16" ht="13.5" customHeight="1" thickBot="1">
      <c r="I291" s="731">
        <f t="shared" si="17"/>
        <v>29.600000000000151</v>
      </c>
      <c r="K291" s="731">
        <f t="shared" si="18"/>
        <v>29.700000000000152</v>
      </c>
      <c r="N291" s="503">
        <f t="shared" ref="N291:N354" si="19">N290+1</f>
        <v>293</v>
      </c>
      <c r="P291" s="726">
        <f t="shared" ref="P291:P354" si="20">P290+1</f>
        <v>294</v>
      </c>
    </row>
    <row r="292" spans="9:16" ht="13.5" customHeight="1" thickBot="1">
      <c r="I292" s="731">
        <f t="shared" si="17"/>
        <v>29.700000000000152</v>
      </c>
      <c r="K292" s="731">
        <f t="shared" si="18"/>
        <v>29.800000000000153</v>
      </c>
      <c r="N292" s="503">
        <f t="shared" si="19"/>
        <v>294</v>
      </c>
      <c r="P292" s="726">
        <f t="shared" si="20"/>
        <v>295</v>
      </c>
    </row>
    <row r="293" spans="9:16" ht="13.5" customHeight="1" thickBot="1">
      <c r="I293" s="731">
        <f t="shared" si="17"/>
        <v>29.800000000000153</v>
      </c>
      <c r="K293" s="731">
        <f t="shared" si="18"/>
        <v>29.900000000000155</v>
      </c>
      <c r="N293" s="503">
        <f t="shared" si="19"/>
        <v>295</v>
      </c>
      <c r="P293" s="726">
        <f t="shared" si="20"/>
        <v>296</v>
      </c>
    </row>
    <row r="294" spans="9:16" ht="13.5" customHeight="1" thickBot="1">
      <c r="I294" s="731">
        <f t="shared" si="17"/>
        <v>29.900000000000155</v>
      </c>
      <c r="K294" s="731">
        <f t="shared" si="18"/>
        <v>30.000000000000156</v>
      </c>
      <c r="N294" s="503">
        <f t="shared" si="19"/>
        <v>296</v>
      </c>
      <c r="P294" s="726">
        <f t="shared" si="20"/>
        <v>297</v>
      </c>
    </row>
    <row r="295" spans="9:16" ht="13.5" customHeight="1" thickBot="1">
      <c r="I295" s="731">
        <f t="shared" si="17"/>
        <v>30.000000000000156</v>
      </c>
      <c r="K295" s="731">
        <f t="shared" si="18"/>
        <v>30.100000000000158</v>
      </c>
      <c r="N295" s="503">
        <f t="shared" si="19"/>
        <v>297</v>
      </c>
      <c r="P295" s="726">
        <f t="shared" si="20"/>
        <v>298</v>
      </c>
    </row>
    <row r="296" spans="9:16" ht="13.5" customHeight="1" thickBot="1">
      <c r="I296" s="731">
        <f t="shared" si="17"/>
        <v>30.100000000000158</v>
      </c>
      <c r="K296" s="731">
        <f t="shared" si="18"/>
        <v>30.200000000000159</v>
      </c>
      <c r="N296" s="503">
        <f t="shared" si="19"/>
        <v>298</v>
      </c>
      <c r="P296" s="726">
        <f t="shared" si="20"/>
        <v>299</v>
      </c>
    </row>
    <row r="297" spans="9:16" ht="13.5" customHeight="1" thickBot="1">
      <c r="I297" s="731">
        <f t="shared" si="17"/>
        <v>30.200000000000159</v>
      </c>
      <c r="K297" s="731">
        <f t="shared" si="18"/>
        <v>30.300000000000161</v>
      </c>
      <c r="N297" s="503">
        <f t="shared" si="19"/>
        <v>299</v>
      </c>
      <c r="P297" s="726">
        <f t="shared" si="20"/>
        <v>300</v>
      </c>
    </row>
    <row r="298" spans="9:16" ht="13.5" customHeight="1" thickBot="1">
      <c r="I298" s="731">
        <f t="shared" si="17"/>
        <v>30.300000000000161</v>
      </c>
      <c r="K298" s="731">
        <f t="shared" si="18"/>
        <v>30.400000000000162</v>
      </c>
      <c r="N298" s="503">
        <f t="shared" si="19"/>
        <v>300</v>
      </c>
      <c r="P298" s="726">
        <f t="shared" si="20"/>
        <v>301</v>
      </c>
    </row>
    <row r="299" spans="9:16" ht="13.5" customHeight="1" thickBot="1">
      <c r="I299" s="731">
        <f t="shared" si="17"/>
        <v>30.400000000000162</v>
      </c>
      <c r="K299" s="731">
        <f t="shared" si="18"/>
        <v>30.500000000000163</v>
      </c>
      <c r="N299" s="503">
        <f t="shared" si="19"/>
        <v>301</v>
      </c>
      <c r="P299" s="726">
        <f t="shared" si="20"/>
        <v>302</v>
      </c>
    </row>
    <row r="300" spans="9:16" ht="13.5" customHeight="1" thickBot="1">
      <c r="I300" s="731">
        <f t="shared" si="17"/>
        <v>30.500000000000163</v>
      </c>
      <c r="K300" s="731">
        <f t="shared" si="18"/>
        <v>30.600000000000165</v>
      </c>
      <c r="N300" s="503">
        <f t="shared" si="19"/>
        <v>302</v>
      </c>
      <c r="P300" s="726">
        <f t="shared" si="20"/>
        <v>303</v>
      </c>
    </row>
    <row r="301" spans="9:16" ht="13.5" customHeight="1" thickBot="1">
      <c r="I301" s="731">
        <f t="shared" si="17"/>
        <v>30.600000000000165</v>
      </c>
      <c r="K301" s="731">
        <f t="shared" si="18"/>
        <v>30.700000000000166</v>
      </c>
      <c r="N301" s="503">
        <f t="shared" si="19"/>
        <v>303</v>
      </c>
      <c r="P301" s="726">
        <f t="shared" si="20"/>
        <v>304</v>
      </c>
    </row>
    <row r="302" spans="9:16" ht="13.5" customHeight="1" thickBot="1">
      <c r="I302" s="731">
        <f t="shared" si="17"/>
        <v>30.700000000000166</v>
      </c>
      <c r="K302" s="731">
        <f t="shared" si="18"/>
        <v>30.800000000000168</v>
      </c>
      <c r="N302" s="503">
        <f t="shared" si="19"/>
        <v>304</v>
      </c>
      <c r="P302" s="726">
        <f t="shared" si="20"/>
        <v>305</v>
      </c>
    </row>
    <row r="303" spans="9:16" ht="13.5" customHeight="1" thickBot="1">
      <c r="I303" s="731">
        <f t="shared" si="17"/>
        <v>30.800000000000168</v>
      </c>
      <c r="K303" s="731">
        <f t="shared" si="18"/>
        <v>30.900000000000169</v>
      </c>
      <c r="N303" s="503">
        <f t="shared" si="19"/>
        <v>305</v>
      </c>
      <c r="P303" s="726">
        <f t="shared" si="20"/>
        <v>306</v>
      </c>
    </row>
    <row r="304" spans="9:16" ht="13.5" customHeight="1" thickBot="1">
      <c r="I304" s="731">
        <f t="shared" si="17"/>
        <v>30.900000000000169</v>
      </c>
      <c r="K304" s="731">
        <f t="shared" si="18"/>
        <v>31.000000000000171</v>
      </c>
      <c r="N304" s="503">
        <f t="shared" si="19"/>
        <v>306</v>
      </c>
      <c r="P304" s="726">
        <f t="shared" si="20"/>
        <v>307</v>
      </c>
    </row>
    <row r="305" spans="9:16" ht="13.5" customHeight="1" thickBot="1">
      <c r="I305" s="731">
        <f t="shared" si="17"/>
        <v>31.000000000000171</v>
      </c>
      <c r="K305" s="731">
        <f t="shared" si="18"/>
        <v>31.100000000000172</v>
      </c>
      <c r="N305" s="503">
        <f t="shared" si="19"/>
        <v>307</v>
      </c>
      <c r="P305" s="726">
        <f t="shared" si="20"/>
        <v>308</v>
      </c>
    </row>
    <row r="306" spans="9:16" ht="13.5" customHeight="1" thickBot="1">
      <c r="I306" s="731">
        <f t="shared" si="17"/>
        <v>31.100000000000172</v>
      </c>
      <c r="K306" s="731">
        <f t="shared" si="18"/>
        <v>31.200000000000173</v>
      </c>
      <c r="N306" s="503">
        <f t="shared" si="19"/>
        <v>308</v>
      </c>
      <c r="P306" s="726">
        <f t="shared" si="20"/>
        <v>309</v>
      </c>
    </row>
    <row r="307" spans="9:16" ht="13.5" customHeight="1" thickBot="1">
      <c r="I307" s="731">
        <f t="shared" si="17"/>
        <v>31.200000000000173</v>
      </c>
      <c r="K307" s="731">
        <f t="shared" si="18"/>
        <v>31.300000000000175</v>
      </c>
      <c r="N307" s="503">
        <f t="shared" si="19"/>
        <v>309</v>
      </c>
      <c r="P307" s="726">
        <f t="shared" si="20"/>
        <v>310</v>
      </c>
    </row>
    <row r="308" spans="9:16" ht="13.5" customHeight="1" thickBot="1">
      <c r="I308" s="731">
        <f t="shared" si="17"/>
        <v>31.300000000000175</v>
      </c>
      <c r="K308" s="731">
        <f t="shared" si="18"/>
        <v>31.400000000000176</v>
      </c>
      <c r="N308" s="503">
        <f t="shared" si="19"/>
        <v>310</v>
      </c>
      <c r="P308" s="726">
        <f t="shared" si="20"/>
        <v>311</v>
      </c>
    </row>
    <row r="309" spans="9:16" ht="13.5" customHeight="1" thickBot="1">
      <c r="I309" s="731">
        <f t="shared" si="17"/>
        <v>31.400000000000176</v>
      </c>
      <c r="K309" s="731">
        <f t="shared" si="18"/>
        <v>31.500000000000178</v>
      </c>
      <c r="N309" s="503">
        <f t="shared" si="19"/>
        <v>311</v>
      </c>
      <c r="P309" s="726">
        <f t="shared" si="20"/>
        <v>312</v>
      </c>
    </row>
    <row r="310" spans="9:16" ht="13.5" customHeight="1" thickBot="1">
      <c r="I310" s="731">
        <f t="shared" si="17"/>
        <v>31.500000000000178</v>
      </c>
      <c r="K310" s="731">
        <f t="shared" si="18"/>
        <v>31.600000000000179</v>
      </c>
      <c r="N310" s="503">
        <f t="shared" si="19"/>
        <v>312</v>
      </c>
      <c r="P310" s="726">
        <f t="shared" si="20"/>
        <v>313</v>
      </c>
    </row>
    <row r="311" spans="9:16" ht="13.5" customHeight="1" thickBot="1">
      <c r="I311" s="731">
        <f t="shared" si="17"/>
        <v>31.600000000000179</v>
      </c>
      <c r="K311" s="731">
        <f t="shared" si="18"/>
        <v>31.70000000000018</v>
      </c>
      <c r="N311" s="503">
        <f t="shared" si="19"/>
        <v>313</v>
      </c>
      <c r="P311" s="726">
        <f t="shared" si="20"/>
        <v>314</v>
      </c>
    </row>
    <row r="312" spans="9:16" ht="13.5" customHeight="1" thickBot="1">
      <c r="I312" s="731">
        <f t="shared" si="17"/>
        <v>31.70000000000018</v>
      </c>
      <c r="K312" s="731">
        <f t="shared" si="18"/>
        <v>31.800000000000182</v>
      </c>
      <c r="N312" s="503">
        <f t="shared" si="19"/>
        <v>314</v>
      </c>
      <c r="P312" s="726">
        <f t="shared" si="20"/>
        <v>315</v>
      </c>
    </row>
    <row r="313" spans="9:16" ht="13.5" customHeight="1" thickBot="1">
      <c r="I313" s="731">
        <f t="shared" si="17"/>
        <v>31.800000000000182</v>
      </c>
      <c r="K313" s="731">
        <f t="shared" si="18"/>
        <v>31.900000000000183</v>
      </c>
      <c r="N313" s="503">
        <f t="shared" si="19"/>
        <v>315</v>
      </c>
      <c r="P313" s="726">
        <f t="shared" si="20"/>
        <v>316</v>
      </c>
    </row>
    <row r="314" spans="9:16" ht="13.5" customHeight="1" thickBot="1">
      <c r="I314" s="731">
        <f t="shared" si="17"/>
        <v>31.900000000000183</v>
      </c>
      <c r="K314" s="731">
        <f t="shared" si="18"/>
        <v>32.000000000000185</v>
      </c>
      <c r="N314" s="503">
        <f t="shared" si="19"/>
        <v>316</v>
      </c>
      <c r="P314" s="726">
        <f t="shared" si="20"/>
        <v>317</v>
      </c>
    </row>
    <row r="315" spans="9:16" ht="13.5" customHeight="1" thickBot="1">
      <c r="I315" s="731">
        <f t="shared" si="17"/>
        <v>32.000000000000185</v>
      </c>
      <c r="K315" s="731">
        <f t="shared" si="18"/>
        <v>32.100000000000186</v>
      </c>
      <c r="N315" s="503">
        <f t="shared" si="19"/>
        <v>317</v>
      </c>
      <c r="P315" s="726">
        <f t="shared" si="20"/>
        <v>318</v>
      </c>
    </row>
    <row r="316" spans="9:16" ht="13.5" customHeight="1" thickBot="1">
      <c r="I316" s="731">
        <f t="shared" si="17"/>
        <v>32.100000000000186</v>
      </c>
      <c r="K316" s="731">
        <f t="shared" si="18"/>
        <v>32.200000000000188</v>
      </c>
      <c r="N316" s="503">
        <f t="shared" si="19"/>
        <v>318</v>
      </c>
      <c r="P316" s="726">
        <f t="shared" si="20"/>
        <v>319</v>
      </c>
    </row>
    <row r="317" spans="9:16" ht="13.5" customHeight="1" thickBot="1">
      <c r="I317" s="731">
        <f t="shared" si="17"/>
        <v>32.200000000000188</v>
      </c>
      <c r="K317" s="731">
        <f t="shared" si="18"/>
        <v>32.300000000000189</v>
      </c>
      <c r="N317" s="503">
        <f t="shared" si="19"/>
        <v>319</v>
      </c>
      <c r="P317" s="726">
        <f t="shared" si="20"/>
        <v>320</v>
      </c>
    </row>
    <row r="318" spans="9:16" ht="13.5" customHeight="1" thickBot="1">
      <c r="I318" s="731">
        <f t="shared" si="17"/>
        <v>32.300000000000189</v>
      </c>
      <c r="K318" s="731">
        <f t="shared" si="18"/>
        <v>32.40000000000019</v>
      </c>
      <c r="N318" s="503">
        <f t="shared" si="19"/>
        <v>320</v>
      </c>
      <c r="P318" s="726">
        <f t="shared" si="20"/>
        <v>321</v>
      </c>
    </row>
    <row r="319" spans="9:16" ht="13.5" customHeight="1" thickBot="1">
      <c r="I319" s="731">
        <f t="shared" si="17"/>
        <v>32.40000000000019</v>
      </c>
      <c r="K319" s="731">
        <f t="shared" si="18"/>
        <v>32.500000000000192</v>
      </c>
      <c r="N319" s="503">
        <f t="shared" si="19"/>
        <v>321</v>
      </c>
      <c r="P319" s="726">
        <f t="shared" si="20"/>
        <v>322</v>
      </c>
    </row>
    <row r="320" spans="9:16" ht="13.5" customHeight="1" thickBot="1">
      <c r="I320" s="731">
        <f t="shared" si="17"/>
        <v>32.500000000000192</v>
      </c>
      <c r="K320" s="731">
        <f t="shared" si="18"/>
        <v>32.600000000000193</v>
      </c>
      <c r="N320" s="503">
        <f t="shared" si="19"/>
        <v>322</v>
      </c>
      <c r="P320" s="726">
        <f t="shared" si="20"/>
        <v>323</v>
      </c>
    </row>
    <row r="321" spans="9:16" ht="13.5" customHeight="1" thickBot="1">
      <c r="I321" s="731">
        <f t="shared" si="17"/>
        <v>32.600000000000193</v>
      </c>
      <c r="K321" s="731">
        <f t="shared" si="18"/>
        <v>32.700000000000195</v>
      </c>
      <c r="N321" s="503">
        <f t="shared" si="19"/>
        <v>323</v>
      </c>
      <c r="P321" s="726">
        <f t="shared" si="20"/>
        <v>324</v>
      </c>
    </row>
    <row r="322" spans="9:16" ht="13.5" customHeight="1" thickBot="1">
      <c r="I322" s="731">
        <f t="shared" si="17"/>
        <v>32.700000000000195</v>
      </c>
      <c r="K322" s="731">
        <f t="shared" si="18"/>
        <v>32.800000000000196</v>
      </c>
      <c r="N322" s="503">
        <f t="shared" si="19"/>
        <v>324</v>
      </c>
      <c r="P322" s="726">
        <f t="shared" si="20"/>
        <v>325</v>
      </c>
    </row>
    <row r="323" spans="9:16" ht="13.5" customHeight="1" thickBot="1">
      <c r="I323" s="731">
        <f t="shared" si="17"/>
        <v>32.800000000000196</v>
      </c>
      <c r="K323" s="731">
        <f t="shared" si="18"/>
        <v>32.900000000000198</v>
      </c>
      <c r="N323" s="503">
        <f t="shared" si="19"/>
        <v>325</v>
      </c>
      <c r="P323" s="726">
        <f t="shared" si="20"/>
        <v>326</v>
      </c>
    </row>
    <row r="324" spans="9:16" ht="13.5" customHeight="1" thickBot="1">
      <c r="I324" s="731">
        <f t="shared" si="17"/>
        <v>32.900000000000198</v>
      </c>
      <c r="K324" s="731">
        <f t="shared" si="18"/>
        <v>33.000000000000199</v>
      </c>
      <c r="N324" s="503">
        <f t="shared" si="19"/>
        <v>326</v>
      </c>
      <c r="P324" s="726">
        <f t="shared" si="20"/>
        <v>327</v>
      </c>
    </row>
    <row r="325" spans="9:16" ht="13.5" customHeight="1" thickBot="1">
      <c r="I325" s="731">
        <f t="shared" si="17"/>
        <v>33.000000000000199</v>
      </c>
      <c r="K325" s="731">
        <f t="shared" si="18"/>
        <v>33.1000000000002</v>
      </c>
      <c r="N325" s="503">
        <f t="shared" si="19"/>
        <v>327</v>
      </c>
      <c r="P325" s="726">
        <f t="shared" si="20"/>
        <v>328</v>
      </c>
    </row>
    <row r="326" spans="9:16" ht="13.5" customHeight="1" thickBot="1">
      <c r="I326" s="731">
        <f t="shared" si="17"/>
        <v>33.1000000000002</v>
      </c>
      <c r="K326" s="731">
        <f t="shared" si="18"/>
        <v>33.200000000000202</v>
      </c>
      <c r="N326" s="503">
        <f t="shared" si="19"/>
        <v>328</v>
      </c>
      <c r="P326" s="726">
        <f t="shared" si="20"/>
        <v>329</v>
      </c>
    </row>
    <row r="327" spans="9:16" ht="13.5" customHeight="1" thickBot="1">
      <c r="I327" s="731">
        <f t="shared" si="17"/>
        <v>33.200000000000202</v>
      </c>
      <c r="K327" s="731">
        <f t="shared" si="18"/>
        <v>33.300000000000203</v>
      </c>
      <c r="N327" s="503">
        <f t="shared" si="19"/>
        <v>329</v>
      </c>
      <c r="P327" s="726">
        <f t="shared" si="20"/>
        <v>330</v>
      </c>
    </row>
    <row r="328" spans="9:16" ht="13.5" customHeight="1" thickBot="1">
      <c r="I328" s="731">
        <f t="shared" si="17"/>
        <v>33.300000000000203</v>
      </c>
      <c r="K328" s="731">
        <f t="shared" si="18"/>
        <v>33.400000000000205</v>
      </c>
      <c r="N328" s="503">
        <f t="shared" si="19"/>
        <v>330</v>
      </c>
      <c r="P328" s="726">
        <f t="shared" si="20"/>
        <v>331</v>
      </c>
    </row>
    <row r="329" spans="9:16" ht="13.5" customHeight="1" thickBot="1">
      <c r="I329" s="731">
        <f t="shared" si="17"/>
        <v>33.400000000000205</v>
      </c>
      <c r="K329" s="731">
        <f t="shared" si="18"/>
        <v>33.500000000000206</v>
      </c>
      <c r="N329" s="503">
        <f t="shared" si="19"/>
        <v>331</v>
      </c>
      <c r="P329" s="726">
        <f t="shared" si="20"/>
        <v>332</v>
      </c>
    </row>
    <row r="330" spans="9:16" ht="13.5" customHeight="1" thickBot="1">
      <c r="I330" s="731">
        <f t="shared" si="17"/>
        <v>33.500000000000206</v>
      </c>
      <c r="K330" s="731">
        <f t="shared" si="18"/>
        <v>33.600000000000207</v>
      </c>
      <c r="N330" s="503">
        <f t="shared" si="19"/>
        <v>332</v>
      </c>
      <c r="P330" s="726">
        <f t="shared" si="20"/>
        <v>333</v>
      </c>
    </row>
    <row r="331" spans="9:16" ht="13.5" customHeight="1" thickBot="1">
      <c r="I331" s="731">
        <f t="shared" si="17"/>
        <v>33.600000000000207</v>
      </c>
      <c r="K331" s="731">
        <f t="shared" si="18"/>
        <v>33.700000000000209</v>
      </c>
      <c r="N331" s="503">
        <f t="shared" si="19"/>
        <v>333</v>
      </c>
      <c r="P331" s="726">
        <f t="shared" si="20"/>
        <v>334</v>
      </c>
    </row>
    <row r="332" spans="9:16" ht="13.5" customHeight="1" thickBot="1">
      <c r="I332" s="731">
        <f t="shared" si="17"/>
        <v>33.700000000000209</v>
      </c>
      <c r="K332" s="731">
        <f t="shared" si="18"/>
        <v>33.80000000000021</v>
      </c>
      <c r="N332" s="503">
        <f t="shared" si="19"/>
        <v>334</v>
      </c>
      <c r="P332" s="726">
        <f t="shared" si="20"/>
        <v>335</v>
      </c>
    </row>
    <row r="333" spans="9:16" ht="13.5" customHeight="1" thickBot="1">
      <c r="I333" s="731">
        <f t="shared" si="17"/>
        <v>33.80000000000021</v>
      </c>
      <c r="K333" s="731">
        <f t="shared" si="18"/>
        <v>33.900000000000212</v>
      </c>
      <c r="N333" s="503">
        <f t="shared" si="19"/>
        <v>335</v>
      </c>
      <c r="P333" s="726">
        <f t="shared" si="20"/>
        <v>336</v>
      </c>
    </row>
    <row r="334" spans="9:16" ht="13.5" customHeight="1" thickBot="1">
      <c r="I334" s="731">
        <f t="shared" ref="I334:I362" si="21">I333+0.1</f>
        <v>33.900000000000212</v>
      </c>
      <c r="K334" s="731">
        <f t="shared" si="18"/>
        <v>34.000000000000213</v>
      </c>
      <c r="N334" s="503">
        <f t="shared" si="19"/>
        <v>336</v>
      </c>
      <c r="P334" s="726">
        <f t="shared" si="20"/>
        <v>337</v>
      </c>
    </row>
    <row r="335" spans="9:16" ht="13.5" customHeight="1" thickBot="1">
      <c r="I335" s="731">
        <f t="shared" si="21"/>
        <v>34.000000000000213</v>
      </c>
      <c r="K335" s="731">
        <f t="shared" si="18"/>
        <v>34.100000000000215</v>
      </c>
      <c r="N335" s="503">
        <f t="shared" si="19"/>
        <v>337</v>
      </c>
      <c r="P335" s="726">
        <f t="shared" si="20"/>
        <v>338</v>
      </c>
    </row>
    <row r="336" spans="9:16" ht="13.5" customHeight="1" thickBot="1">
      <c r="I336" s="731">
        <f t="shared" si="21"/>
        <v>34.100000000000215</v>
      </c>
      <c r="K336" s="731">
        <f t="shared" si="18"/>
        <v>34.200000000000216</v>
      </c>
      <c r="N336" s="503">
        <f t="shared" si="19"/>
        <v>338</v>
      </c>
      <c r="P336" s="726">
        <f t="shared" si="20"/>
        <v>339</v>
      </c>
    </row>
    <row r="337" spans="9:16" ht="13.5" customHeight="1" thickBot="1">
      <c r="I337" s="731">
        <f t="shared" si="21"/>
        <v>34.200000000000216</v>
      </c>
      <c r="K337" s="731">
        <f t="shared" si="18"/>
        <v>34.300000000000217</v>
      </c>
      <c r="N337" s="503">
        <f t="shared" si="19"/>
        <v>339</v>
      </c>
      <c r="P337" s="726">
        <f t="shared" si="20"/>
        <v>340</v>
      </c>
    </row>
    <row r="338" spans="9:16" ht="13.5" customHeight="1" thickBot="1">
      <c r="I338" s="731">
        <f t="shared" si="21"/>
        <v>34.300000000000217</v>
      </c>
      <c r="K338" s="731">
        <f t="shared" si="18"/>
        <v>34.400000000000219</v>
      </c>
      <c r="N338" s="503">
        <f t="shared" si="19"/>
        <v>340</v>
      </c>
      <c r="P338" s="726">
        <f t="shared" si="20"/>
        <v>341</v>
      </c>
    </row>
    <row r="339" spans="9:16" ht="13.5" customHeight="1" thickBot="1">
      <c r="I339" s="731">
        <f t="shared" si="21"/>
        <v>34.400000000000219</v>
      </c>
      <c r="K339" s="731">
        <f t="shared" si="18"/>
        <v>34.50000000000022</v>
      </c>
      <c r="N339" s="503">
        <f t="shared" si="19"/>
        <v>341</v>
      </c>
      <c r="P339" s="726">
        <f t="shared" si="20"/>
        <v>342</v>
      </c>
    </row>
    <row r="340" spans="9:16" ht="13.5" customHeight="1" thickBot="1">
      <c r="I340" s="731">
        <f t="shared" si="21"/>
        <v>34.50000000000022</v>
      </c>
      <c r="K340" s="731">
        <f t="shared" si="18"/>
        <v>34.600000000000222</v>
      </c>
      <c r="N340" s="503">
        <f t="shared" si="19"/>
        <v>342</v>
      </c>
      <c r="P340" s="726">
        <f t="shared" si="20"/>
        <v>343</v>
      </c>
    </row>
    <row r="341" spans="9:16" ht="13.5" customHeight="1" thickBot="1">
      <c r="I341" s="731">
        <f t="shared" si="21"/>
        <v>34.600000000000222</v>
      </c>
      <c r="K341" s="731">
        <f t="shared" si="18"/>
        <v>34.700000000000223</v>
      </c>
      <c r="N341" s="503">
        <f t="shared" si="19"/>
        <v>343</v>
      </c>
      <c r="P341" s="726">
        <f t="shared" si="20"/>
        <v>344</v>
      </c>
    </row>
    <row r="342" spans="9:16" ht="13.5" customHeight="1" thickBot="1">
      <c r="I342" s="731">
        <f t="shared" si="21"/>
        <v>34.700000000000223</v>
      </c>
      <c r="K342" s="731">
        <f t="shared" si="18"/>
        <v>34.800000000000225</v>
      </c>
      <c r="N342" s="503">
        <f t="shared" si="19"/>
        <v>344</v>
      </c>
      <c r="P342" s="726">
        <f t="shared" si="20"/>
        <v>345</v>
      </c>
    </row>
    <row r="343" spans="9:16" ht="13.5" customHeight="1" thickBot="1">
      <c r="I343" s="731">
        <f t="shared" si="21"/>
        <v>34.800000000000225</v>
      </c>
      <c r="K343" s="731">
        <f t="shared" si="18"/>
        <v>34.900000000000226</v>
      </c>
      <c r="N343" s="503">
        <f t="shared" si="19"/>
        <v>345</v>
      </c>
      <c r="P343" s="726">
        <f t="shared" si="20"/>
        <v>346</v>
      </c>
    </row>
    <row r="344" spans="9:16" ht="13.5" customHeight="1" thickBot="1">
      <c r="I344" s="731">
        <f t="shared" si="21"/>
        <v>34.900000000000226</v>
      </c>
      <c r="K344" s="731">
        <f t="shared" si="18"/>
        <v>35.000000000000227</v>
      </c>
      <c r="N344" s="503">
        <f t="shared" si="19"/>
        <v>346</v>
      </c>
      <c r="P344" s="726">
        <f t="shared" si="20"/>
        <v>347</v>
      </c>
    </row>
    <row r="345" spans="9:16" ht="13.5" customHeight="1" thickBot="1">
      <c r="I345" s="731">
        <f t="shared" si="21"/>
        <v>35.000000000000227</v>
      </c>
      <c r="K345" s="731">
        <f t="shared" si="18"/>
        <v>35.100000000000229</v>
      </c>
      <c r="N345" s="503">
        <f t="shared" si="19"/>
        <v>347</v>
      </c>
      <c r="P345" s="726">
        <f t="shared" si="20"/>
        <v>348</v>
      </c>
    </row>
    <row r="346" spans="9:16" ht="13.5" customHeight="1" thickBot="1">
      <c r="I346" s="731">
        <f t="shared" si="21"/>
        <v>35.100000000000229</v>
      </c>
      <c r="K346" s="731">
        <f t="shared" si="18"/>
        <v>35.20000000000023</v>
      </c>
      <c r="N346" s="503">
        <f t="shared" si="19"/>
        <v>348</v>
      </c>
      <c r="P346" s="726">
        <f t="shared" si="20"/>
        <v>349</v>
      </c>
    </row>
    <row r="347" spans="9:16" ht="13.5" customHeight="1" thickBot="1">
      <c r="I347" s="731">
        <f t="shared" si="21"/>
        <v>35.20000000000023</v>
      </c>
      <c r="K347" s="731">
        <f t="shared" ref="K347:K362" si="22">K346+0.1</f>
        <v>35.300000000000232</v>
      </c>
      <c r="N347" s="503">
        <f t="shared" si="19"/>
        <v>349</v>
      </c>
      <c r="P347" s="726">
        <f t="shared" si="20"/>
        <v>350</v>
      </c>
    </row>
    <row r="348" spans="9:16" ht="13.5" customHeight="1" thickBot="1">
      <c r="I348" s="731">
        <f t="shared" si="21"/>
        <v>35.300000000000232</v>
      </c>
      <c r="K348" s="731">
        <f t="shared" si="22"/>
        <v>35.400000000000233</v>
      </c>
      <c r="N348" s="503">
        <f t="shared" si="19"/>
        <v>350</v>
      </c>
      <c r="P348" s="726">
        <f t="shared" si="20"/>
        <v>351</v>
      </c>
    </row>
    <row r="349" spans="9:16" ht="13.5" customHeight="1" thickBot="1">
      <c r="I349" s="731">
        <f t="shared" si="21"/>
        <v>35.400000000000233</v>
      </c>
      <c r="K349" s="731">
        <f t="shared" si="22"/>
        <v>35.500000000000234</v>
      </c>
      <c r="N349" s="503">
        <f t="shared" si="19"/>
        <v>351</v>
      </c>
      <c r="P349" s="726">
        <f t="shared" si="20"/>
        <v>352</v>
      </c>
    </row>
    <row r="350" spans="9:16" ht="13.5" customHeight="1" thickBot="1">
      <c r="I350" s="731">
        <f t="shared" si="21"/>
        <v>35.500000000000234</v>
      </c>
      <c r="K350" s="731">
        <f t="shared" si="22"/>
        <v>35.600000000000236</v>
      </c>
      <c r="N350" s="503">
        <f t="shared" si="19"/>
        <v>352</v>
      </c>
      <c r="P350" s="726">
        <f t="shared" si="20"/>
        <v>353</v>
      </c>
    </row>
    <row r="351" spans="9:16" ht="13.5" customHeight="1" thickBot="1">
      <c r="I351" s="731">
        <f t="shared" si="21"/>
        <v>35.600000000000236</v>
      </c>
      <c r="K351" s="731">
        <f t="shared" si="22"/>
        <v>35.700000000000237</v>
      </c>
      <c r="N351" s="503">
        <f t="shared" si="19"/>
        <v>353</v>
      </c>
      <c r="P351" s="726">
        <f t="shared" si="20"/>
        <v>354</v>
      </c>
    </row>
    <row r="352" spans="9:16" ht="13.5" customHeight="1" thickBot="1">
      <c r="I352" s="731">
        <f t="shared" si="21"/>
        <v>35.700000000000237</v>
      </c>
      <c r="K352" s="731">
        <f t="shared" si="22"/>
        <v>35.800000000000239</v>
      </c>
      <c r="N352" s="503">
        <f t="shared" si="19"/>
        <v>354</v>
      </c>
      <c r="P352" s="726">
        <f t="shared" si="20"/>
        <v>355</v>
      </c>
    </row>
    <row r="353" spans="9:16" ht="13.5" customHeight="1" thickBot="1">
      <c r="I353" s="731">
        <f t="shared" si="21"/>
        <v>35.800000000000239</v>
      </c>
      <c r="K353" s="731">
        <f t="shared" si="22"/>
        <v>35.90000000000024</v>
      </c>
      <c r="N353" s="503">
        <f t="shared" si="19"/>
        <v>355</v>
      </c>
      <c r="P353" s="726">
        <f t="shared" si="20"/>
        <v>356</v>
      </c>
    </row>
    <row r="354" spans="9:16" ht="13.5" customHeight="1" thickBot="1">
      <c r="I354" s="731">
        <f t="shared" si="21"/>
        <v>35.90000000000024</v>
      </c>
      <c r="K354" s="731">
        <f t="shared" si="22"/>
        <v>36.000000000000242</v>
      </c>
      <c r="N354" s="503">
        <f t="shared" si="19"/>
        <v>356</v>
      </c>
      <c r="P354" s="726">
        <f t="shared" si="20"/>
        <v>357</v>
      </c>
    </row>
    <row r="355" spans="9:16" ht="13.5" customHeight="1" thickBot="1">
      <c r="I355" s="731">
        <f t="shared" si="21"/>
        <v>36.000000000000242</v>
      </c>
      <c r="K355" s="731">
        <f t="shared" si="22"/>
        <v>36.100000000000243</v>
      </c>
      <c r="N355" s="503">
        <f t="shared" ref="N355:N362" si="23">N354+1</f>
        <v>357</v>
      </c>
      <c r="P355" s="726">
        <f t="shared" ref="P355:P362" si="24">P354+1</f>
        <v>358</v>
      </c>
    </row>
    <row r="356" spans="9:16" ht="13.5" customHeight="1" thickBot="1">
      <c r="I356" s="731">
        <f t="shared" si="21"/>
        <v>36.100000000000243</v>
      </c>
      <c r="K356" s="731">
        <f t="shared" si="22"/>
        <v>36.200000000000244</v>
      </c>
      <c r="N356" s="503">
        <f t="shared" si="23"/>
        <v>358</v>
      </c>
      <c r="P356" s="726">
        <f t="shared" si="24"/>
        <v>359</v>
      </c>
    </row>
    <row r="357" spans="9:16" ht="13.5" customHeight="1" thickBot="1">
      <c r="I357" s="731">
        <f t="shared" si="21"/>
        <v>36.200000000000244</v>
      </c>
      <c r="K357" s="731">
        <f t="shared" si="22"/>
        <v>36.300000000000246</v>
      </c>
      <c r="N357" s="503">
        <f t="shared" si="23"/>
        <v>359</v>
      </c>
      <c r="P357" s="726">
        <f t="shared" si="24"/>
        <v>360</v>
      </c>
    </row>
    <row r="358" spans="9:16" ht="13.5" customHeight="1" thickBot="1">
      <c r="I358" s="731">
        <f t="shared" si="21"/>
        <v>36.300000000000246</v>
      </c>
      <c r="K358" s="731">
        <f t="shared" si="22"/>
        <v>36.400000000000247</v>
      </c>
      <c r="N358" s="503">
        <f t="shared" si="23"/>
        <v>360</v>
      </c>
      <c r="P358" s="726">
        <f t="shared" si="24"/>
        <v>361</v>
      </c>
    </row>
    <row r="359" spans="9:16" ht="13.5" customHeight="1" thickBot="1">
      <c r="I359" s="731">
        <f t="shared" si="21"/>
        <v>36.400000000000247</v>
      </c>
      <c r="K359" s="731">
        <f t="shared" si="22"/>
        <v>36.500000000000249</v>
      </c>
      <c r="N359" s="503">
        <f t="shared" si="23"/>
        <v>361</v>
      </c>
      <c r="P359" s="726">
        <f t="shared" si="24"/>
        <v>362</v>
      </c>
    </row>
    <row r="360" spans="9:16" ht="13.5" customHeight="1" thickBot="1">
      <c r="I360" s="731">
        <f t="shared" si="21"/>
        <v>36.500000000000249</v>
      </c>
      <c r="K360" s="731">
        <f t="shared" si="22"/>
        <v>36.60000000000025</v>
      </c>
      <c r="N360" s="503">
        <f t="shared" si="23"/>
        <v>362</v>
      </c>
      <c r="P360" s="726">
        <f t="shared" si="24"/>
        <v>363</v>
      </c>
    </row>
    <row r="361" spans="9:16" ht="13.5" customHeight="1" thickBot="1">
      <c r="I361" s="731">
        <f t="shared" si="21"/>
        <v>36.60000000000025</v>
      </c>
      <c r="K361" s="731">
        <f t="shared" si="22"/>
        <v>36.700000000000252</v>
      </c>
      <c r="N361" s="503">
        <f t="shared" si="23"/>
        <v>363</v>
      </c>
      <c r="P361" s="726">
        <f t="shared" si="24"/>
        <v>364</v>
      </c>
    </row>
    <row r="362" spans="9:16">
      <c r="I362" s="731">
        <f t="shared" si="21"/>
        <v>36.700000000000252</v>
      </c>
      <c r="K362" s="731">
        <f t="shared" si="22"/>
        <v>36.800000000000253</v>
      </c>
      <c r="N362" s="727">
        <f t="shared" si="23"/>
        <v>364</v>
      </c>
      <c r="P362" s="726">
        <f t="shared" si="24"/>
        <v>365</v>
      </c>
    </row>
    <row r="363" spans="9:16">
      <c r="N363" s="728"/>
      <c r="P363" s="728"/>
    </row>
    <row r="364" spans="9:16">
      <c r="N364" s="728"/>
      <c r="P364" s="728"/>
    </row>
    <row r="365" spans="9:16">
      <c r="N365" s="728"/>
      <c r="P365" s="728"/>
    </row>
    <row r="366" spans="9:16">
      <c r="N366" s="728"/>
      <c r="P366" s="728"/>
    </row>
    <row r="367" spans="9:16">
      <c r="N367" s="728"/>
      <c r="P367" s="728"/>
    </row>
    <row r="368" spans="9:16" s="644" customFormat="1">
      <c r="N368" s="758"/>
      <c r="P368" s="758"/>
    </row>
    <row r="369" spans="14:16" s="644" customFormat="1">
      <c r="N369" s="758"/>
      <c r="P369" s="758"/>
    </row>
    <row r="370" spans="14:16" s="644" customFormat="1">
      <c r="N370" s="758"/>
      <c r="P370" s="758"/>
    </row>
    <row r="371" spans="14:16" s="644" customFormat="1">
      <c r="N371" s="758"/>
      <c r="P371" s="758"/>
    </row>
    <row r="372" spans="14:16" s="644" customFormat="1">
      <c r="N372" s="758"/>
      <c r="P372" s="758"/>
    </row>
    <row r="373" spans="14:16" s="644" customFormat="1">
      <c r="N373" s="758"/>
      <c r="P373" s="758"/>
    </row>
    <row r="374" spans="14:16" s="644" customFormat="1">
      <c r="N374" s="758"/>
      <c r="P374" s="758"/>
    </row>
    <row r="375" spans="14:16" s="644" customFormat="1">
      <c r="N375" s="758"/>
      <c r="P375" s="758"/>
    </row>
    <row r="376" spans="14:16" s="644" customFormat="1">
      <c r="N376" s="758"/>
      <c r="P376" s="758"/>
    </row>
    <row r="377" spans="14:16" s="644" customFormat="1">
      <c r="N377" s="758"/>
      <c r="P377" s="758"/>
    </row>
    <row r="378" spans="14:16" s="644" customFormat="1">
      <c r="N378" s="758"/>
      <c r="P378" s="758"/>
    </row>
    <row r="379" spans="14:16" s="644" customFormat="1">
      <c r="N379" s="758"/>
      <c r="P379" s="758"/>
    </row>
    <row r="380" spans="14:16" s="644" customFormat="1">
      <c r="N380" s="758"/>
      <c r="P380" s="758"/>
    </row>
    <row r="381" spans="14:16" s="644" customFormat="1">
      <c r="N381" s="758"/>
      <c r="P381" s="758"/>
    </row>
    <row r="382" spans="14:16" s="644" customFormat="1">
      <c r="N382" s="758"/>
      <c r="P382" s="758"/>
    </row>
    <row r="383" spans="14:16" s="644" customFormat="1">
      <c r="N383" s="758"/>
      <c r="P383" s="758"/>
    </row>
    <row r="384" spans="14:16" s="644" customFormat="1">
      <c r="N384" s="758"/>
      <c r="P384" s="758"/>
    </row>
    <row r="385" spans="14:16" s="644" customFormat="1">
      <c r="N385" s="758"/>
      <c r="P385" s="758"/>
    </row>
    <row r="386" spans="14:16" s="644" customFormat="1">
      <c r="N386" s="758"/>
      <c r="P386" s="758"/>
    </row>
    <row r="387" spans="14:16" s="644" customFormat="1">
      <c r="N387" s="758"/>
      <c r="P387" s="758"/>
    </row>
    <row r="388" spans="14:16" s="644" customFormat="1">
      <c r="N388" s="758"/>
      <c r="P388" s="758"/>
    </row>
    <row r="389" spans="14:16" s="644" customFormat="1">
      <c r="N389" s="758"/>
      <c r="P389" s="758"/>
    </row>
    <row r="390" spans="14:16" s="644" customFormat="1">
      <c r="N390" s="758"/>
      <c r="P390" s="758"/>
    </row>
    <row r="391" spans="14:16" s="644" customFormat="1">
      <c r="N391" s="758"/>
      <c r="P391" s="758"/>
    </row>
    <row r="392" spans="14:16" s="644" customFormat="1">
      <c r="N392" s="758"/>
      <c r="P392" s="758"/>
    </row>
    <row r="393" spans="14:16" s="644" customFormat="1">
      <c r="N393" s="758"/>
      <c r="P393" s="758"/>
    </row>
    <row r="394" spans="14:16" s="644" customFormat="1">
      <c r="N394" s="758"/>
      <c r="P394" s="758"/>
    </row>
    <row r="395" spans="14:16" s="644" customFormat="1">
      <c r="N395" s="758"/>
      <c r="P395" s="758"/>
    </row>
    <row r="396" spans="14:16" s="644" customFormat="1">
      <c r="N396" s="758"/>
      <c r="P396" s="758"/>
    </row>
    <row r="397" spans="14:16" s="644" customFormat="1">
      <c r="N397" s="758"/>
      <c r="P397" s="758"/>
    </row>
    <row r="398" spans="14:16" s="644" customFormat="1">
      <c r="N398" s="758"/>
      <c r="P398" s="758"/>
    </row>
    <row r="399" spans="14:16" s="644" customFormat="1">
      <c r="N399" s="758"/>
      <c r="P399" s="758"/>
    </row>
    <row r="400" spans="14:16" s="644" customFormat="1">
      <c r="N400" s="758"/>
      <c r="P400" s="758"/>
    </row>
    <row r="401" spans="14:16" s="644" customFormat="1">
      <c r="N401" s="758"/>
      <c r="P401" s="758"/>
    </row>
    <row r="402" spans="14:16" s="644" customFormat="1">
      <c r="N402" s="758"/>
      <c r="P402" s="758"/>
    </row>
    <row r="403" spans="14:16" s="644" customFormat="1">
      <c r="N403" s="758"/>
      <c r="P403" s="758"/>
    </row>
    <row r="404" spans="14:16" s="644" customFormat="1">
      <c r="N404" s="758"/>
      <c r="P404" s="758"/>
    </row>
    <row r="405" spans="14:16" s="644" customFormat="1">
      <c r="N405" s="758"/>
      <c r="P405" s="758"/>
    </row>
    <row r="406" spans="14:16" s="644" customFormat="1">
      <c r="N406" s="758"/>
      <c r="P406" s="758"/>
    </row>
    <row r="407" spans="14:16" s="644" customFormat="1">
      <c r="N407" s="758"/>
      <c r="P407" s="758"/>
    </row>
    <row r="408" spans="14:16" s="644" customFormat="1">
      <c r="N408" s="758"/>
      <c r="P408" s="758"/>
    </row>
    <row r="409" spans="14:16" s="644" customFormat="1">
      <c r="N409" s="758"/>
      <c r="P409" s="758"/>
    </row>
    <row r="410" spans="14:16" s="644" customFormat="1">
      <c r="N410" s="758"/>
      <c r="P410" s="758"/>
    </row>
    <row r="411" spans="14:16" s="644" customFormat="1">
      <c r="N411" s="758"/>
      <c r="P411" s="758"/>
    </row>
    <row r="412" spans="14:16" s="644" customFormat="1">
      <c r="N412" s="758"/>
      <c r="P412" s="758"/>
    </row>
    <row r="413" spans="14:16" s="644" customFormat="1">
      <c r="N413" s="758"/>
      <c r="P413" s="758"/>
    </row>
    <row r="414" spans="14:16" s="644" customFormat="1">
      <c r="N414" s="758"/>
      <c r="P414" s="758"/>
    </row>
    <row r="415" spans="14:16" s="644" customFormat="1">
      <c r="N415" s="758"/>
      <c r="P415" s="758"/>
    </row>
    <row r="416" spans="14:16" s="644" customFormat="1">
      <c r="N416" s="758"/>
      <c r="P416" s="758"/>
    </row>
    <row r="417" spans="14:16" s="644" customFormat="1">
      <c r="N417" s="758"/>
      <c r="P417" s="758"/>
    </row>
    <row r="418" spans="14:16" s="644" customFormat="1">
      <c r="N418" s="758"/>
      <c r="P418" s="758"/>
    </row>
    <row r="419" spans="14:16" s="644" customFormat="1">
      <c r="N419" s="759"/>
    </row>
    <row r="420" spans="14:16" s="644" customFormat="1">
      <c r="N420" s="759"/>
    </row>
    <row r="421" spans="14:16" s="644" customFormat="1">
      <c r="N421" s="759"/>
    </row>
    <row r="422" spans="14:16" s="644" customFormat="1">
      <c r="N422" s="759"/>
    </row>
    <row r="423" spans="14:16" s="644" customFormat="1">
      <c r="N423" s="759"/>
    </row>
    <row r="424" spans="14:16" s="644" customFormat="1">
      <c r="N424" s="759"/>
    </row>
    <row r="425" spans="14:16" s="644" customFormat="1">
      <c r="N425" s="759"/>
    </row>
    <row r="426" spans="14:16" s="644" customFormat="1">
      <c r="N426" s="759"/>
    </row>
    <row r="427" spans="14:16" s="644" customFormat="1">
      <c r="N427" s="759"/>
    </row>
    <row r="428" spans="14:16" s="644" customFormat="1">
      <c r="N428" s="759"/>
    </row>
    <row r="429" spans="14:16" s="644" customFormat="1">
      <c r="N429" s="759"/>
    </row>
    <row r="430" spans="14:16" s="644" customFormat="1">
      <c r="N430" s="759"/>
    </row>
    <row r="431" spans="14:16" s="644" customFormat="1">
      <c r="N431" s="759"/>
    </row>
    <row r="432" spans="14:16" s="644" customFormat="1">
      <c r="N432" s="759"/>
    </row>
    <row r="433" spans="14:14" s="644" customFormat="1">
      <c r="N433" s="759"/>
    </row>
    <row r="434" spans="14:14" s="644" customFormat="1">
      <c r="N434" s="759"/>
    </row>
    <row r="435" spans="14:14" s="644" customFormat="1">
      <c r="N435" s="759"/>
    </row>
    <row r="436" spans="14:14" s="644" customFormat="1">
      <c r="N436" s="759"/>
    </row>
    <row r="437" spans="14:14" s="644" customFormat="1">
      <c r="N437" s="759"/>
    </row>
    <row r="438" spans="14:14" s="644" customFormat="1">
      <c r="N438" s="759"/>
    </row>
    <row r="439" spans="14:14" s="644" customFormat="1">
      <c r="N439" s="759"/>
    </row>
    <row r="440" spans="14:14" s="644" customFormat="1">
      <c r="N440" s="759"/>
    </row>
    <row r="441" spans="14:14" s="644" customFormat="1">
      <c r="N441" s="759"/>
    </row>
    <row r="442" spans="14:14" s="644" customFormat="1">
      <c r="N442" s="759"/>
    </row>
    <row r="443" spans="14:14" s="644" customFormat="1">
      <c r="N443" s="759"/>
    </row>
    <row r="444" spans="14:14" s="644" customFormat="1">
      <c r="N444" s="759"/>
    </row>
    <row r="445" spans="14:14" s="644" customFormat="1">
      <c r="N445" s="759"/>
    </row>
    <row r="446" spans="14:14" s="644" customFormat="1">
      <c r="N446" s="759"/>
    </row>
    <row r="447" spans="14:14" s="644" customFormat="1">
      <c r="N447" s="759"/>
    </row>
    <row r="448" spans="14:14" s="644" customFormat="1">
      <c r="N448" s="759"/>
    </row>
    <row r="449" spans="14:14" s="644" customFormat="1">
      <c r="N449" s="759"/>
    </row>
    <row r="450" spans="14:14" s="644" customFormat="1">
      <c r="N450" s="759"/>
    </row>
    <row r="451" spans="14:14" s="644" customFormat="1">
      <c r="N451" s="759"/>
    </row>
    <row r="452" spans="14:14" s="644" customFormat="1">
      <c r="N452" s="759"/>
    </row>
    <row r="453" spans="14:14" s="644" customFormat="1">
      <c r="N453" s="759"/>
    </row>
    <row r="454" spans="14:14" s="644" customFormat="1">
      <c r="N454" s="759"/>
    </row>
    <row r="455" spans="14:14" s="644" customFormat="1">
      <c r="N455" s="759"/>
    </row>
    <row r="456" spans="14:14" s="644" customFormat="1">
      <c r="N456" s="759"/>
    </row>
    <row r="457" spans="14:14" s="644" customFormat="1">
      <c r="N457" s="759"/>
    </row>
    <row r="458" spans="14:14" s="644" customFormat="1">
      <c r="N458" s="759"/>
    </row>
    <row r="459" spans="14:14" s="644" customFormat="1">
      <c r="N459" s="759"/>
    </row>
    <row r="460" spans="14:14" s="644" customFormat="1">
      <c r="N460" s="759"/>
    </row>
    <row r="461" spans="14:14" s="644" customFormat="1">
      <c r="N461" s="759"/>
    </row>
    <row r="462" spans="14:14" s="644" customFormat="1">
      <c r="N462" s="759"/>
    </row>
    <row r="463" spans="14:14" s="644" customFormat="1">
      <c r="N463" s="759"/>
    </row>
    <row r="464" spans="14:14" s="644" customFormat="1">
      <c r="N464" s="759"/>
    </row>
    <row r="465" spans="14:14" s="644" customFormat="1">
      <c r="N465" s="759"/>
    </row>
    <row r="466" spans="14:14" s="644" customFormat="1">
      <c r="N466" s="759"/>
    </row>
    <row r="467" spans="14:14" s="644" customFormat="1">
      <c r="N467" s="759"/>
    </row>
    <row r="468" spans="14:14" s="644" customFormat="1">
      <c r="N468" s="759"/>
    </row>
    <row r="469" spans="14:14" s="644" customFormat="1">
      <c r="N469" s="759"/>
    </row>
    <row r="470" spans="14:14" s="644" customFormat="1">
      <c r="N470" s="759"/>
    </row>
    <row r="471" spans="14:14" s="644" customFormat="1">
      <c r="N471" s="759"/>
    </row>
    <row r="472" spans="14:14" s="644" customFormat="1">
      <c r="N472" s="759"/>
    </row>
    <row r="473" spans="14:14" s="644" customFormat="1">
      <c r="N473" s="759"/>
    </row>
    <row r="474" spans="14:14" s="644" customFormat="1">
      <c r="N474" s="759"/>
    </row>
    <row r="475" spans="14:14" s="644" customFormat="1">
      <c r="N475" s="759"/>
    </row>
    <row r="476" spans="14:14" s="644" customFormat="1">
      <c r="N476" s="759"/>
    </row>
    <row r="477" spans="14:14" s="644" customFormat="1">
      <c r="N477" s="759"/>
    </row>
    <row r="478" spans="14:14" s="644" customFormat="1">
      <c r="N478" s="759"/>
    </row>
    <row r="479" spans="14:14" s="644" customFormat="1">
      <c r="N479" s="759"/>
    </row>
    <row r="480" spans="14:14" s="644" customFormat="1">
      <c r="N480" s="759"/>
    </row>
    <row r="481" spans="14:14" s="644" customFormat="1">
      <c r="N481" s="759"/>
    </row>
    <row r="482" spans="14:14" s="644" customFormat="1">
      <c r="N482" s="759"/>
    </row>
    <row r="483" spans="14:14" s="644" customFormat="1">
      <c r="N483" s="759"/>
    </row>
    <row r="484" spans="14:14" s="644" customFormat="1">
      <c r="N484" s="759"/>
    </row>
    <row r="485" spans="14:14" s="644" customFormat="1">
      <c r="N485" s="759"/>
    </row>
    <row r="486" spans="14:14" s="644" customFormat="1">
      <c r="N486" s="759"/>
    </row>
    <row r="487" spans="14:14" s="644" customFormat="1">
      <c r="N487" s="759"/>
    </row>
    <row r="488" spans="14:14" s="644" customFormat="1">
      <c r="N488" s="759"/>
    </row>
    <row r="489" spans="14:14" s="644" customFormat="1">
      <c r="N489" s="759"/>
    </row>
    <row r="490" spans="14:14" s="644" customFormat="1">
      <c r="N490" s="759"/>
    </row>
    <row r="491" spans="14:14" s="644" customFormat="1">
      <c r="N491" s="759"/>
    </row>
    <row r="492" spans="14:14" s="644" customFormat="1">
      <c r="N492" s="759"/>
    </row>
    <row r="493" spans="14:14" s="644" customFormat="1">
      <c r="N493" s="759"/>
    </row>
    <row r="494" spans="14:14" s="644" customFormat="1">
      <c r="N494" s="759"/>
    </row>
    <row r="495" spans="14:14" s="644" customFormat="1">
      <c r="N495" s="759"/>
    </row>
    <row r="496" spans="14:14" s="644" customFormat="1">
      <c r="N496" s="759"/>
    </row>
    <row r="497" spans="14:14" s="644" customFormat="1">
      <c r="N497" s="759"/>
    </row>
    <row r="498" spans="14:14" s="644" customFormat="1">
      <c r="N498" s="759"/>
    </row>
    <row r="499" spans="14:14" s="644" customFormat="1">
      <c r="N499" s="759"/>
    </row>
    <row r="500" spans="14:14" s="644" customFormat="1">
      <c r="N500" s="759"/>
    </row>
    <row r="501" spans="14:14" s="644" customFormat="1">
      <c r="N501" s="759"/>
    </row>
    <row r="502" spans="14:14" s="644" customFormat="1">
      <c r="N502" s="759"/>
    </row>
    <row r="503" spans="14:14" s="644" customFormat="1">
      <c r="N503" s="759"/>
    </row>
    <row r="504" spans="14:14" s="644" customFormat="1">
      <c r="N504" s="759"/>
    </row>
    <row r="505" spans="14:14" s="644" customFormat="1">
      <c r="N505" s="759"/>
    </row>
    <row r="506" spans="14:14" s="644" customFormat="1">
      <c r="N506" s="759"/>
    </row>
    <row r="507" spans="14:14" s="644" customFormat="1">
      <c r="N507" s="759"/>
    </row>
    <row r="508" spans="14:14" s="644" customFormat="1">
      <c r="N508" s="759"/>
    </row>
    <row r="509" spans="14:14" s="644" customFormat="1">
      <c r="N509" s="759"/>
    </row>
    <row r="510" spans="14:14" s="644" customFormat="1">
      <c r="N510" s="759"/>
    </row>
    <row r="511" spans="14:14" s="644" customFormat="1">
      <c r="N511" s="759"/>
    </row>
    <row r="512" spans="14:14" s="644" customFormat="1">
      <c r="N512" s="759"/>
    </row>
    <row r="513" spans="14:14" s="644" customFormat="1">
      <c r="N513" s="759"/>
    </row>
    <row r="514" spans="14:14" s="644" customFormat="1">
      <c r="N514" s="759"/>
    </row>
    <row r="515" spans="14:14" s="644" customFormat="1">
      <c r="N515" s="759"/>
    </row>
    <row r="516" spans="14:14" s="644" customFormat="1">
      <c r="N516" s="759"/>
    </row>
    <row r="517" spans="14:14" s="644" customFormat="1">
      <c r="N517" s="759"/>
    </row>
    <row r="518" spans="14:14" s="644" customFormat="1">
      <c r="N518" s="759"/>
    </row>
    <row r="519" spans="14:14" s="644" customFormat="1">
      <c r="N519" s="759"/>
    </row>
    <row r="520" spans="14:14" s="644" customFormat="1">
      <c r="N520" s="759"/>
    </row>
    <row r="521" spans="14:14" s="644" customFormat="1">
      <c r="N521" s="759"/>
    </row>
    <row r="522" spans="14:14" s="644" customFormat="1">
      <c r="N522" s="759"/>
    </row>
    <row r="523" spans="14:14" s="644" customFormat="1">
      <c r="N523" s="759"/>
    </row>
    <row r="524" spans="14:14" s="644" customFormat="1">
      <c r="N524" s="759"/>
    </row>
    <row r="525" spans="14:14" s="644" customFormat="1">
      <c r="N525" s="759"/>
    </row>
    <row r="526" spans="14:14" s="644" customFormat="1">
      <c r="N526" s="759"/>
    </row>
    <row r="527" spans="14:14" s="644" customFormat="1">
      <c r="N527" s="759"/>
    </row>
    <row r="528" spans="14:14" s="644" customFormat="1">
      <c r="N528" s="759"/>
    </row>
    <row r="529" spans="14:14" s="644" customFormat="1">
      <c r="N529" s="759"/>
    </row>
    <row r="530" spans="14:14" s="644" customFormat="1">
      <c r="N530" s="759"/>
    </row>
    <row r="531" spans="14:14" s="644" customFormat="1">
      <c r="N531" s="759"/>
    </row>
    <row r="532" spans="14:14" s="644" customFormat="1">
      <c r="N532" s="759"/>
    </row>
    <row r="533" spans="14:14" s="644" customFormat="1">
      <c r="N533" s="759"/>
    </row>
    <row r="534" spans="14:14" s="644" customFormat="1">
      <c r="N534" s="759"/>
    </row>
    <row r="535" spans="14:14" s="644" customFormat="1">
      <c r="N535" s="759"/>
    </row>
    <row r="536" spans="14:14" s="644" customFormat="1">
      <c r="N536" s="759"/>
    </row>
    <row r="537" spans="14:14" s="644" customFormat="1">
      <c r="N537" s="759"/>
    </row>
    <row r="538" spans="14:14" s="644" customFormat="1">
      <c r="N538" s="759"/>
    </row>
    <row r="539" spans="14:14" s="644" customFormat="1">
      <c r="N539" s="759"/>
    </row>
    <row r="540" spans="14:14" s="644" customFormat="1">
      <c r="N540" s="759"/>
    </row>
    <row r="541" spans="14:14" s="644" customFormat="1">
      <c r="N541" s="759"/>
    </row>
    <row r="542" spans="14:14" s="644" customFormat="1">
      <c r="N542" s="759"/>
    </row>
    <row r="543" spans="14:14" s="644" customFormat="1">
      <c r="N543" s="759"/>
    </row>
    <row r="544" spans="14:14" s="644" customFormat="1">
      <c r="N544" s="759"/>
    </row>
    <row r="545" spans="14:14" s="644" customFormat="1">
      <c r="N545" s="759"/>
    </row>
    <row r="546" spans="14:14" s="644" customFormat="1">
      <c r="N546" s="759"/>
    </row>
    <row r="547" spans="14:14" s="644" customFormat="1">
      <c r="N547" s="759"/>
    </row>
    <row r="548" spans="14:14" s="644" customFormat="1">
      <c r="N548" s="759"/>
    </row>
    <row r="549" spans="14:14" s="644" customFormat="1">
      <c r="N549" s="759"/>
    </row>
    <row r="550" spans="14:14" s="644" customFormat="1">
      <c r="N550" s="759"/>
    </row>
    <row r="551" spans="14:14" s="644" customFormat="1">
      <c r="N551" s="759"/>
    </row>
    <row r="552" spans="14:14" s="644" customFormat="1">
      <c r="N552" s="759"/>
    </row>
    <row r="553" spans="14:14" s="644" customFormat="1">
      <c r="N553" s="759"/>
    </row>
    <row r="554" spans="14:14" s="644" customFormat="1">
      <c r="N554" s="759"/>
    </row>
    <row r="555" spans="14:14" s="644" customFormat="1">
      <c r="N555" s="759"/>
    </row>
    <row r="556" spans="14:14" s="644" customFormat="1">
      <c r="N556" s="759"/>
    </row>
    <row r="557" spans="14:14" s="644" customFormat="1">
      <c r="N557" s="759"/>
    </row>
    <row r="558" spans="14:14" s="644" customFormat="1">
      <c r="N558" s="759"/>
    </row>
    <row r="559" spans="14:14" s="644" customFormat="1">
      <c r="N559" s="759"/>
    </row>
    <row r="560" spans="14:14" s="644" customFormat="1">
      <c r="N560" s="759"/>
    </row>
    <row r="561" spans="14:14" s="644" customFormat="1">
      <c r="N561" s="759"/>
    </row>
    <row r="562" spans="14:14" s="644" customFormat="1">
      <c r="N562" s="759"/>
    </row>
  </sheetData>
  <mergeCells count="2">
    <mergeCell ref="I1:L1"/>
    <mergeCell ref="N2:P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B1:BB178"/>
  <sheetViews>
    <sheetView zoomScale="118" zoomScaleNormal="118" workbookViewId="0">
      <selection activeCell="H6" sqref="H6"/>
    </sheetView>
  </sheetViews>
  <sheetFormatPr defaultRowHeight="12.75"/>
  <cols>
    <col min="1" max="1" width="2.7109375" customWidth="1"/>
    <col min="2" max="2" width="9.42578125" customWidth="1"/>
    <col min="3" max="6" width="6.7109375" customWidth="1"/>
    <col min="7" max="7" width="6.7109375" style="1" customWidth="1"/>
    <col min="8" max="14" width="6.7109375" customWidth="1"/>
    <col min="15" max="15" width="6.7109375" style="1" customWidth="1"/>
    <col min="16" max="22" width="6.7109375" customWidth="1"/>
    <col min="23" max="23" width="11.85546875" customWidth="1"/>
    <col min="24" max="24" width="5.140625" customWidth="1"/>
    <col min="25" max="25" width="3.5703125" customWidth="1"/>
    <col min="26" max="26" width="8.7109375" customWidth="1"/>
    <col min="27" max="27" width="7" customWidth="1"/>
    <col min="28" max="28" width="10.28515625" customWidth="1"/>
    <col min="29" max="29" width="38.42578125" style="10" customWidth="1"/>
    <col min="30" max="30" width="11.85546875" customWidth="1"/>
    <col min="31" max="31" width="8.28515625" bestFit="1" customWidth="1"/>
    <col min="32" max="32" width="14.28515625" customWidth="1"/>
    <col min="33" max="40" width="7.7109375" customWidth="1"/>
    <col min="41" max="44" width="7.7109375" hidden="1" customWidth="1"/>
    <col min="45" max="45" width="10.7109375" customWidth="1"/>
    <col min="46" max="46" width="9.7109375" customWidth="1"/>
    <col min="47" max="47" width="11.28515625" customWidth="1"/>
    <col min="48" max="48" width="11" customWidth="1"/>
    <col min="49" max="52" width="7.7109375" customWidth="1"/>
    <col min="53" max="53" width="16.42578125" customWidth="1"/>
  </cols>
  <sheetData>
    <row r="1" spans="2:41" ht="40.5" customHeight="1" thickBot="1">
      <c r="B1">
        <v>1</v>
      </c>
      <c r="C1">
        <v>2</v>
      </c>
      <c r="D1">
        <v>3</v>
      </c>
      <c r="E1">
        <v>4</v>
      </c>
      <c r="F1">
        <v>5</v>
      </c>
      <c r="G1" s="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s="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2:41" ht="37.5" customHeight="1" thickBot="1">
      <c r="B2" s="921" t="s">
        <v>204</v>
      </c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7"/>
      <c r="U2" s="917"/>
      <c r="V2" s="917"/>
      <c r="W2" s="917"/>
      <c r="X2" s="922"/>
      <c r="Z2" s="6" t="s">
        <v>205</v>
      </c>
      <c r="AA2" s="8" t="s">
        <v>206</v>
      </c>
      <c r="AF2" s="2" t="s">
        <v>207</v>
      </c>
      <c r="AH2" s="478"/>
      <c r="AI2" s="479"/>
      <c r="AJ2" s="479"/>
      <c r="AK2" s="480"/>
      <c r="AL2" s="480"/>
      <c r="AN2" s="4"/>
    </row>
    <row r="3" spans="2:41" s="15" customFormat="1" ht="25.5" customHeight="1">
      <c r="B3" s="484" t="s">
        <v>29</v>
      </c>
      <c r="C3" s="40" t="s">
        <v>208</v>
      </c>
      <c r="D3" s="41" t="s">
        <v>209</v>
      </c>
      <c r="E3" s="41" t="s">
        <v>210</v>
      </c>
      <c r="F3" s="42" t="s">
        <v>211</v>
      </c>
      <c r="G3" s="43" t="s">
        <v>212</v>
      </c>
      <c r="H3" s="41" t="s">
        <v>213</v>
      </c>
      <c r="I3" s="41" t="s">
        <v>214</v>
      </c>
      <c r="J3" s="42" t="s">
        <v>215</v>
      </c>
      <c r="K3" s="43" t="s">
        <v>216</v>
      </c>
      <c r="L3" s="44" t="s">
        <v>217</v>
      </c>
      <c r="M3" s="44" t="s">
        <v>218</v>
      </c>
      <c r="N3" s="45" t="s">
        <v>219</v>
      </c>
      <c r="O3" s="45" t="s">
        <v>220</v>
      </c>
      <c r="P3" s="44" t="s">
        <v>221</v>
      </c>
      <c r="Q3" s="44" t="s">
        <v>222</v>
      </c>
      <c r="R3" s="45" t="s">
        <v>223</v>
      </c>
      <c r="S3" s="43" t="s">
        <v>167</v>
      </c>
      <c r="T3" s="44" t="s">
        <v>171</v>
      </c>
      <c r="U3" s="44" t="s">
        <v>174</v>
      </c>
      <c r="V3" s="45" t="s">
        <v>177</v>
      </c>
      <c r="W3" s="323" t="s">
        <v>224</v>
      </c>
      <c r="X3" s="17">
        <v>2</v>
      </c>
      <c r="Z3" s="18" t="s">
        <v>153</v>
      </c>
      <c r="AA3" s="19" t="s">
        <v>225</v>
      </c>
      <c r="AB3" s="20"/>
      <c r="AC3" s="59" t="s">
        <v>226</v>
      </c>
      <c r="AD3" s="60">
        <f>'INSER. DATI'!C14*'INSER. DATI'!C15</f>
        <v>0</v>
      </c>
      <c r="AE3" s="21"/>
      <c r="AF3" s="910">
        <f>'INSER. DATI'!C14</f>
        <v>1</v>
      </c>
      <c r="AG3" s="21"/>
      <c r="AH3" s="462"/>
      <c r="AI3" s="462"/>
      <c r="AJ3" s="462"/>
      <c r="AK3" s="462"/>
      <c r="AL3" s="462"/>
      <c r="AN3" s="481"/>
    </row>
    <row r="4" spans="2:41" ht="15.75" customHeight="1" thickBot="1">
      <c r="B4" s="31">
        <v>1</v>
      </c>
      <c r="C4" s="417" t="s">
        <v>227</v>
      </c>
      <c r="D4" s="418" t="s">
        <v>227</v>
      </c>
      <c r="E4" s="419" t="s">
        <v>227</v>
      </c>
      <c r="F4" s="420" t="s">
        <v>227</v>
      </c>
      <c r="G4" s="421" t="s">
        <v>227</v>
      </c>
      <c r="H4" s="476" t="s">
        <v>227</v>
      </c>
      <c r="I4" s="422" t="s">
        <v>227</v>
      </c>
      <c r="J4" s="423" t="s">
        <v>227</v>
      </c>
      <c r="K4" s="424" t="s">
        <v>227</v>
      </c>
      <c r="L4" s="425" t="s">
        <v>227</v>
      </c>
      <c r="M4" s="426" t="s">
        <v>227</v>
      </c>
      <c r="N4" s="427" t="s">
        <v>227</v>
      </c>
      <c r="O4" s="721">
        <v>10</v>
      </c>
      <c r="P4" s="722">
        <v>12</v>
      </c>
      <c r="Q4" s="723">
        <v>11</v>
      </c>
      <c r="R4" s="724">
        <v>13</v>
      </c>
      <c r="S4" s="429" t="s">
        <v>227</v>
      </c>
      <c r="T4" s="430" t="s">
        <v>227</v>
      </c>
      <c r="U4" s="431" t="s">
        <v>227</v>
      </c>
      <c r="V4" s="432" t="s">
        <v>227</v>
      </c>
      <c r="W4" s="324" t="s">
        <v>228</v>
      </c>
      <c r="X4" s="5">
        <v>3</v>
      </c>
      <c r="Z4" s="7" t="s">
        <v>155</v>
      </c>
      <c r="AA4" s="13">
        <f t="shared" ref="AA4:AA20" si="0">B4</f>
        <v>1</v>
      </c>
      <c r="AB4" s="2" t="s">
        <v>112</v>
      </c>
      <c r="AC4" s="61" t="s">
        <v>229</v>
      </c>
      <c r="AD4" s="62" t="e">
        <f>VLOOKUP('INSER. DATI'!C4,'x inserimento dati fissi'!B25:J34,5,FALSE)</f>
        <v>#N/A</v>
      </c>
      <c r="AE4" s="3"/>
      <c r="AF4" s="911"/>
      <c r="AG4" s="3"/>
      <c r="AH4" s="4"/>
      <c r="AI4" s="4"/>
      <c r="AJ4" s="4"/>
      <c r="AK4" s="4"/>
      <c r="AL4" s="4"/>
      <c r="AN4" s="140"/>
    </row>
    <row r="5" spans="2:41" ht="15" customHeight="1">
      <c r="B5" s="31" t="s">
        <v>230</v>
      </c>
      <c r="C5" s="417" t="s">
        <v>227</v>
      </c>
      <c r="D5" s="418" t="s">
        <v>227</v>
      </c>
      <c r="E5" s="419" t="s">
        <v>227</v>
      </c>
      <c r="F5" s="420" t="s">
        <v>227</v>
      </c>
      <c r="G5" s="421" t="s">
        <v>227</v>
      </c>
      <c r="H5" s="476" t="s">
        <v>227</v>
      </c>
      <c r="I5" s="422" t="s">
        <v>227</v>
      </c>
      <c r="J5" s="423" t="s">
        <v>227</v>
      </c>
      <c r="K5" s="424" t="s">
        <v>227</v>
      </c>
      <c r="L5" s="425" t="s">
        <v>227</v>
      </c>
      <c r="M5" s="426" t="s">
        <v>227</v>
      </c>
      <c r="N5" s="427" t="s">
        <v>227</v>
      </c>
      <c r="O5" s="721">
        <v>16</v>
      </c>
      <c r="P5" s="722">
        <v>23</v>
      </c>
      <c r="Q5" s="723">
        <v>17</v>
      </c>
      <c r="R5" s="724">
        <v>20</v>
      </c>
      <c r="S5" s="429" t="s">
        <v>227</v>
      </c>
      <c r="T5" s="430" t="s">
        <v>227</v>
      </c>
      <c r="U5" s="431" t="s">
        <v>227</v>
      </c>
      <c r="V5" s="432" t="s">
        <v>227</v>
      </c>
      <c r="W5" s="324" t="s">
        <v>231</v>
      </c>
      <c r="X5" s="5">
        <v>4</v>
      </c>
      <c r="Z5" s="7" t="s">
        <v>157</v>
      </c>
      <c r="AA5" s="13" t="str">
        <f t="shared" si="0"/>
        <v>2 (-)</v>
      </c>
      <c r="AB5" t="s">
        <v>232</v>
      </c>
      <c r="AC5" s="63" t="s">
        <v>233</v>
      </c>
      <c r="AD5" s="62" t="e">
        <f>VLOOKUP('INSER. DATI'!C4,'x inserimento dati fissi'!B25:J34,7,FALSE)</f>
        <v>#N/A</v>
      </c>
      <c r="AE5" s="3"/>
      <c r="AF5" s="3"/>
      <c r="AG5" s="3"/>
    </row>
    <row r="6" spans="2:41" ht="15" customHeight="1">
      <c r="B6" s="31">
        <v>2</v>
      </c>
      <c r="C6" s="417" t="s">
        <v>227</v>
      </c>
      <c r="D6" s="418" t="s">
        <v>227</v>
      </c>
      <c r="E6" s="419" t="s">
        <v>227</v>
      </c>
      <c r="F6" s="420" t="s">
        <v>227</v>
      </c>
      <c r="G6" s="421" t="s">
        <v>227</v>
      </c>
      <c r="H6" s="476" t="s">
        <v>227</v>
      </c>
      <c r="I6" s="422" t="s">
        <v>227</v>
      </c>
      <c r="J6" s="423" t="s">
        <v>227</v>
      </c>
      <c r="K6" s="424" t="s">
        <v>227</v>
      </c>
      <c r="L6" s="425" t="s">
        <v>227</v>
      </c>
      <c r="M6" s="426" t="s">
        <v>227</v>
      </c>
      <c r="N6" s="427" t="s">
        <v>227</v>
      </c>
      <c r="O6" s="721">
        <v>24</v>
      </c>
      <c r="P6" s="722">
        <v>35</v>
      </c>
      <c r="Q6" s="723">
        <v>23</v>
      </c>
      <c r="R6" s="724">
        <v>28</v>
      </c>
      <c r="S6" s="429" t="s">
        <v>227</v>
      </c>
      <c r="T6" s="430" t="s">
        <v>227</v>
      </c>
      <c r="U6" s="431" t="s">
        <v>227</v>
      </c>
      <c r="V6" s="432" t="s">
        <v>227</v>
      </c>
      <c r="W6" s="324" t="s">
        <v>234</v>
      </c>
      <c r="X6" s="5">
        <v>5</v>
      </c>
      <c r="Z6" s="7" t="s">
        <v>155</v>
      </c>
      <c r="AA6" s="13">
        <f t="shared" si="0"/>
        <v>2</v>
      </c>
      <c r="AB6" s="2" t="s">
        <v>112</v>
      </c>
      <c r="AC6" s="64" t="s">
        <v>235</v>
      </c>
      <c r="AD6" s="65" t="e">
        <f>VLOOKUP('INSER. DATI'!C4,'x inserimento dati fissi'!B25:J34,9,FALSE)</f>
        <v>#N/A</v>
      </c>
      <c r="AE6" s="3"/>
      <c r="AF6" s="3"/>
      <c r="AG6" s="3"/>
    </row>
    <row r="7" spans="2:41" ht="15" customHeight="1">
      <c r="B7" s="31" t="s">
        <v>196</v>
      </c>
      <c r="C7" s="417" t="s">
        <v>227</v>
      </c>
      <c r="D7" s="418" t="s">
        <v>227</v>
      </c>
      <c r="E7" s="419" t="s">
        <v>227</v>
      </c>
      <c r="F7" s="420" t="s">
        <v>227</v>
      </c>
      <c r="G7" s="421" t="s">
        <v>227</v>
      </c>
      <c r="H7" s="476" t="s">
        <v>227</v>
      </c>
      <c r="I7" s="422" t="s">
        <v>227</v>
      </c>
      <c r="J7" s="423" t="s">
        <v>227</v>
      </c>
      <c r="K7" s="424" t="s">
        <v>227</v>
      </c>
      <c r="L7" s="425" t="s">
        <v>227</v>
      </c>
      <c r="M7" s="426" t="s">
        <v>227</v>
      </c>
      <c r="N7" s="427" t="s">
        <v>227</v>
      </c>
      <c r="O7" s="721">
        <v>43</v>
      </c>
      <c r="P7" s="722">
        <v>64</v>
      </c>
      <c r="Q7" s="723">
        <v>41</v>
      </c>
      <c r="R7" s="724">
        <v>48</v>
      </c>
      <c r="S7" s="429" t="s">
        <v>227</v>
      </c>
      <c r="T7" s="430" t="s">
        <v>227</v>
      </c>
      <c r="U7" s="431" t="s">
        <v>227</v>
      </c>
      <c r="V7" s="432" t="s">
        <v>227</v>
      </c>
      <c r="W7" s="324" t="s">
        <v>236</v>
      </c>
      <c r="X7" s="5">
        <v>6</v>
      </c>
      <c r="Z7" s="7" t="s">
        <v>157</v>
      </c>
      <c r="AA7" s="13" t="str">
        <f t="shared" si="0"/>
        <v>3 (Range)</v>
      </c>
      <c r="AB7" s="2" t="s">
        <v>237</v>
      </c>
      <c r="AC7" s="61" t="s">
        <v>238</v>
      </c>
      <c r="AD7" s="62" t="e">
        <f>VLOOKUP('INSER. DATI'!C4,'x inserimento dati fissi'!B25:N34,13,FALSE)</f>
        <v>#N/A</v>
      </c>
      <c r="AE7" s="3"/>
      <c r="AF7" s="3"/>
      <c r="AG7" s="3"/>
    </row>
    <row r="8" spans="2:41" ht="15" customHeight="1">
      <c r="B8" s="31">
        <v>3</v>
      </c>
      <c r="C8" s="417">
        <v>18</v>
      </c>
      <c r="D8" s="418">
        <v>24.396694214876039</v>
      </c>
      <c r="E8" s="419">
        <v>15</v>
      </c>
      <c r="F8" s="420">
        <v>37</v>
      </c>
      <c r="G8" s="421">
        <v>31</v>
      </c>
      <c r="H8" s="476">
        <v>40.254545454545458</v>
      </c>
      <c r="I8" s="422">
        <v>27</v>
      </c>
      <c r="J8" s="423">
        <v>61.05</v>
      </c>
      <c r="K8" s="424" t="s">
        <v>227</v>
      </c>
      <c r="L8" s="425" t="s">
        <v>227</v>
      </c>
      <c r="M8" s="426" t="s">
        <v>227</v>
      </c>
      <c r="N8" s="427" t="s">
        <v>227</v>
      </c>
      <c r="O8" s="721">
        <v>57</v>
      </c>
      <c r="P8" s="722">
        <v>85</v>
      </c>
      <c r="Q8" s="723">
        <v>59</v>
      </c>
      <c r="R8" s="724">
        <v>63</v>
      </c>
      <c r="S8" s="429" t="s">
        <v>227</v>
      </c>
      <c r="T8" s="430" t="s">
        <v>227</v>
      </c>
      <c r="U8" s="431" t="s">
        <v>227</v>
      </c>
      <c r="V8" s="432" t="s">
        <v>227</v>
      </c>
      <c r="W8" s="324" t="s">
        <v>239</v>
      </c>
      <c r="X8" s="5">
        <v>7</v>
      </c>
      <c r="Z8" s="7" t="s">
        <v>159</v>
      </c>
      <c r="AA8" s="13">
        <f t="shared" si="0"/>
        <v>3</v>
      </c>
      <c r="AB8" s="2" t="s">
        <v>112</v>
      </c>
      <c r="AC8" s="61" t="s">
        <v>240</v>
      </c>
      <c r="AD8" s="62" t="e">
        <f>VLOOKUP('INSER. DATI'!C4,'x inserimento dati fissi'!B25:L34,11,FALSE)</f>
        <v>#N/A</v>
      </c>
      <c r="AE8" s="3"/>
      <c r="AF8" s="3"/>
      <c r="AG8" s="3"/>
      <c r="AO8" t="s">
        <v>14</v>
      </c>
    </row>
    <row r="9" spans="2:41" ht="15.75" customHeight="1" thickBot="1">
      <c r="B9" s="31" t="s">
        <v>197</v>
      </c>
      <c r="C9" s="417">
        <v>35</v>
      </c>
      <c r="D9" s="418">
        <v>40</v>
      </c>
      <c r="E9" s="419">
        <v>30</v>
      </c>
      <c r="F9" s="420">
        <v>74</v>
      </c>
      <c r="G9" s="421">
        <v>56</v>
      </c>
      <c r="H9" s="476">
        <v>64</v>
      </c>
      <c r="I9" s="422">
        <v>49</v>
      </c>
      <c r="J9" s="423">
        <v>120</v>
      </c>
      <c r="K9" s="424" t="s">
        <v>227</v>
      </c>
      <c r="L9" s="425" t="s">
        <v>227</v>
      </c>
      <c r="M9" s="426" t="s">
        <v>227</v>
      </c>
      <c r="N9" s="427" t="s">
        <v>227</v>
      </c>
      <c r="O9" s="721">
        <v>81</v>
      </c>
      <c r="P9" s="725" t="s">
        <v>227</v>
      </c>
      <c r="Q9" s="723">
        <v>77</v>
      </c>
      <c r="R9" s="724">
        <v>99</v>
      </c>
      <c r="S9" s="429" t="s">
        <v>227</v>
      </c>
      <c r="T9" s="430" t="s">
        <v>227</v>
      </c>
      <c r="U9" s="431" t="s">
        <v>227</v>
      </c>
      <c r="V9" s="432" t="s">
        <v>227</v>
      </c>
      <c r="W9" s="324" t="s">
        <v>241</v>
      </c>
      <c r="X9" s="5">
        <v>8</v>
      </c>
      <c r="Z9" s="2" t="s">
        <v>212</v>
      </c>
      <c r="AA9" s="13" t="str">
        <f t="shared" si="0"/>
        <v>4 (Range)</v>
      </c>
      <c r="AB9" s="2" t="s">
        <v>242</v>
      </c>
      <c r="AC9" s="66" t="s">
        <v>243</v>
      </c>
      <c r="AD9" s="67" t="e">
        <f>VLOOKUP('INSER. DATI'!C4,'x inserimento dati fissi'!B25:M34,12,FALSE)</f>
        <v>#N/A</v>
      </c>
      <c r="AE9" s="3"/>
      <c r="AF9" s="3"/>
      <c r="AG9" s="3"/>
    </row>
    <row r="10" spans="2:41" ht="15" customHeight="1">
      <c r="B10" s="31">
        <v>4</v>
      </c>
      <c r="C10" s="417">
        <v>47</v>
      </c>
      <c r="D10" s="418">
        <v>59</v>
      </c>
      <c r="E10" s="419">
        <v>36</v>
      </c>
      <c r="F10" s="420">
        <v>90</v>
      </c>
      <c r="G10" s="421">
        <v>76</v>
      </c>
      <c r="H10" s="476">
        <v>96</v>
      </c>
      <c r="I10" s="422">
        <v>59</v>
      </c>
      <c r="J10" s="423">
        <v>147</v>
      </c>
      <c r="K10" s="424" t="s">
        <v>227</v>
      </c>
      <c r="L10" s="425" t="s">
        <v>227</v>
      </c>
      <c r="M10" s="426" t="s">
        <v>227</v>
      </c>
      <c r="N10" s="427" t="s">
        <v>227</v>
      </c>
      <c r="O10" s="721">
        <v>117</v>
      </c>
      <c r="P10" s="428" t="s">
        <v>227</v>
      </c>
      <c r="Q10" s="428">
        <v>102</v>
      </c>
      <c r="R10" s="428" t="s">
        <v>227</v>
      </c>
      <c r="S10" s="429" t="s">
        <v>227</v>
      </c>
      <c r="T10" s="430" t="s">
        <v>227</v>
      </c>
      <c r="U10" s="431" t="s">
        <v>227</v>
      </c>
      <c r="V10" s="432" t="s">
        <v>227</v>
      </c>
      <c r="W10" s="324" t="s">
        <v>244</v>
      </c>
      <c r="X10" s="5">
        <v>9</v>
      </c>
      <c r="Z10" t="s">
        <v>213</v>
      </c>
      <c r="AA10" s="13">
        <f t="shared" si="0"/>
        <v>4</v>
      </c>
      <c r="AB10" s="2" t="s">
        <v>112</v>
      </c>
      <c r="AC10" s="3"/>
      <c r="AD10" s="56"/>
      <c r="AE10" s="3"/>
      <c r="AF10" s="3"/>
      <c r="AG10" s="3"/>
      <c r="AK10" s="510" t="s">
        <v>14</v>
      </c>
      <c r="AL10" s="930" t="s">
        <v>245</v>
      </c>
    </row>
    <row r="11" spans="2:41" ht="15" customHeight="1">
      <c r="B11" s="31" t="s">
        <v>198</v>
      </c>
      <c r="C11" s="417">
        <v>69</v>
      </c>
      <c r="D11" s="418">
        <v>78</v>
      </c>
      <c r="E11" s="419">
        <v>65</v>
      </c>
      <c r="F11" s="420">
        <v>147</v>
      </c>
      <c r="G11" s="421">
        <v>113</v>
      </c>
      <c r="H11" s="476">
        <v>128</v>
      </c>
      <c r="I11" s="422">
        <v>107</v>
      </c>
      <c r="J11" s="423">
        <v>239</v>
      </c>
      <c r="K11" s="424" t="s">
        <v>227</v>
      </c>
      <c r="L11" s="425" t="s">
        <v>227</v>
      </c>
      <c r="M11" s="426" t="s">
        <v>227</v>
      </c>
      <c r="N11" s="427" t="s">
        <v>227</v>
      </c>
      <c r="O11" s="428" t="s">
        <v>227</v>
      </c>
      <c r="P11" s="428" t="s">
        <v>227</v>
      </c>
      <c r="Q11" s="428" t="s">
        <v>227</v>
      </c>
      <c r="R11" s="428" t="s">
        <v>227</v>
      </c>
      <c r="S11" s="429" t="s">
        <v>227</v>
      </c>
      <c r="T11" s="430" t="s">
        <v>227</v>
      </c>
      <c r="U11" s="431" t="s">
        <v>227</v>
      </c>
      <c r="V11" s="432" t="s">
        <v>227</v>
      </c>
      <c r="W11" s="324" t="s">
        <v>165</v>
      </c>
      <c r="X11" s="5">
        <v>10</v>
      </c>
      <c r="Z11" t="s">
        <v>214</v>
      </c>
      <c r="AA11" s="13" t="str">
        <f t="shared" si="0"/>
        <v>5 (Range)</v>
      </c>
      <c r="AB11" s="2" t="s">
        <v>246</v>
      </c>
      <c r="AC11" s="3"/>
      <c r="AD11" s="57"/>
      <c r="AE11" s="3"/>
      <c r="AF11" s="3"/>
      <c r="AG11" s="3"/>
      <c r="AK11" s="511" t="s">
        <v>22</v>
      </c>
      <c r="AL11" s="931"/>
    </row>
    <row r="12" spans="2:41" ht="15.75" customHeight="1" thickBot="1">
      <c r="B12" s="31">
        <v>5</v>
      </c>
      <c r="C12" s="417">
        <v>83</v>
      </c>
      <c r="D12" s="418">
        <v>96</v>
      </c>
      <c r="E12" s="419">
        <v>73</v>
      </c>
      <c r="F12" s="420">
        <v>180</v>
      </c>
      <c r="G12" s="421">
        <v>136</v>
      </c>
      <c r="H12" s="476">
        <v>156</v>
      </c>
      <c r="I12" s="422">
        <v>130</v>
      </c>
      <c r="J12" s="423">
        <v>290</v>
      </c>
      <c r="K12" s="424" t="s">
        <v>227</v>
      </c>
      <c r="L12" s="425" t="s">
        <v>227</v>
      </c>
      <c r="M12" s="426" t="s">
        <v>227</v>
      </c>
      <c r="N12" s="427" t="s">
        <v>227</v>
      </c>
      <c r="O12" s="424" t="s">
        <v>227</v>
      </c>
      <c r="P12" s="425" t="s">
        <v>227</v>
      </c>
      <c r="Q12" s="426" t="s">
        <v>227</v>
      </c>
      <c r="R12" s="427" t="s">
        <v>227</v>
      </c>
      <c r="S12" s="429" t="s">
        <v>227</v>
      </c>
      <c r="T12" s="430" t="s">
        <v>227</v>
      </c>
      <c r="U12" s="431" t="s">
        <v>227</v>
      </c>
      <c r="V12" s="432" t="s">
        <v>227</v>
      </c>
      <c r="W12" s="324" t="s">
        <v>169</v>
      </c>
      <c r="X12" s="5">
        <v>11</v>
      </c>
      <c r="Z12" t="s">
        <v>215</v>
      </c>
      <c r="AA12" s="13">
        <f t="shared" si="0"/>
        <v>5</v>
      </c>
      <c r="AB12" s="2" t="s">
        <v>112</v>
      </c>
      <c r="AC12" s="3"/>
      <c r="AD12" s="57"/>
      <c r="AE12" s="3"/>
      <c r="AF12" s="3"/>
      <c r="AG12" s="3"/>
      <c r="AK12" s="512" t="s">
        <v>25</v>
      </c>
      <c r="AL12" s="911"/>
    </row>
    <row r="13" spans="2:41" ht="15" customHeight="1">
      <c r="B13" s="31" t="s">
        <v>199</v>
      </c>
      <c r="C13" s="417">
        <v>136</v>
      </c>
      <c r="D13" s="418">
        <v>189</v>
      </c>
      <c r="E13" s="419">
        <v>130</v>
      </c>
      <c r="F13" s="420">
        <v>262</v>
      </c>
      <c r="G13" s="421">
        <v>223</v>
      </c>
      <c r="H13" s="476">
        <v>307</v>
      </c>
      <c r="I13" s="422">
        <v>213</v>
      </c>
      <c r="J13" s="423">
        <v>425</v>
      </c>
      <c r="K13" s="424" t="s">
        <v>227</v>
      </c>
      <c r="L13" s="425" t="s">
        <v>227</v>
      </c>
      <c r="M13" s="426" t="s">
        <v>227</v>
      </c>
      <c r="N13" s="427" t="s">
        <v>227</v>
      </c>
      <c r="O13" s="424" t="s">
        <v>227</v>
      </c>
      <c r="P13" s="425" t="s">
        <v>227</v>
      </c>
      <c r="Q13" s="426" t="s">
        <v>227</v>
      </c>
      <c r="R13" s="427" t="s">
        <v>227</v>
      </c>
      <c r="S13" s="429" t="s">
        <v>227</v>
      </c>
      <c r="T13" s="430" t="s">
        <v>227</v>
      </c>
      <c r="U13" s="431" t="s">
        <v>227</v>
      </c>
      <c r="V13" s="432" t="s">
        <v>227</v>
      </c>
      <c r="W13" s="324" t="s">
        <v>172</v>
      </c>
      <c r="X13" s="5">
        <v>12</v>
      </c>
      <c r="AA13" s="13" t="str">
        <f t="shared" si="0"/>
        <v>6 (Range)</v>
      </c>
      <c r="AB13" s="2" t="s">
        <v>247</v>
      </c>
      <c r="AC13" s="3"/>
      <c r="AD13" s="46"/>
      <c r="AK13" s="510" t="s">
        <v>17</v>
      </c>
      <c r="AL13" s="930" t="s">
        <v>248</v>
      </c>
    </row>
    <row r="14" spans="2:41" ht="15" customHeight="1">
      <c r="B14" s="31">
        <v>6</v>
      </c>
      <c r="C14" s="417">
        <v>202</v>
      </c>
      <c r="D14" s="418">
        <v>230</v>
      </c>
      <c r="E14" s="419">
        <v>160</v>
      </c>
      <c r="F14" s="420">
        <v>319</v>
      </c>
      <c r="G14" s="421">
        <v>329</v>
      </c>
      <c r="H14" s="476">
        <v>372</v>
      </c>
      <c r="I14" s="422">
        <v>285</v>
      </c>
      <c r="J14" s="423">
        <v>518</v>
      </c>
      <c r="K14" s="424" t="s">
        <v>227</v>
      </c>
      <c r="L14" s="425" t="s">
        <v>227</v>
      </c>
      <c r="M14" s="426" t="s">
        <v>227</v>
      </c>
      <c r="N14" s="427" t="s">
        <v>227</v>
      </c>
      <c r="O14" s="424" t="s">
        <v>227</v>
      </c>
      <c r="P14" s="425" t="s">
        <v>227</v>
      </c>
      <c r="Q14" s="426" t="s">
        <v>227</v>
      </c>
      <c r="R14" s="427" t="s">
        <v>227</v>
      </c>
      <c r="S14" s="433">
        <v>180</v>
      </c>
      <c r="T14" s="434">
        <v>340</v>
      </c>
      <c r="U14" s="434">
        <v>150</v>
      </c>
      <c r="V14" s="435">
        <v>170</v>
      </c>
      <c r="W14" s="324" t="s">
        <v>175</v>
      </c>
      <c r="X14" s="5">
        <v>13</v>
      </c>
      <c r="Z14" t="s">
        <v>153</v>
      </c>
      <c r="AA14" s="13">
        <f t="shared" si="0"/>
        <v>6</v>
      </c>
      <c r="AB14" s="2" t="s">
        <v>112</v>
      </c>
      <c r="AC14" s="3"/>
      <c r="AD14" s="46"/>
      <c r="AK14" s="511" t="s">
        <v>31</v>
      </c>
      <c r="AL14" s="931"/>
    </row>
    <row r="15" spans="2:41" ht="15.75" customHeight="1" thickBot="1">
      <c r="B15" s="31" t="s">
        <v>200</v>
      </c>
      <c r="C15" s="417">
        <v>329</v>
      </c>
      <c r="D15" s="418">
        <v>339</v>
      </c>
      <c r="E15" s="419">
        <v>285</v>
      </c>
      <c r="F15" s="420">
        <v>626</v>
      </c>
      <c r="G15" s="421">
        <v>535</v>
      </c>
      <c r="H15" s="476">
        <v>549</v>
      </c>
      <c r="I15" s="422">
        <v>510</v>
      </c>
      <c r="J15" s="423">
        <v>693</v>
      </c>
      <c r="K15" s="424" t="s">
        <v>227</v>
      </c>
      <c r="L15" s="425" t="s">
        <v>227</v>
      </c>
      <c r="M15" s="426" t="s">
        <v>227</v>
      </c>
      <c r="N15" s="427" t="s">
        <v>227</v>
      </c>
      <c r="O15" s="424" t="s">
        <v>227</v>
      </c>
      <c r="P15" s="425" t="s">
        <v>227</v>
      </c>
      <c r="Q15" s="426" t="s">
        <v>227</v>
      </c>
      <c r="R15" s="427" t="s">
        <v>227</v>
      </c>
      <c r="S15" s="429" t="s">
        <v>227</v>
      </c>
      <c r="T15" s="430" t="s">
        <v>227</v>
      </c>
      <c r="U15" s="431" t="s">
        <v>227</v>
      </c>
      <c r="V15" s="432" t="s">
        <v>227</v>
      </c>
      <c r="W15" s="324" t="s">
        <v>166</v>
      </c>
      <c r="X15" s="5">
        <v>14</v>
      </c>
      <c r="Z15" t="s">
        <v>155</v>
      </c>
      <c r="AA15" s="13" t="str">
        <f t="shared" si="0"/>
        <v>7 (Range)</v>
      </c>
      <c r="AB15" s="2" t="s">
        <v>249</v>
      </c>
      <c r="AD15" t="s">
        <v>250</v>
      </c>
      <c r="AK15" s="512" t="s">
        <v>34</v>
      </c>
      <c r="AL15" s="911"/>
    </row>
    <row r="16" spans="2:41" ht="15.75" customHeight="1" thickBot="1">
      <c r="B16" s="31">
        <v>7</v>
      </c>
      <c r="C16" s="417">
        <v>362</v>
      </c>
      <c r="D16" s="418">
        <v>372</v>
      </c>
      <c r="E16" s="419">
        <v>313</v>
      </c>
      <c r="F16" s="420">
        <v>693</v>
      </c>
      <c r="G16" s="421">
        <v>588</v>
      </c>
      <c r="H16" s="476">
        <v>604</v>
      </c>
      <c r="I16" s="422">
        <v>563</v>
      </c>
      <c r="J16" s="423" t="s">
        <v>227</v>
      </c>
      <c r="K16" s="424" t="s">
        <v>227</v>
      </c>
      <c r="L16" s="425" t="s">
        <v>227</v>
      </c>
      <c r="M16" s="426" t="s">
        <v>227</v>
      </c>
      <c r="N16" s="427" t="s">
        <v>227</v>
      </c>
      <c r="O16" s="424" t="s">
        <v>227</v>
      </c>
      <c r="P16" s="425" t="s">
        <v>227</v>
      </c>
      <c r="Q16" s="426" t="s">
        <v>227</v>
      </c>
      <c r="R16" s="427" t="s">
        <v>227</v>
      </c>
      <c r="S16" s="429" t="s">
        <v>227</v>
      </c>
      <c r="T16" s="430" t="s">
        <v>227</v>
      </c>
      <c r="U16" s="431" t="s">
        <v>227</v>
      </c>
      <c r="V16" s="432" t="s">
        <v>227</v>
      </c>
      <c r="W16" s="325" t="s">
        <v>170</v>
      </c>
      <c r="X16" s="5">
        <v>15</v>
      </c>
      <c r="Z16" t="s">
        <v>157</v>
      </c>
      <c r="AA16" s="13">
        <f t="shared" si="0"/>
        <v>7</v>
      </c>
      <c r="AB16" s="2" t="s">
        <v>112</v>
      </c>
      <c r="AD16" t="s">
        <v>110</v>
      </c>
    </row>
    <row r="17" spans="2:54" ht="15.75" customHeight="1" thickBot="1">
      <c r="B17" s="31" t="s">
        <v>201</v>
      </c>
      <c r="C17" s="417">
        <v>588</v>
      </c>
      <c r="D17" s="418">
        <v>665</v>
      </c>
      <c r="E17" s="419">
        <v>463</v>
      </c>
      <c r="F17" s="420" t="s">
        <v>227</v>
      </c>
      <c r="G17" s="421" t="s">
        <v>227</v>
      </c>
      <c r="H17" s="476" t="s">
        <v>227</v>
      </c>
      <c r="I17" s="422" t="s">
        <v>227</v>
      </c>
      <c r="J17" s="423" t="s">
        <v>227</v>
      </c>
      <c r="K17" s="424" t="s">
        <v>227</v>
      </c>
      <c r="L17" s="425" t="s">
        <v>227</v>
      </c>
      <c r="M17" s="426" t="s">
        <v>227</v>
      </c>
      <c r="N17" s="427" t="s">
        <v>227</v>
      </c>
      <c r="O17" s="424" t="s">
        <v>227</v>
      </c>
      <c r="P17" s="425" t="s">
        <v>227</v>
      </c>
      <c r="Q17" s="426" t="s">
        <v>227</v>
      </c>
      <c r="R17" s="427" t="s">
        <v>227</v>
      </c>
      <c r="S17" s="429" t="s">
        <v>227</v>
      </c>
      <c r="T17" s="430" t="s">
        <v>227</v>
      </c>
      <c r="U17" s="431" t="s">
        <v>227</v>
      </c>
      <c r="V17" s="432" t="s">
        <v>227</v>
      </c>
      <c r="W17" s="325" t="s">
        <v>251</v>
      </c>
      <c r="X17" s="5">
        <v>16</v>
      </c>
      <c r="Z17" t="s">
        <v>159</v>
      </c>
      <c r="AA17" s="13" t="str">
        <f t="shared" si="0"/>
        <v>8 (Range)</v>
      </c>
      <c r="AB17" s="2" t="s">
        <v>252</v>
      </c>
      <c r="AD17" s="2"/>
      <c r="AK17" s="513" t="s">
        <v>11</v>
      </c>
      <c r="AL17" s="513">
        <v>201</v>
      </c>
    </row>
    <row r="18" spans="2:54" ht="15.75" customHeight="1" thickBot="1">
      <c r="B18" s="31">
        <v>8</v>
      </c>
      <c r="C18" s="417">
        <v>715</v>
      </c>
      <c r="D18" s="418" t="s">
        <v>227</v>
      </c>
      <c r="E18" s="419">
        <v>563</v>
      </c>
      <c r="F18" s="420" t="s">
        <v>227</v>
      </c>
      <c r="G18" s="421" t="s">
        <v>227</v>
      </c>
      <c r="H18" s="476" t="s">
        <v>227</v>
      </c>
      <c r="I18" s="422" t="s">
        <v>227</v>
      </c>
      <c r="J18" s="423" t="s">
        <v>227</v>
      </c>
      <c r="K18" s="424" t="s">
        <v>227</v>
      </c>
      <c r="L18" s="425" t="s">
        <v>227</v>
      </c>
      <c r="M18" s="426" t="s">
        <v>227</v>
      </c>
      <c r="N18" s="427" t="s">
        <v>227</v>
      </c>
      <c r="O18" s="424" t="s">
        <v>227</v>
      </c>
      <c r="P18" s="425" t="s">
        <v>227</v>
      </c>
      <c r="Q18" s="426" t="s">
        <v>227</v>
      </c>
      <c r="R18" s="427" t="s">
        <v>227</v>
      </c>
      <c r="S18" s="429" t="s">
        <v>227</v>
      </c>
      <c r="T18" s="430" t="s">
        <v>227</v>
      </c>
      <c r="U18" s="431" t="s">
        <v>227</v>
      </c>
      <c r="V18" s="432" t="s">
        <v>227</v>
      </c>
      <c r="W18" s="325" t="s">
        <v>176</v>
      </c>
      <c r="X18" s="5">
        <v>17</v>
      </c>
      <c r="AA18" s="13">
        <f t="shared" si="0"/>
        <v>8</v>
      </c>
      <c r="AB18" s="2" t="s">
        <v>112</v>
      </c>
    </row>
    <row r="19" spans="2:54" ht="15" customHeight="1">
      <c r="B19" s="31" t="s">
        <v>203</v>
      </c>
      <c r="C19" s="417" t="s">
        <v>227</v>
      </c>
      <c r="D19" s="418" t="s">
        <v>227</v>
      </c>
      <c r="E19" s="419" t="s">
        <v>227</v>
      </c>
      <c r="F19" s="420" t="s">
        <v>227</v>
      </c>
      <c r="G19" s="421" t="s">
        <v>227</v>
      </c>
      <c r="H19" s="476" t="s">
        <v>227</v>
      </c>
      <c r="I19" s="422" t="s">
        <v>227</v>
      </c>
      <c r="J19" s="423" t="s">
        <v>227</v>
      </c>
      <c r="K19" s="424" t="s">
        <v>227</v>
      </c>
      <c r="L19" s="425" t="s">
        <v>227</v>
      </c>
      <c r="M19" s="426" t="s">
        <v>227</v>
      </c>
      <c r="N19" s="427" t="s">
        <v>227</v>
      </c>
      <c r="O19" s="424" t="s">
        <v>227</v>
      </c>
      <c r="P19" s="425" t="s">
        <v>227</v>
      </c>
      <c r="Q19" s="426" t="s">
        <v>227</v>
      </c>
      <c r="R19" s="427" t="s">
        <v>227</v>
      </c>
      <c r="S19" s="429" t="s">
        <v>227</v>
      </c>
      <c r="T19" s="430" t="s">
        <v>227</v>
      </c>
      <c r="U19" s="431" t="s">
        <v>227</v>
      </c>
      <c r="V19" s="436" t="s">
        <v>227</v>
      </c>
      <c r="W19" s="325" t="s">
        <v>253</v>
      </c>
      <c r="X19" s="5">
        <v>18</v>
      </c>
      <c r="AA19" s="13" t="str">
        <f t="shared" si="0"/>
        <v>9 (Range)</v>
      </c>
      <c r="AB19" s="2" t="s">
        <v>254</v>
      </c>
      <c r="AK19" s="514" t="s">
        <v>41</v>
      </c>
      <c r="AL19" s="515" t="s">
        <v>255</v>
      </c>
    </row>
    <row r="20" spans="2:54" ht="15.75" customHeight="1" thickBot="1">
      <c r="B20" s="32">
        <v>9</v>
      </c>
      <c r="C20" s="417" t="s">
        <v>227</v>
      </c>
      <c r="D20" s="418" t="s">
        <v>227</v>
      </c>
      <c r="E20" s="419" t="s">
        <v>227</v>
      </c>
      <c r="F20" s="420" t="s">
        <v>227</v>
      </c>
      <c r="G20" s="421" t="s">
        <v>227</v>
      </c>
      <c r="H20" s="476" t="s">
        <v>227</v>
      </c>
      <c r="I20" s="422" t="s">
        <v>227</v>
      </c>
      <c r="J20" s="423" t="s">
        <v>227</v>
      </c>
      <c r="K20" s="424" t="s">
        <v>227</v>
      </c>
      <c r="L20" s="425" t="s">
        <v>227</v>
      </c>
      <c r="M20" s="426" t="s">
        <v>227</v>
      </c>
      <c r="N20" s="427" t="s">
        <v>227</v>
      </c>
      <c r="O20" s="424" t="s">
        <v>227</v>
      </c>
      <c r="P20" s="425" t="s">
        <v>227</v>
      </c>
      <c r="Q20" s="426" t="s">
        <v>227</v>
      </c>
      <c r="R20" s="427" t="s">
        <v>227</v>
      </c>
      <c r="S20" s="437" t="s">
        <v>227</v>
      </c>
      <c r="T20" s="438" t="s">
        <v>227</v>
      </c>
      <c r="U20" s="439" t="s">
        <v>227</v>
      </c>
      <c r="V20" s="440" t="s">
        <v>227</v>
      </c>
      <c r="W20" s="325" t="s">
        <v>256</v>
      </c>
      <c r="X20" s="5">
        <v>19</v>
      </c>
      <c r="AA20" s="13">
        <f t="shared" si="0"/>
        <v>9</v>
      </c>
      <c r="AB20" s="2" t="s">
        <v>112</v>
      </c>
      <c r="AK20" s="516" t="s">
        <v>46</v>
      </c>
      <c r="AL20" s="517" t="s">
        <v>255</v>
      </c>
    </row>
    <row r="21" spans="2:54">
      <c r="B21" s="326"/>
      <c r="C21" s="322"/>
      <c r="D21" s="322"/>
      <c r="E21" s="322"/>
      <c r="F21" s="322"/>
      <c r="G21" s="327"/>
      <c r="H21" s="322"/>
      <c r="I21" s="322"/>
      <c r="J21" s="322"/>
      <c r="K21" s="322"/>
      <c r="L21" s="322"/>
      <c r="M21" s="322"/>
      <c r="N21" s="322"/>
      <c r="O21" s="327"/>
      <c r="P21" s="322"/>
      <c r="Q21" s="322"/>
      <c r="R21" s="322"/>
      <c r="S21" s="322"/>
      <c r="T21" s="322"/>
      <c r="U21" s="322"/>
      <c r="V21" s="482"/>
      <c r="W21" s="322" t="s">
        <v>257</v>
      </c>
      <c r="X21" s="5">
        <v>20</v>
      </c>
    </row>
    <row r="22" spans="2:54" ht="13.5" customHeight="1" thickBot="1">
      <c r="B22" s="328"/>
      <c r="C22" s="329"/>
      <c r="D22" s="329"/>
      <c r="E22" s="329"/>
      <c r="F22" s="329"/>
      <c r="G22" s="330"/>
      <c r="H22" s="329"/>
      <c r="I22" s="329"/>
      <c r="J22" s="329"/>
      <c r="K22" s="329"/>
      <c r="L22" s="329"/>
      <c r="M22" s="329"/>
      <c r="N22" s="329"/>
      <c r="O22" s="330"/>
      <c r="P22" s="329"/>
      <c r="Q22" s="329"/>
      <c r="R22" s="329"/>
      <c r="S22" s="329"/>
      <c r="T22" s="329"/>
      <c r="U22" s="329"/>
      <c r="V22" s="329"/>
      <c r="W22" s="329" t="s">
        <v>258</v>
      </c>
      <c r="X22" s="331">
        <v>21</v>
      </c>
      <c r="AF22" s="4"/>
      <c r="AG22" s="4">
        <v>2</v>
      </c>
      <c r="AH22" s="4">
        <v>3</v>
      </c>
      <c r="AI22" s="4">
        <v>4</v>
      </c>
      <c r="AJ22" s="4">
        <v>5</v>
      </c>
      <c r="AK22" s="4">
        <v>6</v>
      </c>
      <c r="AL22" s="4">
        <v>7</v>
      </c>
      <c r="AM22" s="4">
        <v>8</v>
      </c>
      <c r="AN22" s="4">
        <v>9</v>
      </c>
      <c r="AO22" s="4">
        <v>10</v>
      </c>
      <c r="AP22" s="4">
        <v>11</v>
      </c>
      <c r="AQ22" s="4">
        <v>12</v>
      </c>
      <c r="AR22" s="4">
        <v>13</v>
      </c>
      <c r="AS22" s="4">
        <v>14</v>
      </c>
      <c r="AT22" s="4">
        <v>15</v>
      </c>
      <c r="AU22" s="4">
        <v>16</v>
      </c>
      <c r="AV22" s="4">
        <v>17</v>
      </c>
      <c r="AW22" s="4">
        <v>18</v>
      </c>
      <c r="AX22" s="4">
        <v>19</v>
      </c>
      <c r="AY22" s="4">
        <v>20</v>
      </c>
      <c r="AZ22" s="4">
        <v>21</v>
      </c>
      <c r="BA22" s="4"/>
    </row>
    <row r="23" spans="2:54" ht="16.5" customHeight="1" thickBot="1">
      <c r="C23" s="14"/>
      <c r="D23" s="929" t="s">
        <v>259</v>
      </c>
      <c r="E23" s="918"/>
      <c r="F23" s="928" t="s">
        <v>260</v>
      </c>
      <c r="G23" s="935"/>
      <c r="H23" s="928" t="s">
        <v>233</v>
      </c>
      <c r="I23" s="918"/>
      <c r="J23" s="928" t="s">
        <v>235</v>
      </c>
      <c r="K23" s="918"/>
      <c r="N23" s="934" t="s">
        <v>238</v>
      </c>
      <c r="O23" s="935"/>
      <c r="S23" s="14"/>
      <c r="V23" s="2"/>
      <c r="AD23" s="366" t="e">
        <f>LOOKUP('INSER. DATI'!C12,'x inserimento dati fissi'!AD25:AZ40,5)</f>
        <v>#N/A</v>
      </c>
      <c r="AE23" s="366"/>
      <c r="AF23" s="921" t="s">
        <v>261</v>
      </c>
      <c r="AG23" s="917"/>
      <c r="AH23" s="917"/>
      <c r="AI23" s="917"/>
      <c r="AJ23" s="917"/>
      <c r="AK23" s="917"/>
      <c r="AL23" s="917"/>
      <c r="AM23" s="917"/>
      <c r="AN23" s="917"/>
      <c r="AO23" s="917"/>
      <c r="AP23" s="917"/>
      <c r="AQ23" s="917"/>
      <c r="AR23" s="917"/>
      <c r="AS23" s="917"/>
      <c r="AT23" s="917"/>
      <c r="AU23" s="917"/>
      <c r="AV23" s="917"/>
      <c r="AW23" s="917"/>
      <c r="AX23" s="917"/>
      <c r="AY23" s="917"/>
      <c r="AZ23" s="917"/>
      <c r="BA23" s="917"/>
      <c r="BB23" s="922"/>
    </row>
    <row r="24" spans="2:54" ht="28.5" customHeight="1">
      <c r="B24" t="s">
        <v>11</v>
      </c>
      <c r="C24" s="14"/>
      <c r="D24" s="918"/>
      <c r="E24" s="918"/>
      <c r="F24" s="918"/>
      <c r="G24" s="935"/>
      <c r="H24" s="918"/>
      <c r="I24" s="918"/>
      <c r="J24" s="918"/>
      <c r="K24" s="918"/>
      <c r="L24" t="s">
        <v>262</v>
      </c>
      <c r="M24" t="s">
        <v>263</v>
      </c>
      <c r="N24" s="918"/>
      <c r="O24" s="935"/>
      <c r="P24" s="932" t="s">
        <v>264</v>
      </c>
      <c r="Q24" s="918"/>
      <c r="R24" s="918"/>
      <c r="S24" s="918"/>
      <c r="T24" s="918"/>
      <c r="U24" s="918"/>
      <c r="V24" s="918"/>
      <c r="W24" s="918"/>
      <c r="AD24" s="923" t="s">
        <v>265</v>
      </c>
      <c r="AE24" s="924"/>
      <c r="AF24" s="30" t="s">
        <v>29</v>
      </c>
      <c r="AG24" s="518" t="s">
        <v>208</v>
      </c>
      <c r="AH24" s="519" t="s">
        <v>209</v>
      </c>
      <c r="AI24" s="519" t="s">
        <v>210</v>
      </c>
      <c r="AJ24" s="520" t="s">
        <v>211</v>
      </c>
      <c r="AK24" s="518" t="s">
        <v>212</v>
      </c>
      <c r="AL24" s="519" t="s">
        <v>213</v>
      </c>
      <c r="AM24" s="519" t="s">
        <v>214</v>
      </c>
      <c r="AN24" s="520" t="s">
        <v>215</v>
      </c>
      <c r="AO24" s="518" t="s">
        <v>216</v>
      </c>
      <c r="AP24" s="519" t="s">
        <v>217</v>
      </c>
      <c r="AQ24" s="519" t="s">
        <v>218</v>
      </c>
      <c r="AR24" s="520" t="s">
        <v>219</v>
      </c>
      <c r="AS24" s="520" t="s">
        <v>220</v>
      </c>
      <c r="AT24" s="519" t="s">
        <v>221</v>
      </c>
      <c r="AU24" s="519" t="s">
        <v>222</v>
      </c>
      <c r="AV24" s="520" t="s">
        <v>223</v>
      </c>
      <c r="AW24" s="518" t="s">
        <v>167</v>
      </c>
      <c r="AX24" s="519" t="s">
        <v>171</v>
      </c>
      <c r="AY24" s="519" t="s">
        <v>174</v>
      </c>
      <c r="AZ24" s="520" t="s">
        <v>177</v>
      </c>
      <c r="BA24" s="323" t="s">
        <v>224</v>
      </c>
      <c r="BB24" s="17">
        <v>2</v>
      </c>
    </row>
    <row r="25" spans="2:54" ht="16.5" customHeight="1">
      <c r="B25" s="16" t="s">
        <v>14</v>
      </c>
      <c r="C25" s="16"/>
      <c r="D25" s="915">
        <v>12</v>
      </c>
      <c r="E25" s="913"/>
      <c r="F25" s="912">
        <v>0.28000000000000003</v>
      </c>
      <c r="G25" s="913"/>
      <c r="H25" s="912">
        <v>3.0000000000000001E-3</v>
      </c>
      <c r="I25" s="913"/>
      <c r="J25" s="912">
        <v>7.1999999999999995E-2</v>
      </c>
      <c r="K25" s="913"/>
      <c r="L25" s="16">
        <v>5</v>
      </c>
      <c r="M25">
        <v>12</v>
      </c>
      <c r="N25" s="912">
        <v>0</v>
      </c>
      <c r="O25" s="913"/>
      <c r="P25" s="918"/>
      <c r="Q25" s="918"/>
      <c r="R25" s="918"/>
      <c r="S25" s="918"/>
      <c r="T25" s="918"/>
      <c r="U25" s="918"/>
      <c r="V25" s="918"/>
      <c r="W25" s="918"/>
      <c r="AD25" s="925"/>
      <c r="AE25" s="926"/>
      <c r="AF25" s="31">
        <v>1</v>
      </c>
      <c r="AG25" s="33" t="s">
        <v>227</v>
      </c>
      <c r="AH25" s="22" t="s">
        <v>227</v>
      </c>
      <c r="AI25" s="23" t="s">
        <v>227</v>
      </c>
      <c r="AJ25" s="29" t="s">
        <v>227</v>
      </c>
      <c r="AK25" s="34" t="s">
        <v>227</v>
      </c>
      <c r="AL25" s="24" t="s">
        <v>227</v>
      </c>
      <c r="AM25" s="24" t="s">
        <v>227</v>
      </c>
      <c r="AN25" s="35" t="s">
        <v>227</v>
      </c>
      <c r="AO25" s="36" t="s">
        <v>227</v>
      </c>
      <c r="AP25" s="25" t="s">
        <v>227</v>
      </c>
      <c r="AQ25" s="26" t="s">
        <v>227</v>
      </c>
      <c r="AR25" s="37" t="s">
        <v>227</v>
      </c>
      <c r="AS25" s="350">
        <v>3</v>
      </c>
      <c r="AT25" s="26">
        <v>4</v>
      </c>
      <c r="AU25" s="26">
        <v>2</v>
      </c>
      <c r="AV25" s="37">
        <v>3</v>
      </c>
      <c r="AW25" s="38" t="s">
        <v>227</v>
      </c>
      <c r="AX25" s="27" t="s">
        <v>227</v>
      </c>
      <c r="AY25" s="28" t="s">
        <v>227</v>
      </c>
      <c r="AZ25" s="39" t="s">
        <v>227</v>
      </c>
      <c r="BA25" s="324" t="s">
        <v>228</v>
      </c>
      <c r="BB25" s="5">
        <v>3</v>
      </c>
    </row>
    <row r="26" spans="2:54" ht="15" customHeight="1">
      <c r="B26" s="58" t="s">
        <v>22</v>
      </c>
      <c r="C26" s="58"/>
      <c r="D26" s="915">
        <v>12</v>
      </c>
      <c r="E26" s="913"/>
      <c r="F26" s="914">
        <v>0.33600000000000002</v>
      </c>
      <c r="G26" s="913"/>
      <c r="H26" s="914">
        <v>3.0000000000000001E-3</v>
      </c>
      <c r="I26" s="913"/>
      <c r="J26" s="914">
        <v>7.1999999999999995E-2</v>
      </c>
      <c r="K26" s="913"/>
      <c r="L26" s="58">
        <v>6</v>
      </c>
      <c r="M26">
        <v>12</v>
      </c>
      <c r="N26" s="914">
        <f>N25</f>
        <v>0</v>
      </c>
      <c r="O26" s="913"/>
      <c r="P26" s="46" t="s">
        <v>266</v>
      </c>
      <c r="Q26" s="46"/>
      <c r="R26" s="46"/>
      <c r="V26" s="2"/>
      <c r="AD26" s="532">
        <v>1.8</v>
      </c>
      <c r="AE26" s="533">
        <v>4</v>
      </c>
      <c r="AF26" s="534">
        <v>1.8</v>
      </c>
      <c r="AG26" s="545">
        <v>6</v>
      </c>
      <c r="AH26" s="536">
        <v>6</v>
      </c>
      <c r="AI26" s="537">
        <v>6</v>
      </c>
      <c r="AJ26" s="538">
        <v>6</v>
      </c>
      <c r="AK26" s="539" t="s">
        <v>227</v>
      </c>
      <c r="AL26" s="539" t="s">
        <v>227</v>
      </c>
      <c r="AM26" s="539" t="s">
        <v>227</v>
      </c>
      <c r="AN26" s="539" t="s">
        <v>227</v>
      </c>
      <c r="AO26" s="540" t="s">
        <v>227</v>
      </c>
      <c r="AP26" s="541" t="s">
        <v>227</v>
      </c>
      <c r="AQ26" s="542" t="s">
        <v>227</v>
      </c>
      <c r="AR26" s="543" t="s">
        <v>227</v>
      </c>
      <c r="AS26" s="544">
        <v>5</v>
      </c>
      <c r="AT26" s="542">
        <v>12</v>
      </c>
      <c r="AU26" s="542">
        <v>4</v>
      </c>
      <c r="AV26" s="543">
        <v>6</v>
      </c>
      <c r="AW26" s="540" t="s">
        <v>227</v>
      </c>
      <c r="AX26" s="541" t="s">
        <v>227</v>
      </c>
      <c r="AY26" s="542" t="s">
        <v>227</v>
      </c>
      <c r="AZ26" s="543" t="s">
        <v>227</v>
      </c>
      <c r="BA26" s="566" t="s">
        <v>231</v>
      </c>
      <c r="BB26" s="5">
        <v>4</v>
      </c>
    </row>
    <row r="27" spans="2:54" ht="15" customHeight="1">
      <c r="B27" s="16" t="s">
        <v>25</v>
      </c>
      <c r="C27" s="16"/>
      <c r="D27" s="915">
        <v>27</v>
      </c>
      <c r="E27" s="913"/>
      <c r="F27" s="912">
        <v>0.45200000000000001</v>
      </c>
      <c r="G27" s="913"/>
      <c r="H27" s="912">
        <v>3.0000000000000001E-3</v>
      </c>
      <c r="I27" s="913"/>
      <c r="J27" s="912">
        <v>7.1999999999999995E-2</v>
      </c>
      <c r="K27" s="913"/>
      <c r="L27" s="16">
        <v>8</v>
      </c>
      <c r="M27">
        <v>12</v>
      </c>
      <c r="N27" s="914">
        <f>N26</f>
        <v>0</v>
      </c>
      <c r="O27" s="913"/>
      <c r="V27" s="2"/>
      <c r="AD27" s="568">
        <v>2</v>
      </c>
      <c r="AE27" s="569">
        <v>6</v>
      </c>
      <c r="AF27" s="570">
        <v>2</v>
      </c>
      <c r="AG27" s="571">
        <v>6</v>
      </c>
      <c r="AH27" s="572">
        <v>7</v>
      </c>
      <c r="AI27" s="573">
        <v>6</v>
      </c>
      <c r="AJ27" s="574">
        <v>7</v>
      </c>
      <c r="AK27" s="574">
        <v>8</v>
      </c>
      <c r="AL27" s="574">
        <v>8</v>
      </c>
      <c r="AM27" s="574">
        <v>8</v>
      </c>
      <c r="AN27" s="574">
        <v>8</v>
      </c>
      <c r="AO27" s="36" t="s">
        <v>227</v>
      </c>
      <c r="AP27" s="25" t="s">
        <v>227</v>
      </c>
      <c r="AQ27" s="26" t="s">
        <v>227</v>
      </c>
      <c r="AR27" s="37" t="s">
        <v>227</v>
      </c>
      <c r="AS27" s="351">
        <v>8</v>
      </c>
      <c r="AT27" s="344">
        <v>17</v>
      </c>
      <c r="AU27" s="344">
        <v>9</v>
      </c>
      <c r="AV27" s="345">
        <v>8</v>
      </c>
      <c r="AW27" s="349" t="s">
        <v>227</v>
      </c>
      <c r="AX27" s="344" t="s">
        <v>227</v>
      </c>
      <c r="AY27" s="344" t="s">
        <v>227</v>
      </c>
      <c r="AZ27" s="345" t="s">
        <v>227</v>
      </c>
      <c r="BA27" s="566" t="s">
        <v>234</v>
      </c>
      <c r="BB27" s="5">
        <v>5</v>
      </c>
    </row>
    <row r="28" spans="2:54" ht="15" customHeight="1">
      <c r="B28" s="58" t="s">
        <v>17</v>
      </c>
      <c r="C28" s="58"/>
      <c r="D28" s="915">
        <v>12</v>
      </c>
      <c r="E28" s="913"/>
      <c r="F28" s="912">
        <v>0.28000000000000003</v>
      </c>
      <c r="G28" s="913"/>
      <c r="H28" s="912">
        <v>3.0000000000000001E-3</v>
      </c>
      <c r="I28" s="913"/>
      <c r="J28" s="912">
        <v>7.1999999999999995E-2</v>
      </c>
      <c r="K28" s="913"/>
      <c r="L28" s="16">
        <v>5</v>
      </c>
      <c r="M28">
        <v>12</v>
      </c>
      <c r="N28" s="914">
        <f>N27</f>
        <v>0</v>
      </c>
      <c r="O28" s="913"/>
      <c r="V28" s="2"/>
      <c r="AD28" s="532">
        <v>2.8</v>
      </c>
      <c r="AE28" s="533">
        <v>13</v>
      </c>
      <c r="AF28" s="534">
        <v>2.8</v>
      </c>
      <c r="AG28" s="545">
        <v>7</v>
      </c>
      <c r="AH28" s="545">
        <v>8</v>
      </c>
      <c r="AI28" s="545">
        <v>7</v>
      </c>
      <c r="AJ28" s="545">
        <v>9</v>
      </c>
      <c r="AK28" s="545">
        <v>8</v>
      </c>
      <c r="AL28" s="545">
        <v>9</v>
      </c>
      <c r="AM28" s="545">
        <v>9</v>
      </c>
      <c r="AN28" s="545">
        <v>11</v>
      </c>
      <c r="AO28" s="540" t="s">
        <v>227</v>
      </c>
      <c r="AP28" s="541" t="s">
        <v>227</v>
      </c>
      <c r="AQ28" s="542" t="s">
        <v>227</v>
      </c>
      <c r="AR28" s="543" t="s">
        <v>227</v>
      </c>
      <c r="AS28" s="546">
        <v>17</v>
      </c>
      <c r="AT28" s="547">
        <v>36</v>
      </c>
      <c r="AU28" s="547">
        <v>16</v>
      </c>
      <c r="AV28" s="548">
        <v>21</v>
      </c>
      <c r="AW28" s="549" t="s">
        <v>227</v>
      </c>
      <c r="AX28" s="547" t="s">
        <v>227</v>
      </c>
      <c r="AY28" s="547" t="s">
        <v>227</v>
      </c>
      <c r="AZ28" s="548" t="s">
        <v>227</v>
      </c>
      <c r="BA28" s="566" t="s">
        <v>236</v>
      </c>
      <c r="BB28" s="5">
        <v>13</v>
      </c>
    </row>
    <row r="29" spans="2:54" ht="15" customHeight="1">
      <c r="B29" s="16" t="s">
        <v>31</v>
      </c>
      <c r="C29" s="16"/>
      <c r="D29" s="920">
        <v>12</v>
      </c>
      <c r="E29" s="913"/>
      <c r="F29" s="914">
        <v>0.33600000000000002</v>
      </c>
      <c r="G29" s="913"/>
      <c r="H29" s="914">
        <v>3.0000000000000001E-3</v>
      </c>
      <c r="I29" s="913"/>
      <c r="J29" s="914">
        <v>7.1999999999999995E-2</v>
      </c>
      <c r="K29" s="913"/>
      <c r="L29" s="58">
        <v>6</v>
      </c>
      <c r="M29">
        <v>12</v>
      </c>
      <c r="N29" s="914">
        <f>N28</f>
        <v>0</v>
      </c>
      <c r="O29" s="913"/>
      <c r="P29" s="46" t="s">
        <v>266</v>
      </c>
      <c r="Q29" s="46"/>
      <c r="R29" s="46"/>
      <c r="V29" s="2"/>
      <c r="AD29" s="553">
        <v>3</v>
      </c>
      <c r="AE29" s="554">
        <v>16</v>
      </c>
      <c r="AF29" s="555">
        <v>3</v>
      </c>
      <c r="AG29" s="556">
        <v>8</v>
      </c>
      <c r="AH29" s="557">
        <v>9</v>
      </c>
      <c r="AI29" s="558">
        <v>8</v>
      </c>
      <c r="AJ29" s="559">
        <v>10</v>
      </c>
      <c r="AK29" s="559">
        <v>9</v>
      </c>
      <c r="AL29" s="559">
        <v>10</v>
      </c>
      <c r="AM29" s="559">
        <v>10</v>
      </c>
      <c r="AN29" s="559">
        <v>12</v>
      </c>
      <c r="AO29" s="38" t="s">
        <v>227</v>
      </c>
      <c r="AP29" s="27" t="s">
        <v>227</v>
      </c>
      <c r="AQ29" s="28" t="s">
        <v>227</v>
      </c>
      <c r="AR29" s="39" t="s">
        <v>227</v>
      </c>
      <c r="AS29" s="560">
        <v>23</v>
      </c>
      <c r="AT29" s="560">
        <v>44</v>
      </c>
      <c r="AU29" s="346">
        <v>22</v>
      </c>
      <c r="AV29" s="347">
        <v>27</v>
      </c>
      <c r="AW29" s="348" t="s">
        <v>227</v>
      </c>
      <c r="AX29" s="346" t="s">
        <v>227</v>
      </c>
      <c r="AY29" s="346" t="s">
        <v>227</v>
      </c>
      <c r="AZ29" s="347" t="s">
        <v>227</v>
      </c>
      <c r="BA29" s="576" t="s">
        <v>239</v>
      </c>
      <c r="BB29" s="5">
        <v>15</v>
      </c>
    </row>
    <row r="30" spans="2:54" ht="15" customHeight="1">
      <c r="B30" s="58" t="s">
        <v>34</v>
      </c>
      <c r="C30" s="58"/>
      <c r="D30" s="915">
        <v>27</v>
      </c>
      <c r="E30" s="913"/>
      <c r="F30" s="912">
        <v>0.45200000000000001</v>
      </c>
      <c r="G30" s="913"/>
      <c r="H30" s="912">
        <v>3.0000000000000001E-3</v>
      </c>
      <c r="I30" s="913"/>
      <c r="J30" s="912">
        <v>7.1999999999999995E-2</v>
      </c>
      <c r="K30" s="913"/>
      <c r="L30" s="16">
        <v>8</v>
      </c>
      <c r="M30">
        <v>12</v>
      </c>
      <c r="N30" s="914">
        <f>N29</f>
        <v>0</v>
      </c>
      <c r="O30" s="913"/>
      <c r="V30" s="2"/>
      <c r="AD30" s="532">
        <v>3.8</v>
      </c>
      <c r="AE30" s="533">
        <v>30</v>
      </c>
      <c r="AF30" s="534">
        <v>3.8</v>
      </c>
      <c r="AG30" s="545">
        <v>9</v>
      </c>
      <c r="AH30" s="545">
        <v>10</v>
      </c>
      <c r="AI30" s="545">
        <v>10</v>
      </c>
      <c r="AJ30" s="545">
        <v>12</v>
      </c>
      <c r="AK30" s="545">
        <v>10</v>
      </c>
      <c r="AL30" s="545">
        <v>12</v>
      </c>
      <c r="AM30" s="545">
        <v>11</v>
      </c>
      <c r="AN30" s="545">
        <v>15</v>
      </c>
      <c r="AO30" s="540" t="s">
        <v>227</v>
      </c>
      <c r="AP30" s="541" t="s">
        <v>227</v>
      </c>
      <c r="AQ30" s="542" t="s">
        <v>227</v>
      </c>
      <c r="AR30" s="543" t="s">
        <v>227</v>
      </c>
      <c r="AS30" s="549">
        <v>39</v>
      </c>
      <c r="AT30" s="547" t="s">
        <v>227</v>
      </c>
      <c r="AU30" s="547">
        <v>41</v>
      </c>
      <c r="AV30" s="548">
        <v>48</v>
      </c>
      <c r="AW30" s="549" t="s">
        <v>227</v>
      </c>
      <c r="AX30" s="547" t="s">
        <v>227</v>
      </c>
      <c r="AY30" s="547" t="s">
        <v>227</v>
      </c>
      <c r="AZ30" s="548" t="s">
        <v>227</v>
      </c>
      <c r="BA30" s="566" t="s">
        <v>241</v>
      </c>
      <c r="BB30" s="5">
        <v>30</v>
      </c>
    </row>
    <row r="31" spans="2:54" ht="15" customHeight="1">
      <c r="B31" s="16" t="s">
        <v>267</v>
      </c>
      <c r="C31" s="16"/>
      <c r="D31" s="915"/>
      <c r="E31" s="913"/>
      <c r="F31" s="912"/>
      <c r="G31" s="913"/>
      <c r="H31" s="912"/>
      <c r="I31" s="913"/>
      <c r="J31" s="919"/>
      <c r="K31" s="913"/>
      <c r="L31" s="16"/>
      <c r="N31" s="919"/>
      <c r="O31" s="913"/>
      <c r="AD31" s="577">
        <v>4</v>
      </c>
      <c r="AE31" s="578">
        <v>38</v>
      </c>
      <c r="AF31" s="579">
        <v>4</v>
      </c>
      <c r="AG31" s="580">
        <v>11</v>
      </c>
      <c r="AH31" s="581">
        <v>12</v>
      </c>
      <c r="AI31" s="294">
        <v>11</v>
      </c>
      <c r="AJ31" s="295">
        <v>14</v>
      </c>
      <c r="AK31" s="295">
        <v>11</v>
      </c>
      <c r="AL31" s="295">
        <v>16</v>
      </c>
      <c r="AM31" s="295">
        <v>14</v>
      </c>
      <c r="AN31" s="295">
        <v>17</v>
      </c>
      <c r="AO31" s="582" t="s">
        <v>227</v>
      </c>
      <c r="AP31" s="583" t="s">
        <v>227</v>
      </c>
      <c r="AQ31" s="24" t="s">
        <v>227</v>
      </c>
      <c r="AR31" s="35" t="s">
        <v>227</v>
      </c>
      <c r="AS31" s="584">
        <v>50</v>
      </c>
      <c r="AT31" s="585" t="s">
        <v>227</v>
      </c>
      <c r="AU31" s="585">
        <v>50</v>
      </c>
      <c r="AV31" s="586" t="s">
        <v>227</v>
      </c>
      <c r="AW31" s="584" t="s">
        <v>227</v>
      </c>
      <c r="AX31" s="585" t="s">
        <v>227</v>
      </c>
      <c r="AY31" s="585" t="s">
        <v>227</v>
      </c>
      <c r="AZ31" s="586" t="s">
        <v>227</v>
      </c>
      <c r="BA31" s="587" t="s">
        <v>244</v>
      </c>
      <c r="BB31" s="5">
        <v>36</v>
      </c>
    </row>
    <row r="32" spans="2:54" ht="14.25" customHeight="1">
      <c r="B32" s="233" t="s">
        <v>11</v>
      </c>
      <c r="C32" s="233"/>
      <c r="D32" s="933">
        <v>8</v>
      </c>
      <c r="E32" s="913"/>
      <c r="F32" s="933">
        <v>0.23</v>
      </c>
      <c r="G32" s="913"/>
      <c r="H32" s="927">
        <v>5.0000000000000001E-3</v>
      </c>
      <c r="I32" s="913"/>
      <c r="J32" s="919">
        <v>0.13</v>
      </c>
      <c r="K32" s="913"/>
      <c r="L32" s="231">
        <v>2.2999999999999998</v>
      </c>
      <c r="M32" s="230">
        <v>6</v>
      </c>
      <c r="N32" s="919">
        <f>N31</f>
        <v>0</v>
      </c>
      <c r="O32" s="913"/>
      <c r="Q32" s="2"/>
      <c r="T32" s="936" t="s">
        <v>268</v>
      </c>
      <c r="U32" s="918"/>
      <c r="V32" s="918"/>
      <c r="AA32" s="46" t="s">
        <v>269</v>
      </c>
      <c r="AD32" s="532">
        <v>4.8</v>
      </c>
      <c r="AE32" s="533">
        <v>65</v>
      </c>
      <c r="AF32" s="534">
        <v>4.8</v>
      </c>
      <c r="AG32" s="545">
        <v>14</v>
      </c>
      <c r="AH32" s="545">
        <v>15</v>
      </c>
      <c r="AI32" s="545">
        <v>13</v>
      </c>
      <c r="AJ32" s="545">
        <v>16</v>
      </c>
      <c r="AK32" s="545">
        <v>14</v>
      </c>
      <c r="AL32" s="545">
        <v>17</v>
      </c>
      <c r="AM32" s="545">
        <v>16</v>
      </c>
      <c r="AN32" s="545">
        <v>19</v>
      </c>
      <c r="AO32" s="540" t="s">
        <v>227</v>
      </c>
      <c r="AP32" s="541" t="s">
        <v>227</v>
      </c>
      <c r="AQ32" s="542" t="s">
        <v>227</v>
      </c>
      <c r="AR32" s="543" t="s">
        <v>227</v>
      </c>
      <c r="AS32" s="549" t="s">
        <v>227</v>
      </c>
      <c r="AT32" s="547" t="s">
        <v>227</v>
      </c>
      <c r="AU32" s="547" t="s">
        <v>227</v>
      </c>
      <c r="AV32" s="548" t="s">
        <v>227</v>
      </c>
      <c r="AW32" s="549" t="s">
        <v>227</v>
      </c>
      <c r="AX32" s="547" t="s">
        <v>227</v>
      </c>
      <c r="AY32" s="547" t="s">
        <v>227</v>
      </c>
      <c r="AZ32" s="548" t="s">
        <v>227</v>
      </c>
      <c r="BA32" s="566" t="s">
        <v>165</v>
      </c>
      <c r="BB32" s="5">
        <v>65</v>
      </c>
    </row>
    <row r="33" spans="2:54" ht="15" customHeight="1">
      <c r="B33" s="16"/>
      <c r="C33" s="16"/>
      <c r="D33" s="915"/>
      <c r="E33" s="913"/>
      <c r="F33" s="912"/>
      <c r="G33" s="913"/>
      <c r="H33" s="912"/>
      <c r="I33" s="913"/>
      <c r="J33" s="912"/>
      <c r="K33" s="913"/>
      <c r="L33" s="16"/>
      <c r="N33" s="912"/>
      <c r="O33" s="913"/>
      <c r="T33" s="918"/>
      <c r="U33" s="918"/>
      <c r="V33" s="918"/>
      <c r="AD33" s="561">
        <v>5</v>
      </c>
      <c r="AE33" s="562">
        <v>77</v>
      </c>
      <c r="AF33" s="588">
        <v>5</v>
      </c>
      <c r="AG33" s="343">
        <v>15</v>
      </c>
      <c r="AH33" s="296">
        <v>16</v>
      </c>
      <c r="AI33" s="297">
        <v>15</v>
      </c>
      <c r="AJ33" s="298">
        <v>18</v>
      </c>
      <c r="AK33" s="298">
        <v>16</v>
      </c>
      <c r="AL33" s="298">
        <v>19</v>
      </c>
      <c r="AM33" s="298">
        <v>18</v>
      </c>
      <c r="AN33" s="298">
        <v>22</v>
      </c>
      <c r="AO33" s="33" t="s">
        <v>227</v>
      </c>
      <c r="AP33" s="22" t="s">
        <v>227</v>
      </c>
      <c r="AQ33" s="23" t="s">
        <v>227</v>
      </c>
      <c r="AR33" s="29" t="s">
        <v>227</v>
      </c>
      <c r="AS33" s="565" t="s">
        <v>227</v>
      </c>
      <c r="AT33" s="563" t="s">
        <v>227</v>
      </c>
      <c r="AU33" s="563" t="s">
        <v>227</v>
      </c>
      <c r="AV33" s="564" t="s">
        <v>227</v>
      </c>
      <c r="AW33" s="565" t="s">
        <v>227</v>
      </c>
      <c r="AX33" s="563" t="s">
        <v>227</v>
      </c>
      <c r="AY33" s="563" t="s">
        <v>227</v>
      </c>
      <c r="AZ33" s="564" t="s">
        <v>227</v>
      </c>
      <c r="BA33" s="589" t="s">
        <v>169</v>
      </c>
      <c r="BB33" s="5">
        <v>75</v>
      </c>
    </row>
    <row r="34" spans="2:54" ht="15" customHeight="1">
      <c r="B34" s="58"/>
      <c r="C34" s="58"/>
      <c r="D34" s="915"/>
      <c r="E34" s="913"/>
      <c r="F34" s="912"/>
      <c r="G34" s="913"/>
      <c r="H34" s="912"/>
      <c r="I34" s="913"/>
      <c r="J34" s="912"/>
      <c r="K34" s="913"/>
      <c r="L34" s="16"/>
      <c r="N34" s="912"/>
      <c r="O34" s="913"/>
      <c r="T34" s="918"/>
      <c r="U34" s="918"/>
      <c r="V34" s="918"/>
      <c r="AD34" s="532">
        <v>5.8</v>
      </c>
      <c r="AE34" s="533">
        <v>130</v>
      </c>
      <c r="AF34" s="534">
        <v>5.8</v>
      </c>
      <c r="AG34" s="545">
        <v>17</v>
      </c>
      <c r="AH34" s="545">
        <v>18</v>
      </c>
      <c r="AI34" s="545">
        <v>17</v>
      </c>
      <c r="AJ34" s="545">
        <v>20</v>
      </c>
      <c r="AK34" s="545">
        <v>17</v>
      </c>
      <c r="AL34" s="545">
        <v>22</v>
      </c>
      <c r="AM34" s="545">
        <v>20</v>
      </c>
      <c r="AN34" s="545">
        <v>24</v>
      </c>
      <c r="AO34" s="540" t="s">
        <v>227</v>
      </c>
      <c r="AP34" s="541" t="s">
        <v>227</v>
      </c>
      <c r="AQ34" s="542" t="s">
        <v>227</v>
      </c>
      <c r="AR34" s="543" t="s">
        <v>227</v>
      </c>
      <c r="AS34" s="549" t="s">
        <v>227</v>
      </c>
      <c r="AT34" s="547" t="s">
        <v>227</v>
      </c>
      <c r="AU34" s="547" t="s">
        <v>227</v>
      </c>
      <c r="AV34" s="548" t="s">
        <v>227</v>
      </c>
      <c r="AW34" s="549" t="s">
        <v>227</v>
      </c>
      <c r="AX34" s="547" t="s">
        <v>227</v>
      </c>
      <c r="AY34" s="547" t="s">
        <v>227</v>
      </c>
      <c r="AZ34" s="548" t="s">
        <v>227</v>
      </c>
      <c r="BA34" s="566" t="s">
        <v>172</v>
      </c>
      <c r="BB34" s="5">
        <v>130</v>
      </c>
    </row>
    <row r="35" spans="2:54" ht="15" customHeight="1">
      <c r="T35" s="918"/>
      <c r="U35" s="918"/>
      <c r="V35" s="918"/>
      <c r="AD35" s="568">
        <v>6</v>
      </c>
      <c r="AE35" s="569">
        <v>156</v>
      </c>
      <c r="AF35" s="570">
        <v>6</v>
      </c>
      <c r="AG35" s="571">
        <v>19</v>
      </c>
      <c r="AH35" s="572">
        <v>20</v>
      </c>
      <c r="AI35" s="573">
        <v>19</v>
      </c>
      <c r="AJ35" s="574">
        <v>22</v>
      </c>
      <c r="AK35" s="574">
        <v>19</v>
      </c>
      <c r="AL35" s="574">
        <v>24</v>
      </c>
      <c r="AM35" s="574">
        <v>23</v>
      </c>
      <c r="AN35" s="574">
        <v>26</v>
      </c>
      <c r="AO35" s="36" t="s">
        <v>227</v>
      </c>
      <c r="AP35" s="25" t="s">
        <v>227</v>
      </c>
      <c r="AQ35" s="26" t="s">
        <v>227</v>
      </c>
      <c r="AR35" s="37" t="s">
        <v>227</v>
      </c>
      <c r="AS35" s="349" t="s">
        <v>227</v>
      </c>
      <c r="AT35" s="344" t="s">
        <v>227</v>
      </c>
      <c r="AU35" s="344" t="s">
        <v>227</v>
      </c>
      <c r="AV35" s="345" t="s">
        <v>227</v>
      </c>
      <c r="AW35" s="349">
        <v>180</v>
      </c>
      <c r="AX35" s="344">
        <v>340</v>
      </c>
      <c r="AY35" s="344">
        <v>150</v>
      </c>
      <c r="AZ35" s="345">
        <v>170</v>
      </c>
      <c r="BA35" s="590" t="s">
        <v>175</v>
      </c>
      <c r="BB35" s="5">
        <v>152</v>
      </c>
    </row>
    <row r="36" spans="2:54" ht="15" customHeight="1">
      <c r="T36" s="918"/>
      <c r="U36" s="918"/>
      <c r="V36" s="918"/>
      <c r="AD36" s="532">
        <v>6.8</v>
      </c>
      <c r="AE36" s="533">
        <v>240</v>
      </c>
      <c r="AF36" s="534">
        <v>6.8</v>
      </c>
      <c r="AG36" s="545">
        <v>21</v>
      </c>
      <c r="AH36" s="545">
        <v>22</v>
      </c>
      <c r="AI36" s="545">
        <v>21</v>
      </c>
      <c r="AJ36" s="545">
        <v>26</v>
      </c>
      <c r="AK36" s="545">
        <v>22</v>
      </c>
      <c r="AL36" s="545">
        <v>25</v>
      </c>
      <c r="AM36" s="545">
        <v>24</v>
      </c>
      <c r="AN36" s="538" t="s">
        <v>227</v>
      </c>
      <c r="AO36" s="540" t="s">
        <v>227</v>
      </c>
      <c r="AP36" s="541" t="s">
        <v>227</v>
      </c>
      <c r="AQ36" s="542" t="s">
        <v>227</v>
      </c>
      <c r="AR36" s="543" t="s">
        <v>227</v>
      </c>
      <c r="AS36" s="549" t="s">
        <v>227</v>
      </c>
      <c r="AT36" s="547" t="s">
        <v>227</v>
      </c>
      <c r="AU36" s="547" t="s">
        <v>227</v>
      </c>
      <c r="AV36" s="548" t="s">
        <v>227</v>
      </c>
      <c r="AW36" s="549" t="s">
        <v>227</v>
      </c>
      <c r="AX36" s="547" t="s">
        <v>227</v>
      </c>
      <c r="AY36" s="547" t="s">
        <v>227</v>
      </c>
      <c r="AZ36" s="548" t="s">
        <v>227</v>
      </c>
      <c r="BA36" s="566" t="s">
        <v>166</v>
      </c>
      <c r="BB36" s="5">
        <v>240</v>
      </c>
    </row>
    <row r="37" spans="2:54" ht="15" customHeight="1">
      <c r="AD37" s="553">
        <v>7</v>
      </c>
      <c r="AE37" s="554">
        <v>280</v>
      </c>
      <c r="AF37" s="555">
        <v>7</v>
      </c>
      <c r="AG37" s="556">
        <v>23</v>
      </c>
      <c r="AH37" s="557">
        <v>24</v>
      </c>
      <c r="AI37" s="558">
        <v>23</v>
      </c>
      <c r="AJ37" s="559">
        <v>28</v>
      </c>
      <c r="AK37" s="559">
        <v>24</v>
      </c>
      <c r="AL37" s="559">
        <v>28</v>
      </c>
      <c r="AM37" s="559">
        <v>26</v>
      </c>
      <c r="AN37" s="591" t="s">
        <v>227</v>
      </c>
      <c r="AO37" s="38" t="s">
        <v>227</v>
      </c>
      <c r="AP37" s="27" t="s">
        <v>227</v>
      </c>
      <c r="AQ37" s="28" t="s">
        <v>227</v>
      </c>
      <c r="AR37" s="39" t="s">
        <v>227</v>
      </c>
      <c r="AS37" s="348" t="s">
        <v>227</v>
      </c>
      <c r="AT37" s="346" t="s">
        <v>227</v>
      </c>
      <c r="AU37" s="346" t="s">
        <v>227</v>
      </c>
      <c r="AV37" s="347" t="s">
        <v>227</v>
      </c>
      <c r="AW37" s="348" t="s">
        <v>227</v>
      </c>
      <c r="AX37" s="346" t="s">
        <v>227</v>
      </c>
      <c r="AY37" s="346" t="s">
        <v>227</v>
      </c>
      <c r="AZ37" s="347" t="s">
        <v>227</v>
      </c>
      <c r="BA37" s="592" t="s">
        <v>170</v>
      </c>
      <c r="BB37" s="5">
        <v>272</v>
      </c>
    </row>
    <row r="38" spans="2:54" ht="15.75" customHeight="1" thickBot="1">
      <c r="AD38" s="550">
        <v>7.8</v>
      </c>
      <c r="AE38" s="551">
        <v>430</v>
      </c>
      <c r="AF38" s="534">
        <v>7.8</v>
      </c>
      <c r="AG38" s="545">
        <v>25</v>
      </c>
      <c r="AH38" s="536">
        <v>26</v>
      </c>
      <c r="AI38" s="537">
        <v>25</v>
      </c>
      <c r="AJ38" s="538" t="s">
        <v>227</v>
      </c>
      <c r="AK38" s="539">
        <v>28</v>
      </c>
      <c r="AL38" s="537" t="s">
        <v>227</v>
      </c>
      <c r="AM38" s="537">
        <v>28</v>
      </c>
      <c r="AN38" s="552" t="s">
        <v>227</v>
      </c>
      <c r="AO38" s="540" t="s">
        <v>227</v>
      </c>
      <c r="AP38" s="541" t="s">
        <v>227</v>
      </c>
      <c r="AQ38" s="542" t="s">
        <v>227</v>
      </c>
      <c r="AR38" s="543" t="s">
        <v>227</v>
      </c>
      <c r="AS38" s="540" t="s">
        <v>227</v>
      </c>
      <c r="AT38" s="541" t="s">
        <v>227</v>
      </c>
      <c r="AU38" s="542" t="s">
        <v>227</v>
      </c>
      <c r="AV38" s="543" t="s">
        <v>227</v>
      </c>
      <c r="AW38" s="540" t="s">
        <v>227</v>
      </c>
      <c r="AX38" s="541" t="s">
        <v>227</v>
      </c>
      <c r="AY38" s="542" t="s">
        <v>227</v>
      </c>
      <c r="AZ38" s="543" t="s">
        <v>227</v>
      </c>
      <c r="BA38" s="567" t="s">
        <v>251</v>
      </c>
      <c r="BB38" s="5">
        <v>16</v>
      </c>
    </row>
    <row r="39" spans="2:54" ht="15" customHeight="1">
      <c r="C39" s="2" t="s">
        <v>270</v>
      </c>
      <c r="G39" s="1" t="s">
        <v>270</v>
      </c>
      <c r="L39" t="s">
        <v>270</v>
      </c>
      <c r="Q39" t="s">
        <v>270</v>
      </c>
      <c r="U39" t="s">
        <v>270</v>
      </c>
      <c r="AD39" s="553">
        <v>8.6</v>
      </c>
      <c r="AE39" s="554">
        <v>580</v>
      </c>
      <c r="AF39" s="336">
        <v>8</v>
      </c>
      <c r="AG39" s="593">
        <v>27</v>
      </c>
      <c r="AH39" s="337">
        <v>28</v>
      </c>
      <c r="AI39" s="338">
        <v>27</v>
      </c>
      <c r="AJ39" s="352" t="s">
        <v>227</v>
      </c>
      <c r="AK39" s="353" t="s">
        <v>227</v>
      </c>
      <c r="AL39" s="354" t="s">
        <v>227</v>
      </c>
      <c r="AM39" s="354" t="s">
        <v>227</v>
      </c>
      <c r="AN39" s="355" t="s">
        <v>227</v>
      </c>
      <c r="AO39" s="339" t="s">
        <v>227</v>
      </c>
      <c r="AP39" s="340" t="s">
        <v>227</v>
      </c>
      <c r="AQ39" s="341" t="s">
        <v>227</v>
      </c>
      <c r="AR39" s="342" t="s">
        <v>227</v>
      </c>
      <c r="AS39" s="339" t="s">
        <v>227</v>
      </c>
      <c r="AT39" s="340" t="s">
        <v>227</v>
      </c>
      <c r="AU39" s="341" t="s">
        <v>227</v>
      </c>
      <c r="AV39" s="342" t="s">
        <v>227</v>
      </c>
      <c r="AW39" s="339" t="s">
        <v>227</v>
      </c>
      <c r="AX39" s="340" t="s">
        <v>227</v>
      </c>
      <c r="AY39" s="341" t="s">
        <v>227</v>
      </c>
      <c r="AZ39" s="342" t="s">
        <v>227</v>
      </c>
      <c r="BA39" s="325" t="s">
        <v>176</v>
      </c>
      <c r="BB39" s="5">
        <v>17</v>
      </c>
    </row>
    <row r="40" spans="2:54" ht="15.75" customHeight="1" thickBot="1">
      <c r="AD40" s="550">
        <v>9.4</v>
      </c>
      <c r="AE40" s="551">
        <v>730</v>
      </c>
      <c r="AF40" s="336">
        <v>8.8000000000000007</v>
      </c>
      <c r="AG40" s="594" t="s">
        <v>227</v>
      </c>
      <c r="AH40" s="356" t="s">
        <v>227</v>
      </c>
      <c r="AI40" s="357" t="s">
        <v>227</v>
      </c>
      <c r="AJ40" s="358" t="s">
        <v>227</v>
      </c>
      <c r="AK40" s="359" t="s">
        <v>227</v>
      </c>
      <c r="AL40" s="360" t="s">
        <v>227</v>
      </c>
      <c r="AM40" s="360" t="s">
        <v>227</v>
      </c>
      <c r="AN40" s="361" t="s">
        <v>227</v>
      </c>
      <c r="AO40" s="339" t="s">
        <v>227</v>
      </c>
      <c r="AP40" s="340" t="s">
        <v>227</v>
      </c>
      <c r="AQ40" s="341" t="s">
        <v>227</v>
      </c>
      <c r="AR40" s="342" t="s">
        <v>227</v>
      </c>
      <c r="AS40" s="339" t="s">
        <v>227</v>
      </c>
      <c r="AT40" s="340" t="s">
        <v>227</v>
      </c>
      <c r="AU40" s="341" t="s">
        <v>227</v>
      </c>
      <c r="AV40" s="342" t="s">
        <v>227</v>
      </c>
      <c r="AW40" s="339" t="s">
        <v>227</v>
      </c>
      <c r="AX40" s="340" t="s">
        <v>227</v>
      </c>
      <c r="AY40" s="341" t="s">
        <v>227</v>
      </c>
      <c r="AZ40" s="355" t="s">
        <v>227</v>
      </c>
      <c r="BA40" s="325" t="s">
        <v>253</v>
      </c>
      <c r="BB40" s="5">
        <v>18</v>
      </c>
    </row>
    <row r="41" spans="2:54" ht="15.75" customHeight="1" thickBot="1">
      <c r="B41">
        <v>1</v>
      </c>
      <c r="C41">
        <v>2</v>
      </c>
      <c r="D41">
        <v>3</v>
      </c>
      <c r="E41">
        <v>4</v>
      </c>
      <c r="F41">
        <v>5</v>
      </c>
      <c r="G41" s="1">
        <v>6</v>
      </c>
      <c r="H41">
        <v>7</v>
      </c>
      <c r="I41">
        <v>8</v>
      </c>
      <c r="J41">
        <v>9</v>
      </c>
      <c r="K41">
        <v>10</v>
      </c>
      <c r="L41">
        <v>11</v>
      </c>
      <c r="M41">
        <v>12</v>
      </c>
      <c r="N41" s="1">
        <v>13</v>
      </c>
      <c r="O41">
        <v>14</v>
      </c>
      <c r="P41">
        <v>15</v>
      </c>
      <c r="Q41">
        <v>16</v>
      </c>
      <c r="R41">
        <v>17</v>
      </c>
      <c r="S41">
        <v>18</v>
      </c>
      <c r="T41">
        <v>19</v>
      </c>
      <c r="U41">
        <v>20</v>
      </c>
      <c r="V41">
        <v>21</v>
      </c>
      <c r="AD41">
        <v>9</v>
      </c>
      <c r="AF41" s="362">
        <v>9</v>
      </c>
      <c r="AG41" s="355" t="s">
        <v>227</v>
      </c>
      <c r="AH41" s="355" t="s">
        <v>227</v>
      </c>
      <c r="AI41" s="355" t="s">
        <v>227</v>
      </c>
      <c r="AJ41" s="355" t="s">
        <v>227</v>
      </c>
      <c r="AK41" s="359" t="s">
        <v>227</v>
      </c>
      <c r="AL41" s="360" t="s">
        <v>227</v>
      </c>
      <c r="AM41" s="360" t="s">
        <v>227</v>
      </c>
      <c r="AN41" s="361" t="s">
        <v>227</v>
      </c>
      <c r="AO41" s="339" t="s">
        <v>227</v>
      </c>
      <c r="AP41" s="340" t="s">
        <v>227</v>
      </c>
      <c r="AQ41" s="341" t="s">
        <v>227</v>
      </c>
      <c r="AR41" s="342" t="s">
        <v>227</v>
      </c>
      <c r="AS41" s="339" t="s">
        <v>227</v>
      </c>
      <c r="AT41" s="340" t="s">
        <v>227</v>
      </c>
      <c r="AU41" s="341" t="s">
        <v>227</v>
      </c>
      <c r="AV41" s="342" t="s">
        <v>227</v>
      </c>
      <c r="AW41" s="363" t="s">
        <v>227</v>
      </c>
      <c r="AX41" s="364" t="s">
        <v>227</v>
      </c>
      <c r="AY41" s="365" t="s">
        <v>227</v>
      </c>
      <c r="AZ41" s="361" t="s">
        <v>227</v>
      </c>
      <c r="BA41" s="325" t="s">
        <v>256</v>
      </c>
      <c r="BB41" s="5">
        <v>19</v>
      </c>
    </row>
    <row r="42" spans="2:54" ht="15.6" customHeight="1" thickBot="1">
      <c r="B42" s="921" t="s">
        <v>271</v>
      </c>
      <c r="C42" s="917"/>
      <c r="D42" s="917"/>
      <c r="E42" s="917"/>
      <c r="F42" s="917"/>
      <c r="G42" s="917"/>
      <c r="H42" s="917"/>
      <c r="I42" s="917"/>
      <c r="J42" s="917"/>
      <c r="K42" s="917"/>
      <c r="L42" s="917"/>
      <c r="M42" s="917"/>
      <c r="N42" s="917"/>
      <c r="O42" s="917"/>
      <c r="P42" s="917"/>
      <c r="Q42" s="917"/>
      <c r="R42" s="917"/>
      <c r="S42" s="917"/>
      <c r="T42" s="917"/>
      <c r="U42" s="917"/>
      <c r="V42" s="917"/>
      <c r="W42" s="917"/>
      <c r="X42" s="922"/>
      <c r="AF42" s="326"/>
      <c r="AG42" s="322"/>
      <c r="AH42" s="322"/>
      <c r="AI42" s="322"/>
      <c r="AJ42" s="322"/>
      <c r="AK42" s="327"/>
      <c r="AL42" s="322"/>
      <c r="AM42" s="322"/>
      <c r="AN42" s="322"/>
      <c r="AO42" s="322"/>
      <c r="AP42" s="322"/>
      <c r="AQ42" s="322"/>
      <c r="AR42" s="322"/>
      <c r="AS42" s="327"/>
      <c r="AT42" s="322"/>
      <c r="AU42" s="322"/>
      <c r="AV42" s="322"/>
      <c r="AW42" s="322"/>
      <c r="AX42" s="322"/>
      <c r="AY42" s="322"/>
      <c r="AZ42" s="322"/>
      <c r="BA42" s="322" t="s">
        <v>257</v>
      </c>
      <c r="BB42" s="5">
        <v>20</v>
      </c>
    </row>
    <row r="43" spans="2:54" ht="26.25" customHeight="1" thickBot="1">
      <c r="B43" s="484" t="s">
        <v>29</v>
      </c>
      <c r="C43" s="40" t="s">
        <v>208</v>
      </c>
      <c r="D43" s="41" t="s">
        <v>209</v>
      </c>
      <c r="E43" s="41" t="s">
        <v>210</v>
      </c>
      <c r="F43" s="42" t="s">
        <v>211</v>
      </c>
      <c r="G43" s="43" t="s">
        <v>212</v>
      </c>
      <c r="H43" s="41" t="s">
        <v>213</v>
      </c>
      <c r="I43" s="41" t="s">
        <v>214</v>
      </c>
      <c r="J43" s="42" t="s">
        <v>215</v>
      </c>
      <c r="K43" s="43" t="s">
        <v>216</v>
      </c>
      <c r="L43" s="44" t="s">
        <v>217</v>
      </c>
      <c r="M43" s="44" t="s">
        <v>218</v>
      </c>
      <c r="N43" s="45" t="s">
        <v>219</v>
      </c>
      <c r="O43" s="45" t="s">
        <v>220</v>
      </c>
      <c r="P43" s="44" t="s">
        <v>221</v>
      </c>
      <c r="Q43" s="44" t="s">
        <v>222</v>
      </c>
      <c r="R43" s="45" t="s">
        <v>223</v>
      </c>
      <c r="S43" s="43" t="s">
        <v>167</v>
      </c>
      <c r="T43" s="44" t="s">
        <v>171</v>
      </c>
      <c r="U43" s="44" t="s">
        <v>174</v>
      </c>
      <c r="V43" s="45" t="s">
        <v>177</v>
      </c>
      <c r="W43" s="323"/>
      <c r="X43" s="17"/>
      <c r="AF43" s="328"/>
      <c r="AG43" s="329"/>
      <c r="AH43" s="329"/>
      <c r="AI43" s="329"/>
      <c r="AJ43" s="329"/>
      <c r="AK43" s="330"/>
      <c r="AL43" s="329"/>
      <c r="AM43" s="329"/>
      <c r="AN43" s="329"/>
      <c r="AO43" s="329"/>
      <c r="AP43" s="329"/>
      <c r="AQ43" s="329"/>
      <c r="AR43" s="329"/>
      <c r="AS43" s="330"/>
      <c r="AT43" s="329"/>
      <c r="AU43" s="329"/>
      <c r="AV43" s="329"/>
      <c r="AW43" s="329"/>
      <c r="AX43" s="329"/>
      <c r="AY43" s="329"/>
      <c r="AZ43" s="329"/>
      <c r="BA43" s="329" t="s">
        <v>258</v>
      </c>
      <c r="BB43" s="483">
        <v>21</v>
      </c>
    </row>
    <row r="44" spans="2:54" ht="15.6" customHeight="1">
      <c r="B44" s="31">
        <v>1</v>
      </c>
      <c r="C44" s="653" t="s">
        <v>227</v>
      </c>
      <c r="D44" s="654" t="s">
        <v>227</v>
      </c>
      <c r="E44" s="654" t="s">
        <v>227</v>
      </c>
      <c r="F44" s="655" t="s">
        <v>227</v>
      </c>
      <c r="G44" s="656" t="s">
        <v>227</v>
      </c>
      <c r="H44" s="657" t="s">
        <v>227</v>
      </c>
      <c r="I44" s="657" t="s">
        <v>227</v>
      </c>
      <c r="J44" s="658" t="s">
        <v>227</v>
      </c>
      <c r="K44" s="659" t="s">
        <v>227</v>
      </c>
      <c r="L44" s="660" t="s">
        <v>227</v>
      </c>
      <c r="M44" s="660" t="s">
        <v>227</v>
      </c>
      <c r="N44" s="661" t="s">
        <v>227</v>
      </c>
      <c r="O44" s="732">
        <v>18</v>
      </c>
      <c r="P44" s="733">
        <v>24</v>
      </c>
      <c r="Q44" s="734">
        <v>23</v>
      </c>
      <c r="R44" s="735">
        <v>22</v>
      </c>
      <c r="S44" s="662" t="s">
        <v>227</v>
      </c>
      <c r="T44" s="663" t="s">
        <v>227</v>
      </c>
      <c r="U44" s="663" t="s">
        <v>227</v>
      </c>
      <c r="V44" s="664" t="s">
        <v>227</v>
      </c>
      <c r="W44" s="324"/>
      <c r="X44" s="5"/>
      <c r="AN44" s="916" t="s">
        <v>272</v>
      </c>
      <c r="AO44" s="917"/>
      <c r="AP44" s="917"/>
      <c r="AQ44" s="917"/>
      <c r="AR44" s="917"/>
      <c r="AS44" s="917"/>
      <c r="AT44" s="917"/>
      <c r="AU44" s="917"/>
      <c r="AV44" s="917"/>
      <c r="AW44" s="917"/>
      <c r="AX44" s="917"/>
      <c r="AY44" s="917"/>
    </row>
    <row r="45" spans="2:54" ht="15" customHeight="1">
      <c r="B45" s="31" t="s">
        <v>195</v>
      </c>
      <c r="C45" s="653" t="s">
        <v>227</v>
      </c>
      <c r="D45" s="654" t="s">
        <v>227</v>
      </c>
      <c r="E45" s="654" t="s">
        <v>227</v>
      </c>
      <c r="F45" s="655" t="s">
        <v>227</v>
      </c>
      <c r="G45" s="656" t="s">
        <v>227</v>
      </c>
      <c r="H45" s="657" t="s">
        <v>227</v>
      </c>
      <c r="I45" s="657" t="s">
        <v>227</v>
      </c>
      <c r="J45" s="658" t="s">
        <v>227</v>
      </c>
      <c r="K45" s="659" t="s">
        <v>227</v>
      </c>
      <c r="L45" s="660" t="s">
        <v>227</v>
      </c>
      <c r="M45" s="660" t="s">
        <v>227</v>
      </c>
      <c r="N45" s="661" t="s">
        <v>227</v>
      </c>
      <c r="O45" s="732">
        <v>27</v>
      </c>
      <c r="P45" s="733">
        <v>33</v>
      </c>
      <c r="Q45" s="734">
        <v>29</v>
      </c>
      <c r="R45" s="735">
        <v>28</v>
      </c>
      <c r="S45" s="662" t="s">
        <v>227</v>
      </c>
      <c r="T45" s="663" t="s">
        <v>227</v>
      </c>
      <c r="U45" s="663" t="s">
        <v>227</v>
      </c>
      <c r="V45" s="664" t="s">
        <v>227</v>
      </c>
      <c r="W45" s="324"/>
      <c r="X45" s="5"/>
      <c r="AN45" s="918"/>
      <c r="AO45" s="918"/>
      <c r="AP45" s="918"/>
      <c r="AQ45" s="918"/>
      <c r="AR45" s="918"/>
      <c r="AS45" s="918"/>
      <c r="AT45" s="918"/>
      <c r="AU45" s="918"/>
      <c r="AV45" s="918"/>
      <c r="AW45" s="918"/>
      <c r="AX45" s="918"/>
      <c r="AY45" s="918"/>
    </row>
    <row r="46" spans="2:54" ht="15" customHeight="1">
      <c r="B46" s="31">
        <v>2</v>
      </c>
      <c r="C46" s="653" t="s">
        <v>227</v>
      </c>
      <c r="D46" s="654" t="s">
        <v>227</v>
      </c>
      <c r="E46" s="654" t="s">
        <v>227</v>
      </c>
      <c r="F46" s="655" t="s">
        <v>227</v>
      </c>
      <c r="G46" s="656" t="s">
        <v>227</v>
      </c>
      <c r="H46" s="657" t="s">
        <v>227</v>
      </c>
      <c r="I46" s="657" t="s">
        <v>227</v>
      </c>
      <c r="J46" s="658" t="s">
        <v>227</v>
      </c>
      <c r="K46" s="659" t="s">
        <v>227</v>
      </c>
      <c r="L46" s="660" t="s">
        <v>227</v>
      </c>
      <c r="M46" s="660" t="s">
        <v>227</v>
      </c>
      <c r="N46" s="661" t="s">
        <v>227</v>
      </c>
      <c r="O46" s="732">
        <v>31</v>
      </c>
      <c r="P46" s="733">
        <v>38</v>
      </c>
      <c r="Q46" s="734">
        <v>33</v>
      </c>
      <c r="R46" s="735">
        <v>33</v>
      </c>
      <c r="S46" s="662" t="s">
        <v>227</v>
      </c>
      <c r="T46" s="663" t="s">
        <v>227</v>
      </c>
      <c r="U46" s="663" t="s">
        <v>227</v>
      </c>
      <c r="V46" s="664" t="s">
        <v>227</v>
      </c>
      <c r="W46" s="324"/>
      <c r="X46" s="5"/>
      <c r="AF46">
        <v>1</v>
      </c>
      <c r="AG46">
        <v>1</v>
      </c>
      <c r="AN46" s="2" t="s">
        <v>245</v>
      </c>
      <c r="AS46" s="2" t="s">
        <v>248</v>
      </c>
      <c r="AT46" s="2" t="s">
        <v>245</v>
      </c>
      <c r="AU46" s="2" t="s">
        <v>248</v>
      </c>
      <c r="AV46" s="2" t="s">
        <v>245</v>
      </c>
      <c r="AW46" s="2" t="s">
        <v>248</v>
      </c>
      <c r="AX46" s="2" t="s">
        <v>245</v>
      </c>
      <c r="AY46" s="2" t="s">
        <v>248</v>
      </c>
    </row>
    <row r="47" spans="2:54" ht="15" customHeight="1">
      <c r="B47" s="31" t="s">
        <v>196</v>
      </c>
      <c r="C47" s="653" t="s">
        <v>227</v>
      </c>
      <c r="D47" s="654" t="s">
        <v>227</v>
      </c>
      <c r="E47" s="654" t="s">
        <v>227</v>
      </c>
      <c r="F47" s="655" t="s">
        <v>227</v>
      </c>
      <c r="G47" s="656" t="s">
        <v>227</v>
      </c>
      <c r="H47" s="657" t="s">
        <v>227</v>
      </c>
      <c r="I47" s="657" t="s">
        <v>227</v>
      </c>
      <c r="J47" s="658" t="s">
        <v>227</v>
      </c>
      <c r="K47" s="659" t="s">
        <v>227</v>
      </c>
      <c r="L47" s="660" t="s">
        <v>227</v>
      </c>
      <c r="M47" s="660" t="s">
        <v>227</v>
      </c>
      <c r="N47" s="661" t="s">
        <v>227</v>
      </c>
      <c r="O47" s="732">
        <v>38</v>
      </c>
      <c r="P47" s="733">
        <v>45</v>
      </c>
      <c r="Q47" s="734">
        <v>40</v>
      </c>
      <c r="R47" s="735">
        <v>39</v>
      </c>
      <c r="S47" s="662" t="s">
        <v>227</v>
      </c>
      <c r="T47" s="663" t="s">
        <v>227</v>
      </c>
      <c r="U47" s="663" t="s">
        <v>227</v>
      </c>
      <c r="V47" s="664" t="s">
        <v>227</v>
      </c>
      <c r="W47" s="324"/>
      <c r="X47" s="5"/>
      <c r="AF47">
        <v>1.8</v>
      </c>
      <c r="AG47">
        <v>1.8</v>
      </c>
      <c r="AN47" s="229">
        <v>24</v>
      </c>
      <c r="AS47" s="523">
        <f t="shared" ref="AS47:AS59" si="1">AG26*100/63</f>
        <v>9.5238095238095237</v>
      </c>
      <c r="AT47" s="229">
        <v>24</v>
      </c>
      <c r="AU47" s="523">
        <f t="shared" ref="AU47:AU59" si="2">AH26*100/63</f>
        <v>9.5238095238095237</v>
      </c>
      <c r="AV47" s="229">
        <v>24</v>
      </c>
      <c r="AW47" s="523">
        <f t="shared" ref="AW47:AW59" si="3">AI26*100/63</f>
        <v>9.5238095238095237</v>
      </c>
      <c r="AX47" s="522">
        <v>24</v>
      </c>
      <c r="AY47" s="523">
        <f t="shared" ref="AY47:AY56" si="4">AJ26*100/63</f>
        <v>9.5238095238095237</v>
      </c>
    </row>
    <row r="48" spans="2:54" ht="15" customHeight="1">
      <c r="B48" s="31">
        <v>3</v>
      </c>
      <c r="C48" s="653">
        <v>10</v>
      </c>
      <c r="D48" s="654">
        <v>15</v>
      </c>
      <c r="E48" s="654">
        <v>7</v>
      </c>
      <c r="F48" s="655">
        <v>20</v>
      </c>
      <c r="G48" s="656">
        <v>15</v>
      </c>
      <c r="H48" s="657">
        <v>20</v>
      </c>
      <c r="I48" s="657">
        <v>14</v>
      </c>
      <c r="J48" s="658">
        <v>25</v>
      </c>
      <c r="K48" s="659" t="s">
        <v>227</v>
      </c>
      <c r="L48" s="660" t="s">
        <v>227</v>
      </c>
      <c r="M48" s="660" t="s">
        <v>227</v>
      </c>
      <c r="N48" s="661" t="s">
        <v>227</v>
      </c>
      <c r="O48" s="732">
        <v>41</v>
      </c>
      <c r="P48" s="733">
        <v>48</v>
      </c>
      <c r="Q48" s="734">
        <v>44</v>
      </c>
      <c r="R48" s="735">
        <v>42</v>
      </c>
      <c r="S48" s="662" t="s">
        <v>227</v>
      </c>
      <c r="T48" s="663" t="s">
        <v>227</v>
      </c>
      <c r="U48" s="663" t="s">
        <v>227</v>
      </c>
      <c r="V48" s="664" t="s">
        <v>227</v>
      </c>
      <c r="W48" s="324"/>
      <c r="X48" s="5"/>
      <c r="AF48">
        <v>2</v>
      </c>
      <c r="AG48">
        <v>2</v>
      </c>
      <c r="AN48" s="229">
        <v>26</v>
      </c>
      <c r="AS48" s="523">
        <f t="shared" si="1"/>
        <v>9.5238095238095237</v>
      </c>
      <c r="AT48" s="229">
        <v>28</v>
      </c>
      <c r="AU48" s="523">
        <f t="shared" si="2"/>
        <v>11.111111111111111</v>
      </c>
      <c r="AV48" s="229">
        <v>26</v>
      </c>
      <c r="AW48" s="523">
        <f t="shared" si="3"/>
        <v>9.5238095238095237</v>
      </c>
      <c r="AX48" s="229">
        <v>35</v>
      </c>
      <c r="AY48" s="523">
        <f t="shared" si="4"/>
        <v>11.111111111111111</v>
      </c>
    </row>
    <row r="49" spans="2:51" ht="15" customHeight="1">
      <c r="B49" s="31" t="s">
        <v>197</v>
      </c>
      <c r="C49" s="653">
        <v>16</v>
      </c>
      <c r="D49" s="654">
        <v>20</v>
      </c>
      <c r="E49" s="654">
        <v>15</v>
      </c>
      <c r="F49" s="655">
        <v>27</v>
      </c>
      <c r="G49" s="656">
        <v>21</v>
      </c>
      <c r="H49" s="657">
        <v>25</v>
      </c>
      <c r="I49" s="657">
        <v>20</v>
      </c>
      <c r="J49" s="658">
        <v>33</v>
      </c>
      <c r="K49" s="659" t="s">
        <v>227</v>
      </c>
      <c r="L49" s="660" t="s">
        <v>227</v>
      </c>
      <c r="M49" s="660" t="s">
        <v>227</v>
      </c>
      <c r="N49" s="661" t="s">
        <v>227</v>
      </c>
      <c r="O49" s="737">
        <v>45</v>
      </c>
      <c r="P49" s="733" t="s">
        <v>227</v>
      </c>
      <c r="Q49" s="734">
        <v>47</v>
      </c>
      <c r="R49" s="735">
        <v>47</v>
      </c>
      <c r="S49" s="662" t="s">
        <v>227</v>
      </c>
      <c r="T49" s="663" t="s">
        <v>227</v>
      </c>
      <c r="U49" s="663" t="s">
        <v>227</v>
      </c>
      <c r="V49" s="664" t="s">
        <v>227</v>
      </c>
      <c r="W49" s="324"/>
      <c r="X49" s="5"/>
      <c r="AF49">
        <v>2.8</v>
      </c>
      <c r="AG49">
        <v>2.8</v>
      </c>
      <c r="AN49" s="229">
        <v>30</v>
      </c>
      <c r="AS49" s="523">
        <f t="shared" si="1"/>
        <v>11.111111111111111</v>
      </c>
      <c r="AT49" s="229">
        <v>36</v>
      </c>
      <c r="AU49" s="523">
        <f t="shared" si="2"/>
        <v>12.698412698412698</v>
      </c>
      <c r="AV49" s="229">
        <v>31</v>
      </c>
      <c r="AW49" s="523">
        <f t="shared" si="3"/>
        <v>11.111111111111111</v>
      </c>
      <c r="AX49" s="229">
        <v>60</v>
      </c>
      <c r="AY49" s="523">
        <f t="shared" si="4"/>
        <v>14.285714285714286</v>
      </c>
    </row>
    <row r="50" spans="2:51" ht="15" customHeight="1">
      <c r="B50" s="31">
        <v>4</v>
      </c>
      <c r="C50" s="653">
        <v>19</v>
      </c>
      <c r="D50" s="654">
        <v>24</v>
      </c>
      <c r="E50" s="654">
        <v>17</v>
      </c>
      <c r="F50" s="655">
        <v>29</v>
      </c>
      <c r="G50" s="656">
        <v>24</v>
      </c>
      <c r="H50" s="657">
        <v>29</v>
      </c>
      <c r="I50" s="657">
        <v>22</v>
      </c>
      <c r="J50" s="658">
        <v>34</v>
      </c>
      <c r="K50" s="659" t="s">
        <v>227</v>
      </c>
      <c r="L50" s="660" t="s">
        <v>227</v>
      </c>
      <c r="M50" s="660" t="s">
        <v>227</v>
      </c>
      <c r="N50" s="661" t="s">
        <v>227</v>
      </c>
      <c r="O50" s="737">
        <v>49</v>
      </c>
      <c r="P50" s="736" t="s">
        <v>227</v>
      </c>
      <c r="Q50" s="734">
        <v>50</v>
      </c>
      <c r="R50" s="735" t="s">
        <v>227</v>
      </c>
      <c r="S50" s="662" t="s">
        <v>227</v>
      </c>
      <c r="T50" s="663" t="s">
        <v>227</v>
      </c>
      <c r="U50" s="663" t="s">
        <v>227</v>
      </c>
      <c r="V50" s="664" t="s">
        <v>227</v>
      </c>
      <c r="W50" s="324"/>
      <c r="X50" s="5"/>
      <c r="AF50">
        <v>3</v>
      </c>
      <c r="AG50">
        <v>3</v>
      </c>
      <c r="AN50" s="229">
        <v>39</v>
      </c>
      <c r="AS50" s="523">
        <f t="shared" si="1"/>
        <v>12.698412698412698</v>
      </c>
      <c r="AT50" s="229">
        <v>46</v>
      </c>
      <c r="AU50" s="523">
        <f t="shared" si="2"/>
        <v>14.285714285714286</v>
      </c>
      <c r="AV50" s="229">
        <v>41</v>
      </c>
      <c r="AW50" s="523">
        <f t="shared" si="3"/>
        <v>12.698412698412698</v>
      </c>
      <c r="AX50" s="229">
        <v>77</v>
      </c>
      <c r="AY50" s="523">
        <f t="shared" si="4"/>
        <v>15.873015873015873</v>
      </c>
    </row>
    <row r="51" spans="2:51" ht="15" customHeight="1">
      <c r="B51" s="31" t="s">
        <v>198</v>
      </c>
      <c r="C51" s="653">
        <v>23</v>
      </c>
      <c r="D51" s="654">
        <v>27</v>
      </c>
      <c r="E51" s="654">
        <v>23</v>
      </c>
      <c r="F51" s="655">
        <v>34</v>
      </c>
      <c r="G51" s="656">
        <v>28</v>
      </c>
      <c r="H51" s="657">
        <v>32</v>
      </c>
      <c r="I51" s="657">
        <v>28</v>
      </c>
      <c r="J51" s="658">
        <v>39</v>
      </c>
      <c r="K51" s="659" t="s">
        <v>227</v>
      </c>
      <c r="L51" s="660" t="s">
        <v>227</v>
      </c>
      <c r="M51" s="660" t="s">
        <v>227</v>
      </c>
      <c r="N51" s="661" t="s">
        <v>227</v>
      </c>
      <c r="O51" s="659" t="s">
        <v>227</v>
      </c>
      <c r="P51" s="660" t="s">
        <v>227</v>
      </c>
      <c r="Q51" s="660" t="s">
        <v>227</v>
      </c>
      <c r="R51" s="661" t="s">
        <v>227</v>
      </c>
      <c r="S51" s="662" t="s">
        <v>227</v>
      </c>
      <c r="T51" s="663" t="s">
        <v>227</v>
      </c>
      <c r="U51" s="663" t="s">
        <v>227</v>
      </c>
      <c r="V51" s="664" t="s">
        <v>227</v>
      </c>
      <c r="W51" s="324"/>
      <c r="X51" s="5"/>
      <c r="AF51">
        <v>3.8</v>
      </c>
      <c r="AG51">
        <v>3.8</v>
      </c>
      <c r="AN51" s="229">
        <v>61</v>
      </c>
      <c r="AS51" s="523">
        <f t="shared" si="1"/>
        <v>14.285714285714286</v>
      </c>
      <c r="AT51" s="229">
        <v>72</v>
      </c>
      <c r="AU51" s="523">
        <f t="shared" si="2"/>
        <v>15.873015873015873</v>
      </c>
      <c r="AV51" s="229">
        <v>49</v>
      </c>
      <c r="AW51" s="523">
        <f t="shared" si="3"/>
        <v>15.873015873015873</v>
      </c>
      <c r="AX51" s="229">
        <v>121</v>
      </c>
      <c r="AY51" s="523">
        <f t="shared" si="4"/>
        <v>19.047619047619047</v>
      </c>
    </row>
    <row r="52" spans="2:51" ht="15" customHeight="1">
      <c r="B52" s="31">
        <v>5</v>
      </c>
      <c r="C52" s="653">
        <v>25</v>
      </c>
      <c r="D52" s="654">
        <v>29</v>
      </c>
      <c r="E52" s="654">
        <v>24</v>
      </c>
      <c r="F52" s="655">
        <v>36</v>
      </c>
      <c r="G52" s="656">
        <v>30</v>
      </c>
      <c r="H52" s="657">
        <v>34</v>
      </c>
      <c r="I52" s="657">
        <v>30</v>
      </c>
      <c r="J52" s="658">
        <v>41</v>
      </c>
      <c r="K52" s="659" t="s">
        <v>227</v>
      </c>
      <c r="L52" s="660" t="s">
        <v>227</v>
      </c>
      <c r="M52" s="660" t="s">
        <v>227</v>
      </c>
      <c r="N52" s="661" t="s">
        <v>227</v>
      </c>
      <c r="O52" s="659" t="s">
        <v>227</v>
      </c>
      <c r="P52" s="660" t="s">
        <v>227</v>
      </c>
      <c r="Q52" s="660" t="s">
        <v>227</v>
      </c>
      <c r="R52" s="661" t="s">
        <v>227</v>
      </c>
      <c r="S52" s="662" t="s">
        <v>227</v>
      </c>
      <c r="T52" s="663" t="s">
        <v>227</v>
      </c>
      <c r="U52" s="663" t="s">
        <v>227</v>
      </c>
      <c r="V52" s="664" t="s">
        <v>227</v>
      </c>
      <c r="W52" s="324"/>
      <c r="X52" s="5"/>
      <c r="AF52">
        <v>4</v>
      </c>
      <c r="AG52">
        <v>4</v>
      </c>
      <c r="AN52" s="229">
        <v>103</v>
      </c>
      <c r="AS52" s="523">
        <f t="shared" si="1"/>
        <v>17.460317460317459</v>
      </c>
      <c r="AT52" s="229">
        <v>122</v>
      </c>
      <c r="AU52" s="523">
        <f t="shared" si="2"/>
        <v>19.047619047619047</v>
      </c>
      <c r="AV52" s="229">
        <v>82</v>
      </c>
      <c r="AW52" s="523">
        <f t="shared" si="3"/>
        <v>17.460317460317459</v>
      </c>
      <c r="AX52" s="229">
        <v>169</v>
      </c>
      <c r="AY52" s="523">
        <f t="shared" si="4"/>
        <v>22.222222222222221</v>
      </c>
    </row>
    <row r="53" spans="2:51" ht="15" customHeight="1">
      <c r="B53" s="31" t="s">
        <v>199</v>
      </c>
      <c r="C53" s="653">
        <v>30</v>
      </c>
      <c r="D53" s="654">
        <v>36</v>
      </c>
      <c r="E53" s="654">
        <v>30</v>
      </c>
      <c r="F53" s="655">
        <v>40</v>
      </c>
      <c r="G53" s="656">
        <v>35</v>
      </c>
      <c r="H53" s="657">
        <v>41</v>
      </c>
      <c r="I53" s="657">
        <v>35</v>
      </c>
      <c r="J53" s="658">
        <v>45</v>
      </c>
      <c r="K53" s="659" t="s">
        <v>227</v>
      </c>
      <c r="L53" s="660" t="s">
        <v>227</v>
      </c>
      <c r="M53" s="660" t="s">
        <v>227</v>
      </c>
      <c r="N53" s="661" t="s">
        <v>227</v>
      </c>
      <c r="O53" s="659" t="s">
        <v>227</v>
      </c>
      <c r="P53" s="660" t="s">
        <v>227</v>
      </c>
      <c r="Q53" s="660" t="s">
        <v>227</v>
      </c>
      <c r="R53" s="661" t="s">
        <v>227</v>
      </c>
      <c r="S53" s="662" t="s">
        <v>227</v>
      </c>
      <c r="T53" s="663" t="s">
        <v>227</v>
      </c>
      <c r="U53" s="663" t="s">
        <v>227</v>
      </c>
      <c r="V53" s="664" t="s">
        <v>227</v>
      </c>
      <c r="W53" s="324"/>
      <c r="X53" s="5"/>
      <c r="AF53">
        <v>4.8</v>
      </c>
      <c r="AG53">
        <v>4.8</v>
      </c>
      <c r="AN53" s="229">
        <v>144</v>
      </c>
      <c r="AS53" s="523">
        <f t="shared" si="1"/>
        <v>22.222222222222221</v>
      </c>
      <c r="AT53" s="229">
        <v>169</v>
      </c>
      <c r="AU53" s="523">
        <f t="shared" si="2"/>
        <v>23.80952380952381</v>
      </c>
      <c r="AV53" s="229">
        <v>115</v>
      </c>
      <c r="AW53" s="523">
        <f t="shared" si="3"/>
        <v>20.634920634920636</v>
      </c>
      <c r="AX53" s="229">
        <v>218</v>
      </c>
      <c r="AY53" s="523">
        <f t="shared" si="4"/>
        <v>25.396825396825395</v>
      </c>
    </row>
    <row r="54" spans="2:51" ht="15" customHeight="1">
      <c r="B54" s="31">
        <v>6</v>
      </c>
      <c r="C54" s="653">
        <v>34</v>
      </c>
      <c r="D54" s="654">
        <v>38</v>
      </c>
      <c r="E54" s="654">
        <v>32</v>
      </c>
      <c r="F54" s="655">
        <v>42</v>
      </c>
      <c r="G54" s="656">
        <v>39</v>
      </c>
      <c r="H54" s="657">
        <v>43</v>
      </c>
      <c r="I54" s="657">
        <v>38</v>
      </c>
      <c r="J54" s="658">
        <v>47</v>
      </c>
      <c r="K54" s="659" t="s">
        <v>227</v>
      </c>
      <c r="L54" s="660" t="s">
        <v>227</v>
      </c>
      <c r="M54" s="660" t="s">
        <v>227</v>
      </c>
      <c r="N54" s="661" t="s">
        <v>227</v>
      </c>
      <c r="O54" s="659" t="s">
        <v>227</v>
      </c>
      <c r="P54" s="660" t="s">
        <v>227</v>
      </c>
      <c r="Q54" s="660" t="s">
        <v>227</v>
      </c>
      <c r="R54" s="661" t="s">
        <v>227</v>
      </c>
      <c r="S54" s="665">
        <v>180</v>
      </c>
      <c r="T54" s="663">
        <v>340</v>
      </c>
      <c r="U54" s="663">
        <v>150</v>
      </c>
      <c r="V54" s="664">
        <v>170</v>
      </c>
      <c r="W54" s="324"/>
      <c r="X54" s="5"/>
      <c r="AC54" s="10" t="s">
        <v>273</v>
      </c>
      <c r="AF54">
        <v>5</v>
      </c>
      <c r="AG54">
        <v>5</v>
      </c>
      <c r="AN54" s="229">
        <v>195</v>
      </c>
      <c r="AS54" s="523">
        <f t="shared" si="1"/>
        <v>23.80952380952381</v>
      </c>
      <c r="AT54" s="229">
        <v>230</v>
      </c>
      <c r="AU54" s="523">
        <f t="shared" si="2"/>
        <v>25.396825396825395</v>
      </c>
      <c r="AV54" s="229">
        <v>156</v>
      </c>
      <c r="AW54" s="523">
        <f t="shared" si="3"/>
        <v>23.80952380952381</v>
      </c>
      <c r="AX54" s="229">
        <v>314</v>
      </c>
      <c r="AY54" s="523">
        <f t="shared" si="4"/>
        <v>28.571428571428573</v>
      </c>
    </row>
    <row r="55" spans="2:51" ht="15" customHeight="1">
      <c r="B55" s="31" t="s">
        <v>200</v>
      </c>
      <c r="C55" s="653">
        <v>39</v>
      </c>
      <c r="D55" s="654">
        <v>42</v>
      </c>
      <c r="E55" s="654">
        <v>38</v>
      </c>
      <c r="F55" s="655">
        <v>49</v>
      </c>
      <c r="G55" s="656">
        <v>44</v>
      </c>
      <c r="H55" s="657">
        <v>47</v>
      </c>
      <c r="I55" s="657">
        <v>44</v>
      </c>
      <c r="J55" s="658">
        <v>50</v>
      </c>
      <c r="K55" s="659" t="s">
        <v>227</v>
      </c>
      <c r="L55" s="660" t="s">
        <v>227</v>
      </c>
      <c r="M55" s="660" t="s">
        <v>227</v>
      </c>
      <c r="N55" s="661" t="s">
        <v>227</v>
      </c>
      <c r="O55" s="659" t="s">
        <v>227</v>
      </c>
      <c r="P55" s="660" t="s">
        <v>227</v>
      </c>
      <c r="Q55" s="660" t="s">
        <v>227</v>
      </c>
      <c r="R55" s="661" t="s">
        <v>227</v>
      </c>
      <c r="S55" s="662" t="s">
        <v>227</v>
      </c>
      <c r="T55" s="663" t="s">
        <v>227</v>
      </c>
      <c r="U55" s="663" t="s">
        <v>227</v>
      </c>
      <c r="V55" s="664" t="s">
        <v>227</v>
      </c>
      <c r="W55" s="324"/>
      <c r="X55" s="5"/>
      <c r="AF55">
        <v>5.8</v>
      </c>
      <c r="AG55">
        <v>5.8</v>
      </c>
      <c r="AN55" s="229">
        <v>267</v>
      </c>
      <c r="AS55" s="523">
        <f t="shared" si="1"/>
        <v>26.984126984126984</v>
      </c>
      <c r="AT55" s="229">
        <v>314</v>
      </c>
      <c r="AU55" s="523">
        <f t="shared" si="2"/>
        <v>28.571428571428573</v>
      </c>
      <c r="AV55" s="229">
        <v>213</v>
      </c>
      <c r="AW55" s="523">
        <f t="shared" si="3"/>
        <v>26.984126984126984</v>
      </c>
      <c r="AX55" s="229">
        <v>490</v>
      </c>
      <c r="AY55" s="523">
        <f t="shared" si="4"/>
        <v>31.746031746031747</v>
      </c>
    </row>
    <row r="56" spans="2:51" ht="15" customHeight="1">
      <c r="B56" s="31">
        <v>7</v>
      </c>
      <c r="C56" s="653">
        <v>40</v>
      </c>
      <c r="D56" s="654">
        <v>43</v>
      </c>
      <c r="E56" s="654">
        <v>39</v>
      </c>
      <c r="F56" s="655">
        <v>50</v>
      </c>
      <c r="G56" s="656">
        <v>45</v>
      </c>
      <c r="H56" s="657">
        <v>48</v>
      </c>
      <c r="I56" s="657">
        <v>45</v>
      </c>
      <c r="J56" s="666" t="s">
        <v>227</v>
      </c>
      <c r="K56" s="659" t="s">
        <v>227</v>
      </c>
      <c r="L56" s="660" t="s">
        <v>227</v>
      </c>
      <c r="M56" s="660" t="s">
        <v>227</v>
      </c>
      <c r="N56" s="661" t="s">
        <v>227</v>
      </c>
      <c r="O56" s="659" t="s">
        <v>227</v>
      </c>
      <c r="P56" s="660" t="s">
        <v>227</v>
      </c>
      <c r="Q56" s="660" t="s">
        <v>227</v>
      </c>
      <c r="R56" s="661" t="s">
        <v>227</v>
      </c>
      <c r="S56" s="662" t="s">
        <v>227</v>
      </c>
      <c r="T56" s="663" t="s">
        <v>227</v>
      </c>
      <c r="U56" s="663" t="s">
        <v>227</v>
      </c>
      <c r="V56" s="664" t="s">
        <v>227</v>
      </c>
      <c r="W56" s="325"/>
      <c r="X56" s="5"/>
      <c r="AF56">
        <v>6</v>
      </c>
      <c r="AG56">
        <v>6</v>
      </c>
      <c r="AN56" s="229">
        <v>337</v>
      </c>
      <c r="AS56" s="523">
        <f t="shared" si="1"/>
        <v>30.158730158730158</v>
      </c>
      <c r="AT56" s="229">
        <v>490</v>
      </c>
      <c r="AU56" s="523">
        <f t="shared" si="2"/>
        <v>31.746031746031747</v>
      </c>
      <c r="AV56" s="229">
        <v>270</v>
      </c>
      <c r="AW56" s="523">
        <f t="shared" si="3"/>
        <v>30.158730158730158</v>
      </c>
      <c r="AX56" s="229">
        <v>643</v>
      </c>
      <c r="AY56" s="523">
        <f t="shared" si="4"/>
        <v>34.920634920634917</v>
      </c>
    </row>
    <row r="57" spans="2:51" ht="15" customHeight="1">
      <c r="B57" s="31" t="s">
        <v>201</v>
      </c>
      <c r="C57" s="653">
        <v>45</v>
      </c>
      <c r="D57" s="654">
        <v>49</v>
      </c>
      <c r="E57" s="654">
        <v>43</v>
      </c>
      <c r="F57" s="655" t="s">
        <v>227</v>
      </c>
      <c r="G57" s="656" t="s">
        <v>227</v>
      </c>
      <c r="H57" s="657" t="s">
        <v>227</v>
      </c>
      <c r="I57" s="657" t="s">
        <v>227</v>
      </c>
      <c r="J57" s="666" t="s">
        <v>227</v>
      </c>
      <c r="K57" s="659" t="s">
        <v>227</v>
      </c>
      <c r="L57" s="660" t="s">
        <v>227</v>
      </c>
      <c r="M57" s="660" t="s">
        <v>227</v>
      </c>
      <c r="N57" s="661" t="s">
        <v>227</v>
      </c>
      <c r="O57" s="659" t="s">
        <v>227</v>
      </c>
      <c r="P57" s="660" t="s">
        <v>227</v>
      </c>
      <c r="Q57" s="660" t="s">
        <v>227</v>
      </c>
      <c r="R57" s="661" t="s">
        <v>227</v>
      </c>
      <c r="S57" s="662" t="s">
        <v>227</v>
      </c>
      <c r="T57" s="663" t="s">
        <v>227</v>
      </c>
      <c r="U57" s="663" t="s">
        <v>227</v>
      </c>
      <c r="V57" s="664" t="s">
        <v>227</v>
      </c>
      <c r="W57" s="325"/>
      <c r="X57" s="5"/>
      <c r="AF57">
        <v>6.8</v>
      </c>
      <c r="AG57">
        <v>6.8</v>
      </c>
      <c r="AN57" s="229">
        <v>491</v>
      </c>
      <c r="AS57" s="523">
        <f t="shared" si="1"/>
        <v>33.333333333333336</v>
      </c>
      <c r="AT57" s="229">
        <v>545</v>
      </c>
      <c r="AU57" s="523">
        <f t="shared" si="2"/>
        <v>34.920634920634917</v>
      </c>
      <c r="AV57" s="229">
        <v>360</v>
      </c>
      <c r="AW57" s="523">
        <f t="shared" si="3"/>
        <v>33.333333333333336</v>
      </c>
      <c r="AY57" s="523"/>
    </row>
    <row r="58" spans="2:51" ht="15" customHeight="1">
      <c r="B58" s="31">
        <v>8</v>
      </c>
      <c r="C58" s="653">
        <v>47</v>
      </c>
      <c r="D58" s="654" t="s">
        <v>227</v>
      </c>
      <c r="E58" s="654">
        <v>45</v>
      </c>
      <c r="F58" s="655" t="s">
        <v>227</v>
      </c>
      <c r="G58" s="667" t="s">
        <v>227</v>
      </c>
      <c r="H58" s="668" t="s">
        <v>227</v>
      </c>
      <c r="I58" s="668" t="s">
        <v>227</v>
      </c>
      <c r="J58" s="666" t="s">
        <v>227</v>
      </c>
      <c r="K58" s="659" t="s">
        <v>227</v>
      </c>
      <c r="L58" s="660" t="s">
        <v>227</v>
      </c>
      <c r="M58" s="660" t="s">
        <v>227</v>
      </c>
      <c r="N58" s="661" t="s">
        <v>227</v>
      </c>
      <c r="O58" s="659" t="s">
        <v>227</v>
      </c>
      <c r="P58" s="660" t="s">
        <v>227</v>
      </c>
      <c r="Q58" s="660" t="s">
        <v>227</v>
      </c>
      <c r="R58" s="661" t="s">
        <v>227</v>
      </c>
      <c r="S58" s="662" t="s">
        <v>227</v>
      </c>
      <c r="T58" s="663" t="s">
        <v>227</v>
      </c>
      <c r="U58" s="663" t="s">
        <v>227</v>
      </c>
      <c r="V58" s="664" t="s">
        <v>227</v>
      </c>
      <c r="W58" s="325"/>
      <c r="X58" s="5"/>
      <c r="AC58" s="10" t="s">
        <v>274</v>
      </c>
      <c r="AF58">
        <v>7</v>
      </c>
      <c r="AG58">
        <v>7</v>
      </c>
      <c r="AN58" s="229">
        <v>629</v>
      </c>
      <c r="AS58" s="523">
        <f t="shared" si="1"/>
        <v>36.507936507936506</v>
      </c>
      <c r="AT58" s="229">
        <v>740</v>
      </c>
      <c r="AU58" s="523">
        <f t="shared" si="2"/>
        <v>38.095238095238095</v>
      </c>
      <c r="AV58" s="229">
        <v>513</v>
      </c>
      <c r="AW58" s="523">
        <f t="shared" si="3"/>
        <v>36.507936507936506</v>
      </c>
      <c r="AY58" s="523"/>
    </row>
    <row r="59" spans="2:51" ht="15.75" customHeight="1" thickBot="1">
      <c r="B59" s="31" t="s">
        <v>203</v>
      </c>
      <c r="C59" s="653" t="s">
        <v>227</v>
      </c>
      <c r="D59" s="654" t="s">
        <v>227</v>
      </c>
      <c r="E59" s="654" t="s">
        <v>227</v>
      </c>
      <c r="F59" s="655" t="s">
        <v>227</v>
      </c>
      <c r="G59" s="669" t="s">
        <v>227</v>
      </c>
      <c r="H59" s="670" t="s">
        <v>227</v>
      </c>
      <c r="I59" s="670" t="s">
        <v>227</v>
      </c>
      <c r="J59" s="671" t="s">
        <v>227</v>
      </c>
      <c r="K59" s="659" t="s">
        <v>227</v>
      </c>
      <c r="L59" s="660" t="s">
        <v>227</v>
      </c>
      <c r="M59" s="660" t="s">
        <v>227</v>
      </c>
      <c r="N59" s="661" t="s">
        <v>227</v>
      </c>
      <c r="O59" s="659" t="s">
        <v>227</v>
      </c>
      <c r="P59" s="660" t="s">
        <v>227</v>
      </c>
      <c r="Q59" s="660" t="s">
        <v>227</v>
      </c>
      <c r="R59" s="661" t="s">
        <v>227</v>
      </c>
      <c r="S59" s="662" t="s">
        <v>227</v>
      </c>
      <c r="T59" s="663" t="s">
        <v>227</v>
      </c>
      <c r="U59" s="663" t="s">
        <v>227</v>
      </c>
      <c r="V59" s="672" t="s">
        <v>227</v>
      </c>
      <c r="W59" s="325"/>
      <c r="X59" s="5"/>
      <c r="AC59" s="10" t="s">
        <v>275</v>
      </c>
      <c r="AF59">
        <v>7.8</v>
      </c>
      <c r="AG59">
        <v>7.8</v>
      </c>
      <c r="AN59" s="229">
        <v>861</v>
      </c>
      <c r="AS59" s="523">
        <f t="shared" si="1"/>
        <v>39.682539682539684</v>
      </c>
      <c r="AT59" s="229">
        <v>965</v>
      </c>
      <c r="AU59" s="523">
        <f t="shared" si="2"/>
        <v>41.269841269841272</v>
      </c>
      <c r="AV59" s="229">
        <v>660</v>
      </c>
      <c r="AW59" s="523">
        <f t="shared" si="3"/>
        <v>39.682539682539684</v>
      </c>
      <c r="AY59" s="523"/>
    </row>
    <row r="60" spans="2:51" ht="15.75" customHeight="1" thickBot="1">
      <c r="B60" s="32">
        <v>9</v>
      </c>
      <c r="C60" s="653" t="s">
        <v>227</v>
      </c>
      <c r="D60" s="654" t="s">
        <v>227</v>
      </c>
      <c r="E60" s="654" t="s">
        <v>227</v>
      </c>
      <c r="F60" s="655" t="s">
        <v>227</v>
      </c>
      <c r="G60" s="669" t="s">
        <v>227</v>
      </c>
      <c r="H60" s="670" t="s">
        <v>227</v>
      </c>
      <c r="I60" s="670" t="s">
        <v>227</v>
      </c>
      <c r="J60" s="671" t="s">
        <v>227</v>
      </c>
      <c r="K60" s="659" t="s">
        <v>227</v>
      </c>
      <c r="L60" s="660" t="s">
        <v>227</v>
      </c>
      <c r="M60" s="660" t="s">
        <v>227</v>
      </c>
      <c r="N60" s="661" t="s">
        <v>227</v>
      </c>
      <c r="O60" s="659" t="s">
        <v>227</v>
      </c>
      <c r="P60" s="660" t="s">
        <v>227</v>
      </c>
      <c r="Q60" s="660" t="s">
        <v>227</v>
      </c>
      <c r="R60" s="661" t="s">
        <v>227</v>
      </c>
      <c r="S60" s="673" t="s">
        <v>227</v>
      </c>
      <c r="T60" s="674" t="s">
        <v>227</v>
      </c>
      <c r="U60" s="674" t="s">
        <v>227</v>
      </c>
      <c r="V60" s="675" t="s">
        <v>227</v>
      </c>
      <c r="W60" s="325"/>
      <c r="X60" s="5"/>
      <c r="AC60" s="10" t="s">
        <v>276</v>
      </c>
      <c r="AF60">
        <v>8</v>
      </c>
      <c r="AG60">
        <v>8</v>
      </c>
    </row>
    <row r="61" spans="2:51">
      <c r="B61" s="326"/>
      <c r="C61" s="322"/>
      <c r="D61" s="322"/>
      <c r="E61" s="322"/>
      <c r="F61" s="322"/>
      <c r="G61" s="327"/>
      <c r="H61" s="322"/>
      <c r="I61" s="322"/>
      <c r="J61" s="322"/>
      <c r="K61" s="322"/>
      <c r="L61" s="322"/>
      <c r="M61" s="322"/>
      <c r="N61" s="322"/>
      <c r="O61" s="327"/>
      <c r="P61" s="322"/>
      <c r="Q61" s="322"/>
      <c r="R61" s="322"/>
      <c r="S61" s="322"/>
      <c r="T61" s="322"/>
      <c r="U61" s="322"/>
      <c r="V61" s="482"/>
      <c r="W61" s="322"/>
      <c r="X61" s="5"/>
      <c r="AC61" s="10" t="s">
        <v>277</v>
      </c>
      <c r="AF61">
        <v>8.8000000000000007</v>
      </c>
      <c r="AG61">
        <v>8.8000000000000007</v>
      </c>
    </row>
    <row r="62" spans="2:51" ht="13.5" customHeight="1" thickBot="1">
      <c r="B62" s="328"/>
      <c r="C62" s="329"/>
      <c r="D62" s="329"/>
      <c r="E62" s="329"/>
      <c r="F62" s="329"/>
      <c r="G62" s="330"/>
      <c r="H62" s="329"/>
      <c r="I62" s="329"/>
      <c r="J62" s="329"/>
      <c r="K62" s="329"/>
      <c r="L62" s="329"/>
      <c r="M62" s="329"/>
      <c r="N62" s="329"/>
      <c r="O62" s="330"/>
      <c r="P62" s="329"/>
      <c r="Q62" s="329"/>
      <c r="R62" s="329"/>
      <c r="S62" s="329"/>
      <c r="T62" s="329"/>
      <c r="U62" s="329"/>
      <c r="V62" s="329"/>
      <c r="W62" s="329"/>
      <c r="X62" s="331"/>
      <c r="AC62" s="10" t="s">
        <v>278</v>
      </c>
      <c r="AF62">
        <v>9</v>
      </c>
      <c r="AG62">
        <v>9</v>
      </c>
    </row>
    <row r="63" spans="2:51">
      <c r="AC63" s="10" t="s">
        <v>279</v>
      </c>
      <c r="AF63" t="str">
        <f t="shared" ref="AF63:AF79" si="5">_xlfn.CONCAT(AF46,"_")</f>
        <v>1_</v>
      </c>
    </row>
    <row r="64" spans="2:51">
      <c r="AC64" s="10" t="s">
        <v>280</v>
      </c>
      <c r="AF64" t="str">
        <f t="shared" si="5"/>
        <v>1,8_</v>
      </c>
    </row>
    <row r="65" spans="29:32">
      <c r="AC65" s="10" t="s">
        <v>281</v>
      </c>
      <c r="AF65" t="str">
        <f t="shared" si="5"/>
        <v>2_</v>
      </c>
    </row>
    <row r="66" spans="29:32">
      <c r="AF66" t="str">
        <f t="shared" si="5"/>
        <v>2,8_</v>
      </c>
    </row>
    <row r="67" spans="29:32">
      <c r="AF67" t="str">
        <f t="shared" si="5"/>
        <v>3_</v>
      </c>
    </row>
    <row r="68" spans="29:32">
      <c r="AF68" t="str">
        <f t="shared" si="5"/>
        <v>3,8_</v>
      </c>
    </row>
    <row r="69" spans="29:32">
      <c r="AF69" t="str">
        <f t="shared" si="5"/>
        <v>4_</v>
      </c>
    </row>
    <row r="70" spans="29:32">
      <c r="AF70" t="str">
        <f t="shared" si="5"/>
        <v>4,8_</v>
      </c>
    </row>
    <row r="71" spans="29:32">
      <c r="AF71" t="str">
        <f t="shared" si="5"/>
        <v>5_</v>
      </c>
    </row>
    <row r="72" spans="29:32">
      <c r="AF72" t="str">
        <f t="shared" si="5"/>
        <v>5,8_</v>
      </c>
    </row>
    <row r="73" spans="29:32">
      <c r="AF73" t="str">
        <f t="shared" si="5"/>
        <v>6_</v>
      </c>
    </row>
    <row r="74" spans="29:32">
      <c r="AF74" t="str">
        <f t="shared" si="5"/>
        <v>6,8_</v>
      </c>
    </row>
    <row r="75" spans="29:32">
      <c r="AF75" t="str">
        <f t="shared" si="5"/>
        <v>7_</v>
      </c>
    </row>
    <row r="76" spans="29:32">
      <c r="AF76" t="str">
        <f t="shared" si="5"/>
        <v>7,8_</v>
      </c>
    </row>
    <row r="77" spans="29:32">
      <c r="AF77" t="str">
        <f t="shared" si="5"/>
        <v>8_</v>
      </c>
    </row>
    <row r="78" spans="29:32">
      <c r="AF78" t="str">
        <f t="shared" si="5"/>
        <v>8,8_</v>
      </c>
    </row>
    <row r="79" spans="29:32">
      <c r="AF79" t="str">
        <f t="shared" si="5"/>
        <v>9_</v>
      </c>
    </row>
    <row r="92" spans="2:37">
      <c r="B92" s="644"/>
      <c r="C92" s="644"/>
      <c r="D92" s="644"/>
      <c r="E92" s="644"/>
      <c r="F92" s="644"/>
      <c r="G92" s="751"/>
      <c r="H92" s="644"/>
      <c r="I92" s="644"/>
      <c r="J92" s="644"/>
      <c r="K92" s="644"/>
      <c r="L92" s="644"/>
      <c r="M92" s="644"/>
      <c r="N92" s="644"/>
      <c r="O92" s="751"/>
      <c r="P92" s="644"/>
      <c r="Q92" s="644"/>
      <c r="R92" s="644"/>
      <c r="S92" s="644"/>
      <c r="T92" s="644"/>
      <c r="U92" s="644"/>
      <c r="V92" s="644"/>
      <c r="W92" s="644"/>
      <c r="X92" s="644"/>
      <c r="Y92" s="644"/>
      <c r="Z92" s="644"/>
      <c r="AA92" s="644"/>
      <c r="AB92" s="644"/>
      <c r="AC92" s="752"/>
      <c r="AD92" s="644"/>
      <c r="AE92" s="644"/>
      <c r="AF92" s="644"/>
      <c r="AG92" s="644"/>
      <c r="AH92" s="644"/>
      <c r="AI92" s="644"/>
      <c r="AJ92" s="644"/>
      <c r="AK92" s="644"/>
    </row>
    <row r="93" spans="2:37">
      <c r="B93" s="644"/>
      <c r="C93" s="644"/>
      <c r="D93" s="644"/>
      <c r="E93" s="644"/>
      <c r="F93" s="644"/>
      <c r="G93" s="751"/>
      <c r="H93" s="644"/>
      <c r="I93" s="644"/>
      <c r="J93" s="644"/>
      <c r="K93" s="644"/>
      <c r="L93" s="644"/>
      <c r="M93" s="644"/>
      <c r="N93" s="644"/>
      <c r="O93" s="751"/>
      <c r="P93" s="644"/>
      <c r="Q93" s="644"/>
      <c r="R93" s="644"/>
      <c r="S93" s="644"/>
      <c r="T93" s="644"/>
      <c r="U93" s="644"/>
      <c r="V93" s="644"/>
      <c r="W93" s="644"/>
      <c r="X93" s="644"/>
      <c r="Y93" s="644"/>
      <c r="Z93" s="644"/>
      <c r="AA93" s="644"/>
      <c r="AB93" s="644"/>
      <c r="AC93" s="752"/>
      <c r="AD93" s="644"/>
      <c r="AE93" s="644"/>
      <c r="AF93" s="644"/>
      <c r="AG93" s="644"/>
      <c r="AH93" s="644"/>
      <c r="AI93" s="644"/>
      <c r="AJ93" s="644"/>
      <c r="AK93" s="644"/>
    </row>
    <row r="94" spans="2:37">
      <c r="B94" s="644"/>
      <c r="C94" s="644"/>
      <c r="D94" s="644"/>
      <c r="E94" s="644"/>
      <c r="F94" s="644"/>
      <c r="G94" s="751"/>
      <c r="H94" s="644"/>
      <c r="I94" s="644"/>
      <c r="J94" s="644"/>
      <c r="K94" s="644"/>
      <c r="L94" s="644"/>
      <c r="M94" s="644"/>
      <c r="N94" s="644"/>
      <c r="O94" s="751"/>
      <c r="P94" s="644"/>
      <c r="Q94" s="644"/>
      <c r="R94" s="644"/>
      <c r="S94" s="644"/>
      <c r="T94" s="644"/>
      <c r="U94" s="644"/>
      <c r="V94" s="644"/>
      <c r="W94" s="644"/>
      <c r="X94" s="644"/>
      <c r="Y94" s="644"/>
      <c r="Z94" s="644"/>
      <c r="AA94" s="644"/>
      <c r="AB94" s="644"/>
      <c r="AC94" s="752"/>
      <c r="AD94" s="644"/>
      <c r="AE94" s="644"/>
      <c r="AF94" s="644"/>
      <c r="AG94" s="644"/>
      <c r="AH94" s="644"/>
      <c r="AI94" s="644"/>
      <c r="AJ94" s="644"/>
      <c r="AK94" s="644"/>
    </row>
    <row r="95" spans="2:37">
      <c r="B95" s="644"/>
      <c r="C95" s="644"/>
      <c r="D95" s="644"/>
      <c r="E95" s="644"/>
      <c r="F95" s="644"/>
      <c r="G95" s="751"/>
      <c r="H95" s="644"/>
      <c r="I95" s="644"/>
      <c r="J95" s="644"/>
      <c r="K95" s="644"/>
      <c r="L95" s="644"/>
      <c r="M95" s="644"/>
      <c r="N95" s="644"/>
      <c r="O95" s="751"/>
      <c r="P95" s="644"/>
      <c r="Q95" s="644"/>
      <c r="R95" s="644"/>
      <c r="S95" s="644"/>
      <c r="T95" s="644"/>
      <c r="U95" s="644"/>
      <c r="V95" s="644"/>
      <c r="W95" s="644"/>
      <c r="X95" s="644"/>
      <c r="Y95" s="644"/>
      <c r="Z95" s="644"/>
      <c r="AA95" s="644"/>
      <c r="AB95" s="644"/>
      <c r="AC95" s="752"/>
      <c r="AD95" s="644"/>
      <c r="AE95" s="644"/>
      <c r="AF95" s="644"/>
      <c r="AG95" s="644"/>
      <c r="AH95" s="644"/>
      <c r="AI95" s="644"/>
      <c r="AJ95" s="644"/>
      <c r="AK95" s="644"/>
    </row>
    <row r="96" spans="2:37">
      <c r="B96" s="644"/>
      <c r="C96" s="644"/>
      <c r="D96" s="644"/>
      <c r="E96" s="644"/>
      <c r="F96" s="644"/>
      <c r="G96" s="751"/>
      <c r="H96" s="644"/>
      <c r="I96" s="644"/>
      <c r="J96" s="644"/>
      <c r="K96" s="644"/>
      <c r="L96" s="644"/>
      <c r="M96" s="644"/>
      <c r="N96" s="644"/>
      <c r="O96" s="751"/>
      <c r="P96" s="644"/>
      <c r="Q96" s="644"/>
      <c r="R96" s="644"/>
      <c r="S96" s="644"/>
      <c r="T96" s="644"/>
      <c r="U96" s="644"/>
      <c r="V96" s="644"/>
      <c r="W96" s="644"/>
      <c r="X96" s="644"/>
      <c r="Y96" s="644"/>
      <c r="Z96" s="644"/>
      <c r="AA96" s="644"/>
      <c r="AB96" s="644"/>
      <c r="AC96" s="752"/>
      <c r="AD96" s="644"/>
      <c r="AE96" s="644"/>
      <c r="AF96" s="644"/>
      <c r="AG96" s="644"/>
      <c r="AH96" s="644"/>
      <c r="AI96" s="644"/>
      <c r="AJ96" s="644"/>
      <c r="AK96" s="644"/>
    </row>
    <row r="97" spans="2:37">
      <c r="B97" s="644"/>
      <c r="C97" s="644"/>
      <c r="D97" s="644"/>
      <c r="E97" s="644"/>
      <c r="F97" s="644"/>
      <c r="G97" s="751"/>
      <c r="H97" s="644"/>
      <c r="I97" s="644"/>
      <c r="J97" s="644"/>
      <c r="K97" s="644"/>
      <c r="L97" s="644"/>
      <c r="M97" s="644"/>
      <c r="N97" s="644"/>
      <c r="O97" s="751"/>
      <c r="P97" s="644"/>
      <c r="Q97" s="644"/>
      <c r="R97" s="644"/>
      <c r="S97" s="644"/>
      <c r="T97" s="644"/>
      <c r="U97" s="644"/>
      <c r="V97" s="644"/>
      <c r="W97" s="644"/>
      <c r="X97" s="644"/>
      <c r="Y97" s="644"/>
      <c r="Z97" s="644"/>
      <c r="AA97" s="644"/>
      <c r="AB97" s="644"/>
      <c r="AC97" s="752"/>
      <c r="AD97" s="644"/>
      <c r="AE97" s="644"/>
      <c r="AF97" s="644"/>
      <c r="AG97" s="644"/>
      <c r="AH97" s="644"/>
      <c r="AI97" s="644"/>
      <c r="AJ97" s="644"/>
      <c r="AK97" s="644"/>
    </row>
    <row r="98" spans="2:37">
      <c r="B98" s="644"/>
      <c r="C98" s="644"/>
      <c r="D98" s="644"/>
      <c r="E98" s="644"/>
      <c r="F98" s="644"/>
      <c r="G98" s="751"/>
      <c r="H98" s="644"/>
      <c r="I98" s="644"/>
      <c r="J98" s="644"/>
      <c r="K98" s="644"/>
      <c r="L98" s="644"/>
      <c r="M98" s="644"/>
      <c r="N98" s="644"/>
      <c r="O98" s="751"/>
      <c r="P98" s="644"/>
      <c r="Q98" s="644"/>
      <c r="R98" s="644"/>
      <c r="S98" s="644"/>
      <c r="T98" s="644"/>
      <c r="U98" s="644"/>
      <c r="V98" s="644"/>
      <c r="W98" s="644"/>
      <c r="X98" s="644"/>
      <c r="Y98" s="644"/>
      <c r="Z98" s="644"/>
      <c r="AA98" s="644"/>
      <c r="AB98" s="644"/>
      <c r="AC98" s="752"/>
      <c r="AD98" s="644"/>
      <c r="AE98" s="644"/>
      <c r="AF98" s="644"/>
      <c r="AG98" s="644"/>
      <c r="AH98" s="644"/>
      <c r="AI98" s="644"/>
      <c r="AJ98" s="644"/>
      <c r="AK98" s="644"/>
    </row>
    <row r="99" spans="2:37">
      <c r="B99" s="644"/>
      <c r="C99" s="644"/>
      <c r="D99" s="644"/>
      <c r="E99" s="644"/>
      <c r="F99" s="644"/>
      <c r="G99" s="751"/>
      <c r="H99" s="644"/>
      <c r="I99" s="644"/>
      <c r="J99" s="644"/>
      <c r="K99" s="644"/>
      <c r="L99" s="644"/>
      <c r="M99" s="644"/>
      <c r="N99" s="644"/>
      <c r="O99" s="751"/>
      <c r="P99" s="644"/>
      <c r="Q99" s="644"/>
      <c r="R99" s="644"/>
      <c r="S99" s="644"/>
      <c r="T99" s="644"/>
      <c r="U99" s="644"/>
      <c r="V99" s="644"/>
      <c r="W99" s="644"/>
      <c r="X99" s="644"/>
      <c r="Y99" s="644"/>
      <c r="Z99" s="644"/>
      <c r="AA99" s="644"/>
      <c r="AB99" s="644"/>
      <c r="AC99" s="752"/>
      <c r="AD99" s="644"/>
      <c r="AE99" s="644"/>
      <c r="AF99" s="644"/>
      <c r="AG99" s="644"/>
      <c r="AH99" s="644"/>
      <c r="AI99" s="644"/>
      <c r="AJ99" s="644"/>
      <c r="AK99" s="644"/>
    </row>
    <row r="100" spans="2:37">
      <c r="B100" s="644"/>
      <c r="C100" s="644"/>
      <c r="D100" s="644"/>
      <c r="E100" s="644"/>
      <c r="F100" s="644"/>
      <c r="G100" s="751"/>
      <c r="H100" s="644"/>
      <c r="I100" s="644"/>
      <c r="J100" s="644"/>
      <c r="K100" s="644"/>
      <c r="L100" s="644"/>
      <c r="M100" s="644"/>
      <c r="N100" s="644"/>
      <c r="O100" s="751"/>
      <c r="P100" s="644"/>
      <c r="Q100" s="644"/>
      <c r="R100" s="644"/>
      <c r="S100" s="644"/>
      <c r="T100" s="644"/>
      <c r="U100" s="644"/>
      <c r="V100" s="644"/>
      <c r="W100" s="644"/>
      <c r="X100" s="644"/>
      <c r="Y100" s="644"/>
      <c r="Z100" s="644"/>
      <c r="AA100" s="644"/>
      <c r="AB100" s="644"/>
      <c r="AC100" s="752"/>
      <c r="AD100" s="644"/>
      <c r="AE100" s="644"/>
      <c r="AF100" s="644"/>
      <c r="AG100" s="644"/>
      <c r="AH100" s="644"/>
      <c r="AI100" s="644"/>
      <c r="AJ100" s="644"/>
      <c r="AK100" s="644"/>
    </row>
    <row r="101" spans="2:37">
      <c r="B101" s="644"/>
      <c r="C101" s="644"/>
      <c r="D101" s="644"/>
      <c r="E101" s="644"/>
      <c r="F101" s="644"/>
      <c r="G101" s="751"/>
      <c r="H101" s="644"/>
      <c r="I101" s="644"/>
      <c r="J101" s="644"/>
      <c r="K101" s="644"/>
      <c r="L101" s="644"/>
      <c r="M101" s="644"/>
      <c r="N101" s="644"/>
      <c r="O101" s="751"/>
      <c r="P101" s="644"/>
      <c r="Q101" s="644"/>
      <c r="R101" s="644"/>
      <c r="S101" s="644"/>
      <c r="T101" s="644"/>
      <c r="U101" s="644"/>
      <c r="V101" s="644"/>
      <c r="W101" s="644"/>
      <c r="X101" s="644"/>
      <c r="Y101" s="644"/>
      <c r="Z101" s="644"/>
      <c r="AA101" s="644"/>
      <c r="AB101" s="644"/>
      <c r="AC101" s="752"/>
      <c r="AD101" s="644"/>
      <c r="AE101" s="644"/>
      <c r="AF101" s="644"/>
      <c r="AG101" s="644"/>
      <c r="AH101" s="644"/>
      <c r="AI101" s="644"/>
      <c r="AJ101" s="644"/>
      <c r="AK101" s="644"/>
    </row>
    <row r="102" spans="2:37">
      <c r="B102" s="644"/>
      <c r="C102" s="644"/>
      <c r="D102" s="644"/>
      <c r="E102" s="644"/>
      <c r="F102" s="644"/>
      <c r="G102" s="751"/>
      <c r="H102" s="644"/>
      <c r="I102" s="644"/>
      <c r="J102" s="644"/>
      <c r="K102" s="644"/>
      <c r="L102" s="644"/>
      <c r="M102" s="644"/>
      <c r="N102" s="644"/>
      <c r="O102" s="751"/>
      <c r="P102" s="644"/>
      <c r="Q102" s="644"/>
      <c r="R102" s="644"/>
      <c r="S102" s="644"/>
      <c r="T102" s="644"/>
      <c r="U102" s="644"/>
      <c r="V102" s="644"/>
      <c r="W102" s="644"/>
      <c r="X102" s="644"/>
      <c r="Y102" s="644"/>
      <c r="Z102" s="644"/>
      <c r="AA102" s="644"/>
      <c r="AB102" s="644"/>
      <c r="AC102" s="752"/>
      <c r="AD102" s="644"/>
      <c r="AE102" s="644"/>
      <c r="AF102" s="644"/>
      <c r="AG102" s="644"/>
      <c r="AH102" s="644"/>
      <c r="AI102" s="644"/>
      <c r="AJ102" s="644"/>
      <c r="AK102" s="644"/>
    </row>
    <row r="103" spans="2:37">
      <c r="B103" s="644"/>
      <c r="C103" s="644"/>
      <c r="D103" s="644"/>
      <c r="E103" s="644"/>
      <c r="F103" s="644"/>
      <c r="G103" s="751"/>
      <c r="H103" s="644"/>
      <c r="I103" s="644"/>
      <c r="J103" s="644"/>
      <c r="K103" s="644"/>
      <c r="L103" s="644"/>
      <c r="M103" s="644"/>
      <c r="N103" s="644"/>
      <c r="O103" s="751"/>
      <c r="P103" s="644"/>
      <c r="Q103" s="644"/>
      <c r="R103" s="644"/>
      <c r="S103" s="644"/>
      <c r="T103" s="644"/>
      <c r="U103" s="644"/>
      <c r="V103" s="644"/>
      <c r="W103" s="644"/>
      <c r="X103" s="644"/>
      <c r="Y103" s="644"/>
      <c r="Z103" s="644"/>
      <c r="AA103" s="644"/>
      <c r="AB103" s="644"/>
      <c r="AC103" s="752"/>
      <c r="AD103" s="644"/>
      <c r="AE103" s="644"/>
      <c r="AF103" s="644"/>
      <c r="AG103" s="644"/>
      <c r="AH103" s="644"/>
      <c r="AI103" s="644"/>
      <c r="AJ103" s="644"/>
      <c r="AK103" s="644"/>
    </row>
    <row r="104" spans="2:37">
      <c r="B104" s="644"/>
      <c r="C104" s="644"/>
      <c r="D104" s="644"/>
      <c r="E104" s="644"/>
      <c r="F104" s="644"/>
      <c r="G104" s="751"/>
      <c r="H104" s="644"/>
      <c r="I104" s="644"/>
      <c r="J104" s="644"/>
      <c r="K104" s="644"/>
      <c r="L104" s="644"/>
      <c r="M104" s="644"/>
      <c r="N104" s="644"/>
      <c r="O104" s="751"/>
      <c r="P104" s="644"/>
      <c r="Q104" s="644"/>
      <c r="R104" s="644"/>
      <c r="S104" s="644"/>
      <c r="T104" s="644"/>
      <c r="U104" s="644"/>
      <c r="V104" s="644"/>
      <c r="W104" s="644"/>
      <c r="X104" s="644"/>
      <c r="Y104" s="644"/>
      <c r="Z104" s="644"/>
      <c r="AA104" s="644"/>
      <c r="AB104" s="644"/>
      <c r="AC104" s="752"/>
      <c r="AD104" s="644"/>
      <c r="AE104" s="644"/>
      <c r="AF104" s="644"/>
      <c r="AG104" s="644"/>
      <c r="AH104" s="644"/>
      <c r="AI104" s="644"/>
      <c r="AJ104" s="644"/>
      <c r="AK104" s="644"/>
    </row>
    <row r="105" spans="2:37">
      <c r="B105" s="644"/>
      <c r="C105" s="644"/>
      <c r="D105" s="644"/>
      <c r="E105" s="644"/>
      <c r="F105" s="644"/>
      <c r="G105" s="751"/>
      <c r="H105" s="644"/>
      <c r="I105" s="644"/>
      <c r="J105" s="644"/>
      <c r="K105" s="644"/>
      <c r="L105" s="644"/>
      <c r="M105" s="644"/>
      <c r="N105" s="644"/>
      <c r="O105" s="751"/>
      <c r="P105" s="644"/>
      <c r="Q105" s="644"/>
      <c r="R105" s="644"/>
      <c r="S105" s="644"/>
      <c r="T105" s="644"/>
      <c r="U105" s="644"/>
      <c r="V105" s="644"/>
      <c r="W105" s="644"/>
      <c r="X105" s="644"/>
      <c r="Y105" s="644"/>
      <c r="Z105" s="644"/>
      <c r="AA105" s="644"/>
      <c r="AB105" s="644"/>
      <c r="AC105" s="752"/>
      <c r="AD105" s="644"/>
      <c r="AE105" s="644"/>
      <c r="AF105" s="644"/>
      <c r="AG105" s="644"/>
      <c r="AH105" s="644"/>
      <c r="AI105" s="644"/>
      <c r="AJ105" s="644"/>
      <c r="AK105" s="644"/>
    </row>
    <row r="106" spans="2:37">
      <c r="B106" s="644"/>
      <c r="C106" s="644"/>
      <c r="D106" s="644"/>
      <c r="E106" s="644"/>
      <c r="F106" s="644"/>
      <c r="G106" s="751"/>
      <c r="H106" s="644"/>
      <c r="I106" s="644"/>
      <c r="J106" s="644"/>
      <c r="K106" s="644"/>
      <c r="L106" s="644"/>
      <c r="M106" s="644"/>
      <c r="N106" s="644"/>
      <c r="O106" s="751"/>
      <c r="P106" s="644"/>
      <c r="Q106" s="644"/>
      <c r="R106" s="644"/>
      <c r="S106" s="644"/>
      <c r="T106" s="644"/>
      <c r="U106" s="644"/>
      <c r="V106" s="644"/>
      <c r="W106" s="644"/>
      <c r="X106" s="644"/>
      <c r="Y106" s="644"/>
      <c r="Z106" s="644"/>
      <c r="AA106" s="644"/>
      <c r="AB106" s="644"/>
      <c r="AC106" s="752"/>
      <c r="AD106" s="644"/>
      <c r="AE106" s="644"/>
      <c r="AF106" s="644"/>
      <c r="AG106" s="644"/>
      <c r="AH106" s="644"/>
      <c r="AI106" s="644"/>
      <c r="AJ106" s="644"/>
      <c r="AK106" s="644"/>
    </row>
    <row r="107" spans="2:37">
      <c r="B107" s="644"/>
      <c r="C107" s="644"/>
      <c r="D107" s="644"/>
      <c r="E107" s="644"/>
      <c r="F107" s="644"/>
      <c r="G107" s="751"/>
      <c r="H107" s="644"/>
      <c r="I107" s="644"/>
      <c r="J107" s="644"/>
      <c r="K107" s="644"/>
      <c r="L107" s="644"/>
      <c r="M107" s="644"/>
      <c r="N107" s="644"/>
      <c r="O107" s="751"/>
      <c r="P107" s="644"/>
      <c r="Q107" s="644"/>
      <c r="R107" s="644"/>
      <c r="S107" s="644"/>
      <c r="T107" s="644"/>
      <c r="U107" s="644"/>
      <c r="V107" s="644"/>
      <c r="W107" s="644"/>
      <c r="X107" s="644"/>
      <c r="Y107" s="644"/>
      <c r="Z107" s="644"/>
      <c r="AA107" s="644"/>
      <c r="AB107" s="644"/>
      <c r="AC107" s="752"/>
      <c r="AD107" s="644"/>
      <c r="AE107" s="644"/>
      <c r="AF107" s="644"/>
      <c r="AG107" s="644"/>
      <c r="AH107" s="644"/>
      <c r="AI107" s="644"/>
      <c r="AJ107" s="644"/>
      <c r="AK107" s="644"/>
    </row>
    <row r="108" spans="2:37">
      <c r="B108" s="644"/>
      <c r="C108" s="644"/>
      <c r="D108" s="644"/>
      <c r="E108" s="644"/>
      <c r="F108" s="644"/>
      <c r="G108" s="751"/>
      <c r="H108" s="644"/>
      <c r="I108" s="644"/>
      <c r="J108" s="644"/>
      <c r="K108" s="644"/>
      <c r="L108" s="644"/>
      <c r="M108" s="644"/>
      <c r="N108" s="644"/>
      <c r="O108" s="751"/>
      <c r="P108" s="644"/>
      <c r="Q108" s="644"/>
      <c r="R108" s="644"/>
      <c r="S108" s="644"/>
      <c r="T108" s="644"/>
      <c r="U108" s="644"/>
      <c r="V108" s="644"/>
      <c r="W108" s="644"/>
      <c r="X108" s="644"/>
      <c r="Y108" s="644"/>
      <c r="Z108" s="644"/>
      <c r="AA108" s="644"/>
      <c r="AB108" s="644"/>
      <c r="AC108" s="752"/>
      <c r="AD108" s="644"/>
      <c r="AE108" s="644"/>
      <c r="AF108" s="644"/>
      <c r="AG108" s="644"/>
      <c r="AH108" s="644"/>
      <c r="AI108" s="644"/>
      <c r="AJ108" s="644"/>
      <c r="AK108" s="644"/>
    </row>
    <row r="109" spans="2:37">
      <c r="B109" s="644"/>
      <c r="C109" s="644"/>
      <c r="D109" s="644"/>
      <c r="E109" s="644"/>
      <c r="F109" s="644"/>
      <c r="G109" s="751"/>
      <c r="H109" s="644"/>
      <c r="I109" s="644"/>
      <c r="J109" s="644"/>
      <c r="K109" s="644"/>
      <c r="L109" s="644"/>
      <c r="M109" s="644"/>
      <c r="N109" s="644"/>
      <c r="O109" s="751"/>
      <c r="P109" s="644"/>
      <c r="Q109" s="644"/>
      <c r="R109" s="644"/>
      <c r="S109" s="644"/>
      <c r="T109" s="644"/>
      <c r="U109" s="644"/>
      <c r="V109" s="644"/>
      <c r="W109" s="644"/>
      <c r="X109" s="644"/>
      <c r="Y109" s="644"/>
      <c r="Z109" s="644"/>
      <c r="AA109" s="644"/>
      <c r="AB109" s="644"/>
      <c r="AC109" s="752"/>
      <c r="AD109" s="644"/>
      <c r="AE109" s="644"/>
      <c r="AF109" s="644"/>
      <c r="AG109" s="644"/>
      <c r="AH109" s="644"/>
      <c r="AI109" s="644"/>
      <c r="AJ109" s="644"/>
      <c r="AK109" s="644"/>
    </row>
    <row r="110" spans="2:37">
      <c r="B110" s="644"/>
      <c r="C110" s="644"/>
      <c r="D110" s="644"/>
      <c r="E110" s="644"/>
      <c r="F110" s="644"/>
      <c r="G110" s="751"/>
      <c r="H110" s="644"/>
      <c r="I110" s="644"/>
      <c r="J110" s="644"/>
      <c r="K110" s="644"/>
      <c r="L110" s="644"/>
      <c r="M110" s="644"/>
      <c r="N110" s="644"/>
      <c r="O110" s="751"/>
      <c r="P110" s="644"/>
      <c r="Q110" s="644"/>
      <c r="R110" s="644"/>
      <c r="S110" s="644"/>
      <c r="T110" s="644"/>
      <c r="U110" s="644"/>
      <c r="V110" s="644"/>
      <c r="W110" s="644"/>
      <c r="X110" s="644"/>
      <c r="Y110" s="644"/>
      <c r="Z110" s="644"/>
      <c r="AA110" s="644"/>
      <c r="AB110" s="644"/>
      <c r="AC110" s="752"/>
      <c r="AD110" s="644"/>
      <c r="AE110" s="644"/>
      <c r="AF110" s="644"/>
      <c r="AG110" s="644"/>
      <c r="AH110" s="644"/>
      <c r="AI110" s="644"/>
      <c r="AJ110" s="644"/>
      <c r="AK110" s="644"/>
    </row>
    <row r="111" spans="2:37">
      <c r="B111" s="644"/>
      <c r="C111" s="644"/>
      <c r="D111" s="644"/>
      <c r="E111" s="644"/>
      <c r="F111" s="644"/>
      <c r="G111" s="751"/>
      <c r="H111" s="644"/>
      <c r="I111" s="644"/>
      <c r="J111" s="644"/>
      <c r="K111" s="644"/>
      <c r="L111" s="644"/>
      <c r="M111" s="644"/>
      <c r="N111" s="644"/>
      <c r="O111" s="751"/>
      <c r="P111" s="644"/>
      <c r="Q111" s="644"/>
      <c r="R111" s="644"/>
      <c r="S111" s="644"/>
      <c r="T111" s="644"/>
      <c r="U111" s="644"/>
      <c r="V111" s="644"/>
      <c r="W111" s="644"/>
      <c r="X111" s="644"/>
      <c r="Y111" s="644"/>
      <c r="Z111" s="644"/>
      <c r="AA111" s="644"/>
      <c r="AB111" s="644"/>
      <c r="AC111" s="752"/>
      <c r="AD111" s="644"/>
      <c r="AE111" s="644"/>
      <c r="AF111" s="644"/>
      <c r="AG111" s="644"/>
      <c r="AH111" s="644"/>
      <c r="AI111" s="644"/>
      <c r="AJ111" s="644"/>
      <c r="AK111" s="644"/>
    </row>
    <row r="112" spans="2:37">
      <c r="B112" s="644"/>
      <c r="C112" s="644"/>
      <c r="D112" s="644"/>
      <c r="E112" s="644"/>
      <c r="F112" s="644"/>
      <c r="G112" s="751"/>
      <c r="H112" s="644"/>
      <c r="I112" s="644"/>
      <c r="J112" s="644"/>
      <c r="K112" s="644"/>
      <c r="L112" s="644"/>
      <c r="M112" s="644"/>
      <c r="N112" s="644"/>
      <c r="O112" s="751"/>
      <c r="P112" s="644"/>
      <c r="Q112" s="644"/>
      <c r="R112" s="644"/>
      <c r="S112" s="644"/>
      <c r="T112" s="644"/>
      <c r="U112" s="644"/>
      <c r="V112" s="644"/>
      <c r="W112" s="644"/>
      <c r="X112" s="644"/>
      <c r="Y112" s="644"/>
      <c r="Z112" s="644"/>
      <c r="AA112" s="644"/>
      <c r="AB112" s="644"/>
      <c r="AC112" s="752"/>
      <c r="AD112" s="644"/>
      <c r="AE112" s="644"/>
      <c r="AF112" s="644"/>
      <c r="AG112" s="644"/>
      <c r="AH112" s="644"/>
      <c r="AI112" s="644"/>
      <c r="AJ112" s="644"/>
      <c r="AK112" s="644"/>
    </row>
    <row r="113" spans="2:37">
      <c r="B113" s="644"/>
      <c r="C113" s="644"/>
      <c r="D113" s="644"/>
      <c r="E113" s="644"/>
      <c r="F113" s="644"/>
      <c r="G113" s="751"/>
      <c r="H113" s="644"/>
      <c r="I113" s="644"/>
      <c r="J113" s="644"/>
      <c r="K113" s="644"/>
      <c r="L113" s="644"/>
      <c r="M113" s="644"/>
      <c r="N113" s="644"/>
      <c r="O113" s="751"/>
      <c r="P113" s="644"/>
      <c r="Q113" s="644"/>
      <c r="R113" s="644"/>
      <c r="S113" s="644"/>
      <c r="T113" s="644"/>
      <c r="U113" s="644"/>
      <c r="V113" s="644"/>
      <c r="W113" s="644"/>
      <c r="X113" s="644"/>
      <c r="Y113" s="644"/>
      <c r="Z113" s="644"/>
      <c r="AA113" s="644"/>
      <c r="AB113" s="644"/>
      <c r="AC113" s="752"/>
      <c r="AD113" s="644"/>
      <c r="AE113" s="644"/>
      <c r="AF113" s="644"/>
      <c r="AG113" s="644"/>
      <c r="AH113" s="644"/>
      <c r="AI113" s="644"/>
      <c r="AJ113" s="644"/>
      <c r="AK113" s="644"/>
    </row>
    <row r="114" spans="2:37">
      <c r="B114" s="644"/>
      <c r="C114" s="644"/>
      <c r="D114" s="644"/>
      <c r="E114" s="644"/>
      <c r="F114" s="644"/>
      <c r="G114" s="751"/>
      <c r="H114" s="644"/>
      <c r="I114" s="644"/>
      <c r="J114" s="644"/>
      <c r="K114" s="644"/>
      <c r="L114" s="644"/>
      <c r="M114" s="644"/>
      <c r="N114" s="644"/>
      <c r="O114" s="751"/>
      <c r="P114" s="644"/>
      <c r="Q114" s="644"/>
      <c r="R114" s="644"/>
      <c r="S114" s="644"/>
      <c r="T114" s="644"/>
      <c r="U114" s="644"/>
      <c r="V114" s="644"/>
      <c r="W114" s="644"/>
      <c r="X114" s="644"/>
      <c r="Y114" s="644"/>
      <c r="Z114" s="644"/>
      <c r="AA114" s="644"/>
      <c r="AB114" s="644"/>
      <c r="AC114" s="752"/>
      <c r="AD114" s="644"/>
      <c r="AE114" s="644"/>
      <c r="AF114" s="644"/>
      <c r="AG114" s="644"/>
      <c r="AH114" s="644"/>
      <c r="AI114" s="644"/>
      <c r="AJ114" s="644"/>
      <c r="AK114" s="644"/>
    </row>
    <row r="115" spans="2:37">
      <c r="B115" s="644"/>
      <c r="C115" s="644"/>
      <c r="D115" s="644"/>
      <c r="E115" s="644"/>
      <c r="F115" s="644"/>
      <c r="G115" s="751"/>
      <c r="H115" s="644"/>
      <c r="I115" s="644"/>
      <c r="J115" s="644"/>
      <c r="K115" s="644"/>
      <c r="L115" s="644"/>
      <c r="M115" s="644"/>
      <c r="N115" s="644"/>
      <c r="O115" s="751"/>
      <c r="P115" s="644"/>
      <c r="Q115" s="644"/>
      <c r="R115" s="644"/>
      <c r="S115" s="644"/>
      <c r="T115" s="644"/>
      <c r="U115" s="644"/>
      <c r="V115" s="644"/>
      <c r="W115" s="644"/>
      <c r="X115" s="644"/>
      <c r="Y115" s="644"/>
      <c r="Z115" s="644"/>
      <c r="AA115" s="644"/>
      <c r="AB115" s="644"/>
      <c r="AC115" s="752"/>
      <c r="AD115" s="644"/>
      <c r="AE115" s="644"/>
      <c r="AF115" s="644"/>
      <c r="AG115" s="644"/>
      <c r="AH115" s="644"/>
      <c r="AI115" s="644"/>
      <c r="AJ115" s="644"/>
      <c r="AK115" s="644"/>
    </row>
    <row r="116" spans="2:37">
      <c r="B116" s="644"/>
      <c r="C116" s="644"/>
      <c r="D116" s="644"/>
      <c r="E116" s="644"/>
      <c r="F116" s="644"/>
      <c r="G116" s="751"/>
      <c r="H116" s="644"/>
      <c r="I116" s="644"/>
      <c r="J116" s="644"/>
      <c r="K116" s="644"/>
      <c r="L116" s="644"/>
      <c r="M116" s="644"/>
      <c r="N116" s="644"/>
      <c r="O116" s="751"/>
      <c r="P116" s="644"/>
      <c r="Q116" s="644"/>
      <c r="R116" s="644"/>
      <c r="S116" s="644"/>
      <c r="T116" s="644"/>
      <c r="U116" s="644"/>
      <c r="V116" s="644"/>
      <c r="W116" s="644"/>
      <c r="X116" s="644"/>
      <c r="Y116" s="644"/>
      <c r="Z116" s="644"/>
      <c r="AA116" s="644"/>
      <c r="AB116" s="644"/>
      <c r="AC116" s="752"/>
      <c r="AD116" s="644"/>
      <c r="AE116" s="644"/>
      <c r="AF116" s="644"/>
      <c r="AG116" s="644"/>
      <c r="AH116" s="644"/>
      <c r="AI116" s="644"/>
      <c r="AJ116" s="644"/>
      <c r="AK116" s="644"/>
    </row>
    <row r="117" spans="2:37">
      <c r="B117" s="644"/>
      <c r="C117" s="644"/>
      <c r="D117" s="644"/>
      <c r="E117" s="644"/>
      <c r="F117" s="644"/>
      <c r="G117" s="751"/>
      <c r="H117" s="644"/>
      <c r="I117" s="644"/>
      <c r="J117" s="644"/>
      <c r="K117" s="644"/>
      <c r="L117" s="644"/>
      <c r="M117" s="644"/>
      <c r="N117" s="644"/>
      <c r="O117" s="751"/>
      <c r="P117" s="644"/>
      <c r="Q117" s="644"/>
      <c r="R117" s="644"/>
      <c r="S117" s="644"/>
      <c r="T117" s="644"/>
      <c r="U117" s="644"/>
      <c r="V117" s="644"/>
      <c r="W117" s="644"/>
      <c r="X117" s="644"/>
      <c r="Y117" s="644"/>
      <c r="Z117" s="644"/>
      <c r="AA117" s="644"/>
      <c r="AB117" s="644"/>
      <c r="AC117" s="752"/>
      <c r="AD117" s="644"/>
      <c r="AE117" s="644"/>
      <c r="AF117" s="644"/>
      <c r="AG117" s="644"/>
      <c r="AH117" s="644"/>
      <c r="AI117" s="644"/>
      <c r="AJ117" s="644"/>
      <c r="AK117" s="644"/>
    </row>
    <row r="118" spans="2:37">
      <c r="B118" s="644"/>
      <c r="C118" s="644"/>
      <c r="D118" s="644"/>
      <c r="E118" s="644"/>
      <c r="F118" s="644"/>
      <c r="G118" s="751"/>
      <c r="H118" s="644"/>
      <c r="I118" s="644"/>
      <c r="J118" s="644"/>
      <c r="K118" s="644"/>
      <c r="L118" s="644"/>
      <c r="M118" s="644"/>
      <c r="N118" s="644"/>
      <c r="O118" s="751"/>
      <c r="P118" s="644"/>
      <c r="Q118" s="644"/>
      <c r="R118" s="644"/>
      <c r="S118" s="644"/>
      <c r="T118" s="644"/>
      <c r="U118" s="644"/>
      <c r="V118" s="644"/>
      <c r="W118" s="644"/>
      <c r="X118" s="644"/>
      <c r="Y118" s="644"/>
      <c r="Z118" s="644"/>
      <c r="AA118" s="644"/>
      <c r="AB118" s="644"/>
      <c r="AC118" s="752"/>
      <c r="AD118" s="644"/>
      <c r="AE118" s="644"/>
      <c r="AF118" s="644"/>
      <c r="AG118" s="644"/>
      <c r="AH118" s="644"/>
      <c r="AI118" s="644"/>
      <c r="AJ118" s="644"/>
      <c r="AK118" s="644"/>
    </row>
    <row r="119" spans="2:37">
      <c r="B119" s="644"/>
      <c r="C119" s="644"/>
      <c r="D119" s="644"/>
      <c r="E119" s="644"/>
      <c r="F119" s="644"/>
      <c r="G119" s="751"/>
      <c r="H119" s="644"/>
      <c r="I119" s="644"/>
      <c r="J119" s="644"/>
      <c r="K119" s="644"/>
      <c r="L119" s="644"/>
      <c r="M119" s="644"/>
      <c r="N119" s="644"/>
      <c r="O119" s="751"/>
      <c r="P119" s="644"/>
      <c r="Q119" s="644"/>
      <c r="R119" s="644"/>
      <c r="S119" s="644"/>
      <c r="T119" s="644"/>
      <c r="U119" s="644"/>
      <c r="V119" s="644"/>
      <c r="W119" s="644"/>
      <c r="X119" s="644"/>
      <c r="Y119" s="644"/>
      <c r="Z119" s="644"/>
      <c r="AA119" s="644"/>
      <c r="AB119" s="644"/>
      <c r="AC119" s="752"/>
      <c r="AD119" s="644"/>
      <c r="AE119" s="644"/>
      <c r="AF119" s="644"/>
      <c r="AG119" s="644"/>
      <c r="AH119" s="644"/>
      <c r="AI119" s="644"/>
      <c r="AJ119" s="644"/>
      <c r="AK119" s="644"/>
    </row>
    <row r="120" spans="2:37">
      <c r="B120" s="644"/>
      <c r="C120" s="644"/>
      <c r="D120" s="644"/>
      <c r="E120" s="644"/>
      <c r="F120" s="644"/>
      <c r="G120" s="751"/>
      <c r="H120" s="644"/>
      <c r="I120" s="644"/>
      <c r="J120" s="644"/>
      <c r="K120" s="644"/>
      <c r="L120" s="644"/>
      <c r="M120" s="644"/>
      <c r="N120" s="644"/>
      <c r="O120" s="751"/>
      <c r="P120" s="644"/>
      <c r="Q120" s="644"/>
      <c r="R120" s="644"/>
      <c r="S120" s="644"/>
      <c r="T120" s="644"/>
      <c r="U120" s="644"/>
      <c r="V120" s="644"/>
      <c r="W120" s="644"/>
      <c r="X120" s="644"/>
      <c r="Y120" s="644"/>
      <c r="Z120" s="644"/>
      <c r="AA120" s="644"/>
      <c r="AB120" s="644"/>
      <c r="AC120" s="752"/>
      <c r="AD120" s="644"/>
      <c r="AE120" s="644"/>
      <c r="AF120" s="644"/>
      <c r="AG120" s="644"/>
      <c r="AH120" s="644"/>
      <c r="AI120" s="644"/>
      <c r="AJ120" s="644"/>
      <c r="AK120" s="644"/>
    </row>
    <row r="121" spans="2:37">
      <c r="B121" s="644"/>
      <c r="C121" s="644"/>
      <c r="D121" s="644"/>
      <c r="E121" s="644"/>
      <c r="F121" s="644"/>
      <c r="G121" s="751"/>
      <c r="H121" s="644"/>
      <c r="I121" s="644"/>
      <c r="J121" s="644"/>
      <c r="K121" s="644"/>
      <c r="L121" s="644"/>
      <c r="M121" s="644"/>
      <c r="N121" s="644"/>
      <c r="O121" s="751"/>
      <c r="P121" s="644"/>
      <c r="Q121" s="644"/>
      <c r="R121" s="644"/>
      <c r="S121" s="644"/>
      <c r="T121" s="644"/>
      <c r="U121" s="644"/>
      <c r="V121" s="644"/>
      <c r="W121" s="644"/>
      <c r="X121" s="644"/>
      <c r="Y121" s="644"/>
      <c r="Z121" s="644"/>
      <c r="AA121" s="644"/>
      <c r="AB121" s="644"/>
      <c r="AC121" s="752"/>
      <c r="AD121" s="644"/>
      <c r="AE121" s="644"/>
      <c r="AF121" s="644"/>
      <c r="AG121" s="644"/>
      <c r="AH121" s="644"/>
      <c r="AI121" s="644"/>
      <c r="AJ121" s="644"/>
      <c r="AK121" s="644"/>
    </row>
    <row r="122" spans="2:37">
      <c r="B122" s="644"/>
      <c r="C122" s="644"/>
      <c r="D122" s="644"/>
      <c r="E122" s="644"/>
      <c r="F122" s="644"/>
      <c r="G122" s="751"/>
      <c r="H122" s="644"/>
      <c r="I122" s="644"/>
      <c r="J122" s="644"/>
      <c r="K122" s="644"/>
      <c r="L122" s="644"/>
      <c r="M122" s="644"/>
      <c r="N122" s="644"/>
      <c r="O122" s="751"/>
      <c r="P122" s="644"/>
      <c r="Q122" s="644"/>
      <c r="R122" s="644"/>
      <c r="S122" s="644"/>
      <c r="T122" s="644"/>
      <c r="U122" s="644"/>
      <c r="V122" s="644"/>
      <c r="W122" s="644"/>
      <c r="X122" s="644"/>
      <c r="Y122" s="644"/>
      <c r="Z122" s="644"/>
      <c r="AA122" s="644"/>
      <c r="AB122" s="644"/>
      <c r="AC122" s="752"/>
      <c r="AD122" s="644"/>
      <c r="AE122" s="644"/>
      <c r="AF122" s="644"/>
      <c r="AG122" s="644"/>
      <c r="AH122" s="644"/>
      <c r="AI122" s="644"/>
      <c r="AJ122" s="644"/>
      <c r="AK122" s="644"/>
    </row>
    <row r="123" spans="2:37">
      <c r="B123" s="644"/>
      <c r="C123" s="644"/>
      <c r="D123" s="644"/>
      <c r="E123" s="644"/>
      <c r="F123" s="644"/>
      <c r="G123" s="751"/>
      <c r="H123" s="644"/>
      <c r="I123" s="644"/>
      <c r="J123" s="644"/>
      <c r="K123" s="644"/>
      <c r="L123" s="644"/>
      <c r="M123" s="644"/>
      <c r="N123" s="644"/>
      <c r="O123" s="751"/>
      <c r="P123" s="644"/>
      <c r="Q123" s="644"/>
      <c r="R123" s="644"/>
      <c r="S123" s="644"/>
      <c r="T123" s="644"/>
      <c r="U123" s="644"/>
      <c r="V123" s="644"/>
      <c r="W123" s="644"/>
      <c r="X123" s="644"/>
      <c r="Y123" s="644"/>
      <c r="Z123" s="644"/>
      <c r="AA123" s="644"/>
      <c r="AB123" s="644"/>
      <c r="AC123" s="752"/>
      <c r="AD123" s="644"/>
      <c r="AE123" s="644"/>
      <c r="AF123" s="644"/>
      <c r="AG123" s="644"/>
      <c r="AH123" s="644"/>
      <c r="AI123" s="644"/>
      <c r="AJ123" s="644"/>
      <c r="AK123" s="644"/>
    </row>
    <row r="124" spans="2:37">
      <c r="B124" s="644"/>
      <c r="C124" s="644"/>
      <c r="D124" s="644"/>
      <c r="E124" s="644"/>
      <c r="F124" s="644"/>
      <c r="G124" s="751"/>
      <c r="H124" s="644"/>
      <c r="I124" s="644"/>
      <c r="J124" s="644"/>
      <c r="K124" s="644"/>
      <c r="L124" s="644"/>
      <c r="M124" s="644"/>
      <c r="N124" s="644"/>
      <c r="O124" s="751"/>
      <c r="P124" s="644"/>
      <c r="Q124" s="644"/>
      <c r="R124" s="644"/>
      <c r="S124" s="644"/>
      <c r="T124" s="644"/>
      <c r="U124" s="644"/>
      <c r="V124" s="644"/>
      <c r="W124" s="644"/>
      <c r="X124" s="644"/>
      <c r="Y124" s="644"/>
      <c r="Z124" s="644"/>
      <c r="AA124" s="644"/>
      <c r="AB124" s="644"/>
      <c r="AC124" s="752"/>
      <c r="AD124" s="644"/>
      <c r="AE124" s="644"/>
      <c r="AF124" s="644"/>
      <c r="AG124" s="644"/>
      <c r="AH124" s="644"/>
      <c r="AI124" s="644"/>
      <c r="AJ124" s="644"/>
      <c r="AK124" s="644"/>
    </row>
    <row r="125" spans="2:37">
      <c r="B125" s="644"/>
      <c r="C125" s="644"/>
      <c r="D125" s="644"/>
      <c r="E125" s="644"/>
      <c r="F125" s="644"/>
      <c r="G125" s="751"/>
      <c r="H125" s="644"/>
      <c r="I125" s="644"/>
      <c r="J125" s="644"/>
      <c r="K125" s="644"/>
      <c r="L125" s="644"/>
      <c r="M125" s="644"/>
      <c r="N125" s="644"/>
      <c r="O125" s="751"/>
      <c r="P125" s="644"/>
      <c r="Q125" s="644"/>
      <c r="R125" s="644"/>
      <c r="S125" s="644"/>
      <c r="T125" s="644"/>
      <c r="U125" s="644"/>
      <c r="V125" s="644"/>
      <c r="W125" s="644"/>
      <c r="X125" s="644"/>
      <c r="Y125" s="644"/>
      <c r="Z125" s="644"/>
      <c r="AA125" s="644"/>
      <c r="AB125" s="644"/>
      <c r="AC125" s="752"/>
      <c r="AD125" s="644"/>
      <c r="AE125" s="644"/>
      <c r="AF125" s="644"/>
      <c r="AG125" s="644"/>
      <c r="AH125" s="644"/>
      <c r="AI125" s="644"/>
      <c r="AJ125" s="644"/>
      <c r="AK125" s="644"/>
    </row>
    <row r="126" spans="2:37">
      <c r="B126" s="644"/>
      <c r="C126" s="644"/>
      <c r="D126" s="644"/>
      <c r="E126" s="644"/>
      <c r="F126" s="644"/>
      <c r="G126" s="751"/>
      <c r="H126" s="644"/>
      <c r="I126" s="644"/>
      <c r="J126" s="644"/>
      <c r="K126" s="644"/>
      <c r="L126" s="644"/>
      <c r="M126" s="644"/>
      <c r="N126" s="644"/>
      <c r="O126" s="751"/>
      <c r="P126" s="644"/>
      <c r="Q126" s="644"/>
      <c r="R126" s="644"/>
      <c r="S126" s="644"/>
      <c r="T126" s="644"/>
      <c r="U126" s="644"/>
      <c r="V126" s="644"/>
      <c r="W126" s="644"/>
      <c r="X126" s="644"/>
      <c r="Y126" s="644"/>
      <c r="Z126" s="644"/>
      <c r="AA126" s="644"/>
      <c r="AB126" s="644"/>
      <c r="AC126" s="752"/>
      <c r="AD126" s="644"/>
      <c r="AE126" s="644"/>
      <c r="AF126" s="644"/>
      <c r="AG126" s="644"/>
      <c r="AH126" s="644"/>
      <c r="AI126" s="644"/>
      <c r="AJ126" s="644"/>
      <c r="AK126" s="644"/>
    </row>
    <row r="127" spans="2:37">
      <c r="B127" s="644"/>
      <c r="C127" s="644"/>
      <c r="D127" s="644"/>
      <c r="E127" s="644"/>
      <c r="F127" s="644"/>
      <c r="G127" s="751"/>
      <c r="H127" s="644"/>
      <c r="I127" s="644"/>
      <c r="J127" s="644"/>
      <c r="K127" s="644"/>
      <c r="L127" s="644"/>
      <c r="M127" s="644"/>
      <c r="N127" s="644"/>
      <c r="O127" s="751"/>
      <c r="P127" s="644"/>
      <c r="Q127" s="644"/>
      <c r="R127" s="644"/>
      <c r="S127" s="644"/>
      <c r="T127" s="644"/>
      <c r="U127" s="644"/>
      <c r="V127" s="644"/>
      <c r="W127" s="644"/>
      <c r="X127" s="644"/>
      <c r="Y127" s="644"/>
      <c r="Z127" s="644"/>
      <c r="AA127" s="644"/>
      <c r="AB127" s="644"/>
      <c r="AC127" s="752"/>
      <c r="AD127" s="644"/>
      <c r="AE127" s="644"/>
      <c r="AF127" s="644"/>
      <c r="AG127" s="644"/>
      <c r="AH127" s="644"/>
      <c r="AI127" s="644"/>
      <c r="AJ127" s="644"/>
      <c r="AK127" s="644"/>
    </row>
    <row r="128" spans="2:37">
      <c r="B128" s="644"/>
      <c r="C128" s="644"/>
      <c r="D128" s="644"/>
      <c r="E128" s="644"/>
      <c r="F128" s="644"/>
      <c r="G128" s="751"/>
      <c r="H128" s="644"/>
      <c r="I128" s="644"/>
      <c r="J128" s="644"/>
      <c r="K128" s="644"/>
      <c r="L128" s="644"/>
      <c r="M128" s="644"/>
      <c r="N128" s="644"/>
      <c r="O128" s="751"/>
      <c r="P128" s="644"/>
      <c r="Q128" s="644"/>
      <c r="R128" s="644"/>
      <c r="S128" s="644"/>
      <c r="T128" s="644"/>
      <c r="U128" s="644"/>
      <c r="V128" s="644"/>
      <c r="W128" s="644"/>
      <c r="X128" s="644"/>
      <c r="Y128" s="644"/>
      <c r="Z128" s="644"/>
      <c r="AA128" s="644"/>
      <c r="AB128" s="644"/>
      <c r="AC128" s="752"/>
      <c r="AD128" s="644"/>
      <c r="AE128" s="644"/>
      <c r="AF128" s="644"/>
      <c r="AG128" s="644"/>
      <c r="AH128" s="644"/>
      <c r="AI128" s="644"/>
      <c r="AJ128" s="644"/>
      <c r="AK128" s="644"/>
    </row>
    <row r="129" spans="2:37">
      <c r="B129" s="644"/>
      <c r="C129" s="644"/>
      <c r="D129" s="644"/>
      <c r="E129" s="644"/>
      <c r="F129" s="644"/>
      <c r="G129" s="751"/>
      <c r="H129" s="644"/>
      <c r="I129" s="644"/>
      <c r="J129" s="644"/>
      <c r="K129" s="644"/>
      <c r="L129" s="644"/>
      <c r="M129" s="644"/>
      <c r="N129" s="644"/>
      <c r="O129" s="751"/>
      <c r="P129" s="644"/>
      <c r="Q129" s="644"/>
      <c r="R129" s="644"/>
      <c r="S129" s="644"/>
      <c r="T129" s="644"/>
      <c r="U129" s="644"/>
      <c r="V129" s="644"/>
      <c r="W129" s="644"/>
      <c r="X129" s="644"/>
      <c r="Y129" s="644"/>
      <c r="Z129" s="644"/>
      <c r="AA129" s="644"/>
      <c r="AB129" s="644"/>
      <c r="AC129" s="752"/>
      <c r="AD129" s="644"/>
      <c r="AE129" s="644"/>
      <c r="AF129" s="644"/>
      <c r="AG129" s="644"/>
      <c r="AH129" s="644"/>
      <c r="AI129" s="644"/>
      <c r="AJ129" s="644"/>
      <c r="AK129" s="644"/>
    </row>
    <row r="130" spans="2:37">
      <c r="B130" s="644"/>
      <c r="C130" s="644"/>
      <c r="D130" s="644"/>
      <c r="E130" s="644"/>
      <c r="F130" s="644"/>
      <c r="G130" s="751"/>
      <c r="H130" s="644"/>
      <c r="I130" s="644"/>
      <c r="J130" s="644"/>
      <c r="K130" s="644"/>
      <c r="L130" s="644"/>
      <c r="M130" s="644"/>
      <c r="N130" s="644"/>
      <c r="O130" s="751"/>
      <c r="P130" s="644"/>
      <c r="Q130" s="644"/>
      <c r="R130" s="644"/>
      <c r="S130" s="644"/>
      <c r="T130" s="644"/>
      <c r="U130" s="644"/>
      <c r="V130" s="644"/>
      <c r="W130" s="644"/>
      <c r="X130" s="644"/>
      <c r="Y130" s="644"/>
      <c r="Z130" s="644"/>
      <c r="AA130" s="644"/>
      <c r="AB130" s="644"/>
      <c r="AC130" s="752"/>
      <c r="AD130" s="644"/>
      <c r="AE130" s="644"/>
      <c r="AF130" s="644"/>
      <c r="AG130" s="644"/>
      <c r="AH130" s="644"/>
      <c r="AI130" s="644"/>
      <c r="AJ130" s="644"/>
      <c r="AK130" s="644"/>
    </row>
    <row r="131" spans="2:37">
      <c r="B131" s="644"/>
      <c r="C131" s="644"/>
      <c r="D131" s="644"/>
      <c r="E131" s="644"/>
      <c r="F131" s="644"/>
      <c r="G131" s="751"/>
      <c r="H131" s="644"/>
      <c r="I131" s="644"/>
      <c r="J131" s="644"/>
      <c r="K131" s="644"/>
      <c r="L131" s="644"/>
      <c r="M131" s="644"/>
      <c r="N131" s="644"/>
      <c r="O131" s="751"/>
      <c r="P131" s="644"/>
      <c r="Q131" s="644"/>
      <c r="R131" s="644"/>
      <c r="S131" s="644"/>
      <c r="T131" s="644"/>
      <c r="U131" s="644"/>
      <c r="V131" s="644"/>
      <c r="W131" s="644"/>
      <c r="X131" s="644"/>
      <c r="Y131" s="644"/>
      <c r="Z131" s="644"/>
      <c r="AA131" s="644"/>
      <c r="AB131" s="644"/>
      <c r="AC131" s="752"/>
      <c r="AD131" s="644"/>
      <c r="AE131" s="644"/>
      <c r="AF131" s="644"/>
      <c r="AG131" s="644"/>
      <c r="AH131" s="644"/>
      <c r="AI131" s="644"/>
      <c r="AJ131" s="644"/>
      <c r="AK131" s="644"/>
    </row>
    <row r="132" spans="2:37">
      <c r="B132" s="644"/>
      <c r="C132" s="644"/>
      <c r="D132" s="644"/>
      <c r="E132" s="644"/>
      <c r="F132" s="644"/>
      <c r="G132" s="751"/>
      <c r="H132" s="644"/>
      <c r="I132" s="644"/>
      <c r="J132" s="644"/>
      <c r="K132" s="644"/>
      <c r="L132" s="644"/>
      <c r="M132" s="644"/>
      <c r="N132" s="644"/>
      <c r="O132" s="751"/>
      <c r="P132" s="644"/>
      <c r="Q132" s="644"/>
      <c r="R132" s="644"/>
      <c r="S132" s="644"/>
      <c r="T132" s="644"/>
      <c r="U132" s="644"/>
      <c r="V132" s="644"/>
      <c r="W132" s="644"/>
      <c r="X132" s="644"/>
      <c r="Y132" s="644"/>
      <c r="Z132" s="644"/>
      <c r="AA132" s="644"/>
      <c r="AB132" s="644"/>
      <c r="AC132" s="752"/>
      <c r="AD132" s="644"/>
      <c r="AE132" s="644"/>
      <c r="AF132" s="644"/>
      <c r="AG132" s="644"/>
      <c r="AH132" s="644"/>
      <c r="AI132" s="644"/>
      <c r="AJ132" s="644"/>
      <c r="AK132" s="644"/>
    </row>
    <row r="133" spans="2:37">
      <c r="B133" s="644"/>
      <c r="C133" s="644"/>
      <c r="D133" s="644"/>
      <c r="E133" s="644"/>
      <c r="F133" s="644"/>
      <c r="G133" s="751"/>
      <c r="H133" s="644"/>
      <c r="I133" s="644"/>
      <c r="J133" s="644"/>
      <c r="K133" s="644"/>
      <c r="L133" s="644"/>
      <c r="M133" s="644"/>
      <c r="N133" s="644"/>
      <c r="O133" s="751"/>
      <c r="P133" s="644"/>
      <c r="Q133" s="644"/>
      <c r="R133" s="644"/>
      <c r="S133" s="644"/>
      <c r="T133" s="644"/>
      <c r="U133" s="644"/>
      <c r="V133" s="644"/>
      <c r="W133" s="644"/>
      <c r="X133" s="644"/>
      <c r="Y133" s="644"/>
      <c r="Z133" s="644"/>
      <c r="AA133" s="644"/>
      <c r="AB133" s="644"/>
      <c r="AC133" s="752"/>
      <c r="AD133" s="644"/>
      <c r="AE133" s="644"/>
      <c r="AF133" s="644"/>
      <c r="AG133" s="644"/>
      <c r="AH133" s="644"/>
      <c r="AI133" s="644"/>
      <c r="AJ133" s="644"/>
      <c r="AK133" s="644"/>
    </row>
    <row r="134" spans="2:37">
      <c r="B134" s="644"/>
      <c r="C134" s="644"/>
      <c r="D134" s="644"/>
      <c r="E134" s="644"/>
      <c r="F134" s="644"/>
      <c r="G134" s="751"/>
      <c r="H134" s="644"/>
      <c r="I134" s="644"/>
      <c r="J134" s="644"/>
      <c r="K134" s="644"/>
      <c r="L134" s="644"/>
      <c r="M134" s="644"/>
      <c r="N134" s="644"/>
      <c r="O134" s="751"/>
      <c r="P134" s="644"/>
      <c r="Q134" s="644"/>
      <c r="R134" s="644"/>
      <c r="S134" s="644"/>
      <c r="T134" s="644"/>
      <c r="U134" s="644"/>
      <c r="V134" s="644"/>
      <c r="W134" s="644"/>
      <c r="X134" s="644"/>
      <c r="Y134" s="644"/>
      <c r="Z134" s="644"/>
      <c r="AA134" s="644"/>
      <c r="AB134" s="644"/>
      <c r="AC134" s="752"/>
      <c r="AD134" s="644"/>
      <c r="AE134" s="644"/>
      <c r="AF134" s="644"/>
      <c r="AG134" s="644"/>
      <c r="AH134" s="644"/>
      <c r="AI134" s="644"/>
      <c r="AJ134" s="644"/>
      <c r="AK134" s="644"/>
    </row>
    <row r="135" spans="2:37">
      <c r="B135" s="644"/>
      <c r="C135" s="644"/>
      <c r="D135" s="644"/>
      <c r="E135" s="644"/>
      <c r="F135" s="644"/>
      <c r="G135" s="751"/>
      <c r="H135" s="644"/>
      <c r="I135" s="644"/>
      <c r="J135" s="644"/>
      <c r="K135" s="644"/>
      <c r="L135" s="644"/>
      <c r="M135" s="644"/>
      <c r="N135" s="644"/>
      <c r="O135" s="751"/>
      <c r="P135" s="644"/>
      <c r="Q135" s="644"/>
      <c r="R135" s="644"/>
      <c r="S135" s="644"/>
      <c r="T135" s="644"/>
      <c r="U135" s="644"/>
      <c r="V135" s="644"/>
      <c r="W135" s="644"/>
      <c r="X135" s="644"/>
      <c r="Y135" s="644"/>
      <c r="Z135" s="644"/>
      <c r="AA135" s="644"/>
      <c r="AB135" s="644"/>
      <c r="AC135" s="752"/>
      <c r="AD135" s="644"/>
      <c r="AE135" s="644"/>
      <c r="AF135" s="644"/>
      <c r="AG135" s="644"/>
      <c r="AH135" s="644"/>
      <c r="AI135" s="644"/>
      <c r="AJ135" s="644"/>
      <c r="AK135" s="644"/>
    </row>
    <row r="136" spans="2:37">
      <c r="B136" s="644"/>
      <c r="C136" s="644"/>
      <c r="D136" s="644"/>
      <c r="E136" s="644"/>
      <c r="F136" s="644"/>
      <c r="G136" s="751"/>
      <c r="H136" s="644"/>
      <c r="I136" s="644"/>
      <c r="J136" s="644"/>
      <c r="K136" s="644"/>
      <c r="L136" s="644"/>
      <c r="M136" s="644"/>
      <c r="N136" s="644"/>
      <c r="O136" s="751"/>
      <c r="P136" s="644"/>
      <c r="Q136" s="644"/>
      <c r="R136" s="644"/>
      <c r="S136" s="644"/>
      <c r="T136" s="644"/>
      <c r="U136" s="644"/>
      <c r="V136" s="644"/>
      <c r="W136" s="644"/>
      <c r="X136" s="644"/>
      <c r="Y136" s="644"/>
      <c r="Z136" s="644"/>
      <c r="AA136" s="644"/>
      <c r="AB136" s="644"/>
      <c r="AC136" s="752"/>
      <c r="AD136" s="644"/>
      <c r="AE136" s="644"/>
      <c r="AF136" s="644"/>
      <c r="AG136" s="644"/>
      <c r="AH136" s="644"/>
      <c r="AI136" s="644"/>
      <c r="AJ136" s="644"/>
      <c r="AK136" s="644"/>
    </row>
    <row r="137" spans="2:37">
      <c r="B137" s="644"/>
      <c r="C137" s="644"/>
      <c r="D137" s="644"/>
      <c r="E137" s="644"/>
      <c r="F137" s="644"/>
      <c r="G137" s="751"/>
      <c r="H137" s="644"/>
      <c r="I137" s="644"/>
      <c r="J137" s="644"/>
      <c r="K137" s="644"/>
      <c r="L137" s="644"/>
      <c r="M137" s="644"/>
      <c r="N137" s="644"/>
      <c r="O137" s="751"/>
      <c r="P137" s="644"/>
      <c r="Q137" s="644"/>
      <c r="R137" s="644"/>
      <c r="S137" s="644"/>
      <c r="T137" s="644"/>
      <c r="U137" s="644"/>
      <c r="V137" s="644"/>
      <c r="W137" s="644"/>
      <c r="X137" s="644"/>
      <c r="Y137" s="644"/>
      <c r="Z137" s="644"/>
      <c r="AA137" s="644"/>
      <c r="AB137" s="644"/>
      <c r="AC137" s="752"/>
      <c r="AD137" s="644"/>
      <c r="AE137" s="644"/>
      <c r="AF137" s="644"/>
      <c r="AG137" s="644"/>
      <c r="AH137" s="644"/>
      <c r="AI137" s="644"/>
      <c r="AJ137" s="644"/>
      <c r="AK137" s="644"/>
    </row>
    <row r="138" spans="2:37">
      <c r="B138" s="644"/>
      <c r="C138" s="644"/>
      <c r="D138" s="644"/>
      <c r="E138" s="644"/>
      <c r="F138" s="644"/>
      <c r="G138" s="751"/>
      <c r="H138" s="644"/>
      <c r="I138" s="644"/>
      <c r="J138" s="644"/>
      <c r="K138" s="644"/>
      <c r="L138" s="644"/>
      <c r="M138" s="644"/>
      <c r="N138" s="644"/>
      <c r="O138" s="751"/>
      <c r="P138" s="644"/>
      <c r="Q138" s="644"/>
      <c r="R138" s="644"/>
      <c r="S138" s="644"/>
      <c r="T138" s="644"/>
      <c r="U138" s="644"/>
      <c r="V138" s="644"/>
      <c r="W138" s="644"/>
      <c r="X138" s="644"/>
      <c r="Y138" s="644"/>
      <c r="Z138" s="644"/>
      <c r="AA138" s="644"/>
      <c r="AB138" s="644"/>
      <c r="AC138" s="752"/>
      <c r="AD138" s="644"/>
      <c r="AE138" s="644"/>
      <c r="AF138" s="644"/>
      <c r="AG138" s="644"/>
      <c r="AH138" s="644"/>
      <c r="AI138" s="644"/>
      <c r="AJ138" s="644"/>
      <c r="AK138" s="644"/>
    </row>
    <row r="139" spans="2:37">
      <c r="B139" s="644"/>
      <c r="C139" s="644"/>
      <c r="D139" s="644"/>
      <c r="E139" s="644"/>
      <c r="F139" s="644"/>
      <c r="G139" s="751"/>
      <c r="H139" s="644"/>
      <c r="I139" s="644"/>
      <c r="J139" s="644"/>
      <c r="K139" s="644"/>
      <c r="L139" s="644"/>
      <c r="M139" s="644"/>
      <c r="N139" s="644"/>
      <c r="O139" s="751"/>
      <c r="P139" s="644"/>
      <c r="Q139" s="644"/>
      <c r="R139" s="644"/>
      <c r="S139" s="644"/>
      <c r="T139" s="644"/>
      <c r="U139" s="644"/>
      <c r="V139" s="644"/>
      <c r="W139" s="644"/>
      <c r="X139" s="644"/>
      <c r="Y139" s="644"/>
      <c r="Z139" s="644"/>
      <c r="AA139" s="644"/>
      <c r="AB139" s="644"/>
      <c r="AC139" s="752"/>
      <c r="AD139" s="644"/>
      <c r="AE139" s="644"/>
      <c r="AF139" s="644"/>
      <c r="AG139" s="644"/>
      <c r="AH139" s="644"/>
      <c r="AI139" s="644"/>
      <c r="AJ139" s="644"/>
      <c r="AK139" s="644"/>
    </row>
    <row r="140" spans="2:37">
      <c r="B140" s="644"/>
      <c r="C140" s="644"/>
      <c r="D140" s="644"/>
      <c r="E140" s="644"/>
      <c r="F140" s="644"/>
      <c r="G140" s="751"/>
      <c r="H140" s="644"/>
      <c r="I140" s="644"/>
      <c r="J140" s="644"/>
      <c r="K140" s="644"/>
      <c r="L140" s="644"/>
      <c r="M140" s="644"/>
      <c r="N140" s="644"/>
      <c r="O140" s="751"/>
      <c r="P140" s="644"/>
      <c r="Q140" s="644"/>
      <c r="R140" s="644"/>
      <c r="S140" s="644"/>
      <c r="T140" s="644"/>
      <c r="U140" s="644"/>
      <c r="V140" s="644"/>
      <c r="W140" s="644"/>
      <c r="X140" s="644"/>
      <c r="Y140" s="644"/>
      <c r="Z140" s="644"/>
      <c r="AA140" s="644"/>
      <c r="AB140" s="644"/>
      <c r="AC140" s="752"/>
      <c r="AD140" s="644"/>
      <c r="AE140" s="644"/>
      <c r="AF140" s="644"/>
      <c r="AG140" s="644"/>
      <c r="AH140" s="644"/>
      <c r="AI140" s="644"/>
      <c r="AJ140" s="644"/>
      <c r="AK140" s="644"/>
    </row>
    <row r="141" spans="2:37">
      <c r="B141" s="644"/>
      <c r="C141" s="644"/>
      <c r="D141" s="644"/>
      <c r="E141" s="644"/>
      <c r="F141" s="644"/>
      <c r="G141" s="751"/>
      <c r="H141" s="644"/>
      <c r="I141" s="644"/>
      <c r="J141" s="644"/>
      <c r="K141" s="644"/>
      <c r="L141" s="644"/>
      <c r="M141" s="644"/>
      <c r="N141" s="644"/>
      <c r="O141" s="751"/>
      <c r="P141" s="644"/>
      <c r="Q141" s="644"/>
      <c r="R141" s="644"/>
      <c r="S141" s="644"/>
      <c r="T141" s="644"/>
      <c r="U141" s="644"/>
      <c r="V141" s="644"/>
      <c r="W141" s="644"/>
      <c r="X141" s="644"/>
      <c r="Y141" s="644"/>
      <c r="Z141" s="644"/>
      <c r="AA141" s="644"/>
      <c r="AB141" s="644"/>
      <c r="AC141" s="752"/>
      <c r="AD141" s="644"/>
      <c r="AE141" s="644"/>
      <c r="AF141" s="644"/>
      <c r="AG141" s="644"/>
      <c r="AH141" s="644"/>
      <c r="AI141" s="644"/>
      <c r="AJ141" s="644"/>
      <c r="AK141" s="644"/>
    </row>
    <row r="142" spans="2:37">
      <c r="B142" s="644"/>
      <c r="C142" s="644"/>
      <c r="D142" s="644"/>
      <c r="E142" s="644"/>
      <c r="F142" s="644"/>
      <c r="G142" s="751"/>
      <c r="H142" s="644"/>
      <c r="I142" s="644"/>
      <c r="J142" s="644"/>
      <c r="K142" s="644"/>
      <c r="L142" s="644"/>
      <c r="M142" s="644"/>
      <c r="N142" s="644"/>
      <c r="O142" s="751"/>
      <c r="P142" s="644"/>
      <c r="Q142" s="644"/>
      <c r="R142" s="644"/>
      <c r="S142" s="644"/>
      <c r="T142" s="644"/>
      <c r="U142" s="644"/>
      <c r="V142" s="644"/>
      <c r="W142" s="644"/>
      <c r="X142" s="644"/>
      <c r="Y142" s="644"/>
      <c r="Z142" s="644"/>
      <c r="AA142" s="644"/>
      <c r="AB142" s="644"/>
      <c r="AC142" s="752"/>
      <c r="AD142" s="644"/>
      <c r="AE142" s="644"/>
      <c r="AF142" s="644"/>
      <c r="AG142" s="644"/>
      <c r="AH142" s="644"/>
      <c r="AI142" s="644"/>
      <c r="AJ142" s="644"/>
      <c r="AK142" s="644"/>
    </row>
    <row r="143" spans="2:37">
      <c r="B143" s="644"/>
      <c r="C143" s="644"/>
      <c r="D143" s="644"/>
      <c r="E143" s="644"/>
      <c r="F143" s="644"/>
      <c r="G143" s="751"/>
      <c r="H143" s="644"/>
      <c r="I143" s="644"/>
      <c r="J143" s="644"/>
      <c r="K143" s="644"/>
      <c r="L143" s="644"/>
      <c r="M143" s="644"/>
      <c r="N143" s="644"/>
      <c r="O143" s="751"/>
      <c r="P143" s="644"/>
      <c r="Q143" s="644"/>
      <c r="R143" s="644"/>
      <c r="S143" s="644"/>
      <c r="T143" s="644"/>
      <c r="U143" s="644"/>
      <c r="V143" s="644"/>
      <c r="W143" s="644"/>
      <c r="X143" s="644"/>
      <c r="Y143" s="644"/>
      <c r="Z143" s="644"/>
      <c r="AA143" s="644"/>
      <c r="AB143" s="644"/>
      <c r="AC143" s="752"/>
      <c r="AD143" s="644"/>
      <c r="AE143" s="644"/>
      <c r="AF143" s="644"/>
      <c r="AG143" s="644"/>
      <c r="AH143" s="644"/>
      <c r="AI143" s="644"/>
      <c r="AJ143" s="644"/>
      <c r="AK143" s="644"/>
    </row>
    <row r="144" spans="2:37">
      <c r="B144" s="644"/>
      <c r="C144" s="644"/>
      <c r="D144" s="644"/>
      <c r="E144" s="644"/>
      <c r="F144" s="644"/>
      <c r="G144" s="751"/>
      <c r="H144" s="644"/>
      <c r="I144" s="644"/>
      <c r="J144" s="644"/>
      <c r="K144" s="644"/>
      <c r="L144" s="644"/>
      <c r="M144" s="644"/>
      <c r="N144" s="644"/>
      <c r="O144" s="751"/>
      <c r="P144" s="644"/>
      <c r="Q144" s="644"/>
      <c r="R144" s="644"/>
      <c r="S144" s="644"/>
      <c r="T144" s="644"/>
      <c r="U144" s="644"/>
      <c r="V144" s="644"/>
      <c r="W144" s="644"/>
      <c r="X144" s="644"/>
      <c r="Y144" s="644"/>
      <c r="Z144" s="644"/>
      <c r="AA144" s="644"/>
      <c r="AB144" s="644"/>
      <c r="AC144" s="752"/>
      <c r="AD144" s="644"/>
      <c r="AE144" s="644"/>
      <c r="AF144" s="644"/>
      <c r="AG144" s="644"/>
      <c r="AH144" s="644"/>
      <c r="AI144" s="644"/>
      <c r="AJ144" s="644"/>
      <c r="AK144" s="644"/>
    </row>
    <row r="145" spans="2:37">
      <c r="B145" s="644"/>
      <c r="C145" s="644"/>
      <c r="D145" s="644"/>
      <c r="E145" s="644"/>
      <c r="F145" s="644"/>
      <c r="G145" s="751"/>
      <c r="H145" s="644"/>
      <c r="I145" s="644"/>
      <c r="J145" s="644"/>
      <c r="K145" s="644"/>
      <c r="L145" s="644"/>
      <c r="M145" s="644"/>
      <c r="N145" s="644"/>
      <c r="O145" s="751"/>
      <c r="P145" s="644"/>
      <c r="Q145" s="644"/>
      <c r="R145" s="644"/>
      <c r="S145" s="644"/>
      <c r="T145" s="644"/>
      <c r="U145" s="644"/>
      <c r="V145" s="644"/>
      <c r="W145" s="644"/>
      <c r="X145" s="644"/>
      <c r="Y145" s="644"/>
      <c r="Z145" s="644"/>
      <c r="AA145" s="644"/>
      <c r="AB145" s="644"/>
      <c r="AC145" s="752"/>
      <c r="AD145" s="644"/>
      <c r="AE145" s="644"/>
      <c r="AF145" s="644"/>
      <c r="AG145" s="644"/>
      <c r="AH145" s="644"/>
      <c r="AI145" s="644"/>
      <c r="AJ145" s="644"/>
      <c r="AK145" s="644"/>
    </row>
    <row r="146" spans="2:37">
      <c r="B146" s="644"/>
      <c r="C146" s="644"/>
      <c r="D146" s="644"/>
      <c r="E146" s="644"/>
      <c r="F146" s="644"/>
      <c r="G146" s="751"/>
      <c r="H146" s="644"/>
      <c r="I146" s="644"/>
      <c r="J146" s="644"/>
      <c r="K146" s="644"/>
      <c r="L146" s="644"/>
      <c r="M146" s="644"/>
      <c r="N146" s="644"/>
      <c r="O146" s="751"/>
      <c r="P146" s="644"/>
      <c r="Q146" s="644"/>
      <c r="R146" s="644"/>
      <c r="S146" s="644"/>
      <c r="T146" s="644"/>
      <c r="U146" s="644"/>
      <c r="V146" s="644"/>
      <c r="W146" s="644"/>
      <c r="X146" s="644"/>
      <c r="Y146" s="644"/>
      <c r="Z146" s="644"/>
      <c r="AA146" s="644"/>
      <c r="AB146" s="644"/>
      <c r="AC146" s="752"/>
      <c r="AD146" s="644"/>
      <c r="AE146" s="644"/>
      <c r="AF146" s="644"/>
      <c r="AG146" s="644"/>
      <c r="AH146" s="644"/>
      <c r="AI146" s="644"/>
      <c r="AJ146" s="644"/>
      <c r="AK146" s="644"/>
    </row>
    <row r="147" spans="2:37">
      <c r="B147" s="644"/>
      <c r="C147" s="644"/>
      <c r="D147" s="644"/>
      <c r="E147" s="644"/>
      <c r="F147" s="644"/>
      <c r="G147" s="751"/>
      <c r="H147" s="644"/>
      <c r="I147" s="644"/>
      <c r="J147" s="644"/>
      <c r="K147" s="644"/>
      <c r="L147" s="644"/>
      <c r="M147" s="644"/>
      <c r="N147" s="644"/>
      <c r="O147" s="751"/>
      <c r="P147" s="644"/>
      <c r="Q147" s="644"/>
      <c r="R147" s="644"/>
      <c r="S147" s="644"/>
      <c r="T147" s="644"/>
      <c r="U147" s="644"/>
      <c r="V147" s="644"/>
      <c r="W147" s="644"/>
      <c r="X147" s="644"/>
      <c r="Y147" s="644"/>
      <c r="Z147" s="644"/>
      <c r="AA147" s="644"/>
      <c r="AB147" s="644"/>
      <c r="AC147" s="752"/>
      <c r="AD147" s="644"/>
      <c r="AE147" s="644"/>
      <c r="AF147" s="644"/>
      <c r="AG147" s="644"/>
      <c r="AH147" s="644"/>
      <c r="AI147" s="644"/>
      <c r="AJ147" s="644"/>
      <c r="AK147" s="644"/>
    </row>
    <row r="148" spans="2:37">
      <c r="B148" s="644"/>
      <c r="C148" s="644"/>
      <c r="D148" s="644"/>
      <c r="E148" s="644"/>
      <c r="F148" s="644"/>
      <c r="G148" s="751"/>
      <c r="H148" s="644"/>
      <c r="I148" s="644"/>
      <c r="J148" s="644"/>
      <c r="K148" s="644"/>
      <c r="L148" s="644"/>
      <c r="M148" s="644"/>
      <c r="N148" s="644"/>
      <c r="O148" s="751"/>
      <c r="P148" s="644"/>
      <c r="Q148" s="644"/>
      <c r="R148" s="644"/>
      <c r="S148" s="644"/>
      <c r="T148" s="644"/>
      <c r="U148" s="644"/>
      <c r="V148" s="644"/>
      <c r="W148" s="644"/>
      <c r="X148" s="644"/>
      <c r="Y148" s="644"/>
      <c r="Z148" s="644"/>
      <c r="AA148" s="644"/>
      <c r="AB148" s="644"/>
      <c r="AC148" s="752"/>
      <c r="AD148" s="644"/>
      <c r="AE148" s="644"/>
      <c r="AF148" s="644"/>
      <c r="AG148" s="644"/>
      <c r="AH148" s="644"/>
      <c r="AI148" s="644"/>
      <c r="AJ148" s="644"/>
      <c r="AK148" s="644"/>
    </row>
    <row r="149" spans="2:37">
      <c r="B149" s="644"/>
      <c r="C149" s="644"/>
      <c r="D149" s="644"/>
      <c r="E149" s="644"/>
      <c r="F149" s="644"/>
      <c r="G149" s="751"/>
      <c r="H149" s="644"/>
      <c r="I149" s="644"/>
      <c r="J149" s="644"/>
      <c r="K149" s="644"/>
      <c r="L149" s="644"/>
      <c r="M149" s="644"/>
      <c r="N149" s="644"/>
      <c r="O149" s="751"/>
      <c r="P149" s="644"/>
      <c r="Q149" s="644"/>
      <c r="R149" s="644"/>
      <c r="S149" s="644"/>
      <c r="T149" s="644"/>
      <c r="U149" s="644"/>
      <c r="V149" s="644"/>
      <c r="W149" s="644"/>
      <c r="X149" s="644"/>
      <c r="Y149" s="644"/>
      <c r="Z149" s="644"/>
      <c r="AA149" s="644"/>
      <c r="AB149" s="644"/>
      <c r="AC149" s="752"/>
      <c r="AD149" s="644"/>
      <c r="AE149" s="644"/>
      <c r="AF149" s="644"/>
      <c r="AG149" s="644"/>
      <c r="AH149" s="644"/>
      <c r="AI149" s="644"/>
      <c r="AJ149" s="644"/>
      <c r="AK149" s="644"/>
    </row>
    <row r="150" spans="2:37">
      <c r="B150" s="644"/>
      <c r="C150" s="644"/>
      <c r="D150" s="644"/>
      <c r="E150" s="644"/>
      <c r="F150" s="644"/>
      <c r="G150" s="751"/>
      <c r="H150" s="644"/>
      <c r="I150" s="644"/>
      <c r="J150" s="644"/>
      <c r="K150" s="644"/>
      <c r="L150" s="644"/>
      <c r="M150" s="644"/>
      <c r="N150" s="644"/>
      <c r="O150" s="751"/>
      <c r="P150" s="644"/>
      <c r="Q150" s="644"/>
      <c r="R150" s="644"/>
      <c r="S150" s="644"/>
      <c r="T150" s="644"/>
      <c r="U150" s="644"/>
      <c r="V150" s="644"/>
      <c r="W150" s="644"/>
      <c r="X150" s="644"/>
      <c r="Y150" s="644"/>
      <c r="Z150" s="644"/>
      <c r="AA150" s="644"/>
      <c r="AB150" s="644"/>
      <c r="AC150" s="752"/>
      <c r="AD150" s="644"/>
      <c r="AE150" s="644"/>
      <c r="AF150" s="644"/>
      <c r="AG150" s="644"/>
      <c r="AH150" s="644"/>
      <c r="AI150" s="644"/>
      <c r="AJ150" s="644"/>
      <c r="AK150" s="644"/>
    </row>
    <row r="151" spans="2:37">
      <c r="B151" s="644"/>
      <c r="C151" s="644"/>
      <c r="D151" s="644"/>
      <c r="E151" s="644"/>
      <c r="F151" s="644"/>
      <c r="G151" s="751"/>
      <c r="H151" s="644"/>
      <c r="I151" s="644"/>
      <c r="J151" s="644"/>
      <c r="K151" s="644"/>
      <c r="L151" s="644"/>
      <c r="M151" s="644"/>
      <c r="N151" s="644"/>
      <c r="O151" s="751"/>
      <c r="P151" s="644"/>
      <c r="Q151" s="644"/>
      <c r="R151" s="644"/>
      <c r="S151" s="644"/>
      <c r="T151" s="644"/>
      <c r="U151" s="644"/>
      <c r="V151" s="644"/>
      <c r="W151" s="644"/>
      <c r="X151" s="644"/>
      <c r="Y151" s="644"/>
      <c r="Z151" s="644"/>
      <c r="AA151" s="644"/>
      <c r="AB151" s="644"/>
      <c r="AC151" s="752"/>
      <c r="AD151" s="644"/>
      <c r="AE151" s="644"/>
      <c r="AF151" s="644"/>
      <c r="AG151" s="644"/>
      <c r="AH151" s="644"/>
      <c r="AI151" s="644"/>
      <c r="AJ151" s="644"/>
      <c r="AK151" s="644"/>
    </row>
    <row r="152" spans="2:37">
      <c r="B152" s="644"/>
      <c r="C152" s="644"/>
      <c r="D152" s="644"/>
      <c r="E152" s="644"/>
      <c r="F152" s="644"/>
      <c r="G152" s="751"/>
      <c r="H152" s="644"/>
      <c r="I152" s="644"/>
      <c r="J152" s="644"/>
      <c r="K152" s="644"/>
      <c r="L152" s="644"/>
      <c r="M152" s="644"/>
      <c r="N152" s="644"/>
      <c r="O152" s="751"/>
      <c r="P152" s="644"/>
      <c r="Q152" s="644"/>
      <c r="R152" s="644"/>
      <c r="S152" s="644"/>
      <c r="T152" s="644"/>
      <c r="U152" s="644"/>
      <c r="V152" s="644"/>
      <c r="W152" s="644"/>
      <c r="X152" s="644"/>
      <c r="Y152" s="644"/>
      <c r="Z152" s="644"/>
      <c r="AA152" s="644"/>
      <c r="AB152" s="644"/>
      <c r="AC152" s="752"/>
      <c r="AD152" s="644"/>
      <c r="AE152" s="644"/>
      <c r="AF152" s="644"/>
      <c r="AG152" s="644"/>
      <c r="AH152" s="644"/>
      <c r="AI152" s="644"/>
      <c r="AJ152" s="644"/>
      <c r="AK152" s="644"/>
    </row>
    <row r="153" spans="2:37">
      <c r="B153" s="644"/>
      <c r="C153" s="644"/>
      <c r="D153" s="644"/>
      <c r="E153" s="644"/>
      <c r="F153" s="644"/>
      <c r="G153" s="751"/>
      <c r="H153" s="644"/>
      <c r="I153" s="644"/>
      <c r="J153" s="644"/>
      <c r="K153" s="644"/>
      <c r="L153" s="644"/>
      <c r="M153" s="644"/>
      <c r="N153" s="644"/>
      <c r="O153" s="751"/>
      <c r="P153" s="644"/>
      <c r="Q153" s="644"/>
      <c r="R153" s="644"/>
      <c r="S153" s="644"/>
      <c r="T153" s="644"/>
      <c r="U153" s="644"/>
      <c r="V153" s="644"/>
      <c r="W153" s="644"/>
      <c r="X153" s="644"/>
      <c r="Y153" s="644"/>
      <c r="Z153" s="644"/>
      <c r="AA153" s="644"/>
      <c r="AB153" s="644"/>
      <c r="AC153" s="752"/>
      <c r="AD153" s="644"/>
      <c r="AE153" s="644"/>
      <c r="AF153" s="644"/>
      <c r="AG153" s="644"/>
      <c r="AH153" s="644"/>
      <c r="AI153" s="644"/>
      <c r="AJ153" s="644"/>
      <c r="AK153" s="644"/>
    </row>
    <row r="154" spans="2:37">
      <c r="B154" s="644"/>
      <c r="C154" s="644"/>
      <c r="D154" s="644"/>
      <c r="E154" s="644"/>
      <c r="F154" s="644"/>
      <c r="G154" s="751"/>
      <c r="H154" s="644"/>
      <c r="I154" s="644"/>
      <c r="J154" s="644"/>
      <c r="K154" s="644"/>
      <c r="L154" s="644"/>
      <c r="M154" s="644"/>
      <c r="N154" s="644"/>
      <c r="O154" s="751"/>
      <c r="P154" s="644"/>
      <c r="Q154" s="644"/>
      <c r="R154" s="644"/>
      <c r="S154" s="644"/>
      <c r="T154" s="644"/>
      <c r="U154" s="644"/>
      <c r="V154" s="644"/>
      <c r="W154" s="644"/>
      <c r="X154" s="644"/>
      <c r="Y154" s="644"/>
      <c r="Z154" s="644"/>
      <c r="AA154" s="644"/>
      <c r="AB154" s="644"/>
      <c r="AC154" s="752"/>
      <c r="AD154" s="644"/>
      <c r="AE154" s="644"/>
      <c r="AF154" s="644"/>
      <c r="AG154" s="644"/>
      <c r="AH154" s="644"/>
      <c r="AI154" s="644"/>
      <c r="AJ154" s="644"/>
      <c r="AK154" s="644"/>
    </row>
    <row r="155" spans="2:37">
      <c r="B155" s="644"/>
      <c r="C155" s="644"/>
      <c r="D155" s="644"/>
      <c r="E155" s="644"/>
      <c r="F155" s="644"/>
      <c r="G155" s="751"/>
      <c r="H155" s="644"/>
      <c r="I155" s="644"/>
      <c r="J155" s="644"/>
      <c r="K155" s="644"/>
      <c r="L155" s="644"/>
      <c r="M155" s="644"/>
      <c r="N155" s="644"/>
      <c r="O155" s="751"/>
      <c r="P155" s="644"/>
      <c r="Q155" s="644"/>
      <c r="R155" s="644"/>
      <c r="S155" s="644"/>
      <c r="T155" s="644"/>
      <c r="U155" s="644"/>
      <c r="V155" s="644"/>
      <c r="W155" s="644"/>
      <c r="X155" s="644"/>
      <c r="Y155" s="644"/>
      <c r="Z155" s="644"/>
      <c r="AA155" s="644"/>
      <c r="AB155" s="644"/>
      <c r="AC155" s="752"/>
      <c r="AD155" s="644"/>
      <c r="AE155" s="644"/>
      <c r="AF155" s="644"/>
      <c r="AG155" s="644"/>
      <c r="AH155" s="644"/>
      <c r="AI155" s="644"/>
      <c r="AJ155" s="644"/>
      <c r="AK155" s="644"/>
    </row>
    <row r="156" spans="2:37">
      <c r="B156" s="644"/>
      <c r="C156" s="644"/>
      <c r="D156" s="644"/>
      <c r="E156" s="644"/>
      <c r="F156" s="644"/>
      <c r="G156" s="751"/>
      <c r="H156" s="644"/>
      <c r="I156" s="644"/>
      <c r="J156" s="644"/>
      <c r="K156" s="644"/>
      <c r="L156" s="644"/>
      <c r="M156" s="644"/>
      <c r="N156" s="644"/>
      <c r="O156" s="751"/>
      <c r="P156" s="644"/>
      <c r="Q156" s="644"/>
      <c r="R156" s="644"/>
      <c r="S156" s="644"/>
      <c r="T156" s="644"/>
      <c r="U156" s="644"/>
      <c r="V156" s="644"/>
      <c r="W156" s="644"/>
      <c r="X156" s="644"/>
      <c r="Y156" s="644"/>
      <c r="Z156" s="644"/>
      <c r="AA156" s="644"/>
      <c r="AB156" s="644"/>
      <c r="AC156" s="752"/>
      <c r="AD156" s="644"/>
      <c r="AE156" s="644"/>
      <c r="AF156" s="644"/>
      <c r="AG156" s="644"/>
      <c r="AH156" s="644"/>
      <c r="AI156" s="644"/>
      <c r="AJ156" s="644"/>
      <c r="AK156" s="644"/>
    </row>
    <row r="157" spans="2:37">
      <c r="B157" s="644"/>
      <c r="C157" s="644"/>
      <c r="D157" s="644"/>
      <c r="E157" s="644"/>
      <c r="F157" s="644"/>
      <c r="G157" s="751"/>
      <c r="H157" s="644"/>
      <c r="I157" s="644"/>
      <c r="J157" s="644"/>
      <c r="K157" s="644"/>
      <c r="L157" s="644"/>
      <c r="M157" s="644"/>
      <c r="N157" s="644"/>
      <c r="O157" s="751"/>
      <c r="P157" s="644"/>
      <c r="Q157" s="644"/>
      <c r="R157" s="644"/>
      <c r="S157" s="644"/>
      <c r="T157" s="644"/>
      <c r="U157" s="644"/>
      <c r="V157" s="644"/>
      <c r="W157" s="644"/>
      <c r="X157" s="644"/>
      <c r="Y157" s="644"/>
      <c r="Z157" s="644"/>
      <c r="AA157" s="644"/>
      <c r="AB157" s="644"/>
      <c r="AC157" s="752"/>
      <c r="AD157" s="644"/>
      <c r="AE157" s="644"/>
      <c r="AF157" s="644"/>
      <c r="AG157" s="644"/>
      <c r="AH157" s="644"/>
      <c r="AI157" s="644"/>
      <c r="AJ157" s="644"/>
      <c r="AK157" s="644"/>
    </row>
    <row r="158" spans="2:37">
      <c r="B158" s="644"/>
      <c r="C158" s="644"/>
      <c r="D158" s="644"/>
      <c r="E158" s="644"/>
      <c r="F158" s="644"/>
      <c r="G158" s="751"/>
      <c r="H158" s="644"/>
      <c r="I158" s="644"/>
      <c r="J158" s="644"/>
      <c r="K158" s="644"/>
      <c r="L158" s="644"/>
      <c r="M158" s="644"/>
      <c r="N158" s="644"/>
      <c r="O158" s="751"/>
      <c r="P158" s="644"/>
      <c r="Q158" s="644"/>
      <c r="R158" s="644"/>
      <c r="S158" s="644"/>
      <c r="T158" s="644"/>
      <c r="U158" s="644"/>
      <c r="V158" s="644"/>
      <c r="W158" s="644"/>
      <c r="X158" s="644"/>
      <c r="Y158" s="644"/>
      <c r="Z158" s="644"/>
      <c r="AA158" s="644"/>
      <c r="AB158" s="644"/>
      <c r="AC158" s="752"/>
      <c r="AD158" s="644"/>
      <c r="AE158" s="644"/>
      <c r="AF158" s="644"/>
      <c r="AG158" s="644"/>
      <c r="AH158" s="644"/>
      <c r="AI158" s="644"/>
      <c r="AJ158" s="644"/>
      <c r="AK158" s="644"/>
    </row>
    <row r="159" spans="2:37">
      <c r="B159" s="644"/>
      <c r="C159" s="644"/>
      <c r="D159" s="644"/>
      <c r="E159" s="644"/>
      <c r="F159" s="644"/>
      <c r="G159" s="751"/>
      <c r="H159" s="644"/>
      <c r="I159" s="644"/>
      <c r="J159" s="644"/>
      <c r="K159" s="644"/>
      <c r="L159" s="644"/>
      <c r="M159" s="644"/>
      <c r="N159" s="644"/>
      <c r="O159" s="751"/>
      <c r="P159" s="644"/>
      <c r="Q159" s="644"/>
      <c r="R159" s="644"/>
      <c r="S159" s="644"/>
      <c r="T159" s="644"/>
      <c r="U159" s="644"/>
      <c r="V159" s="644"/>
      <c r="W159" s="644"/>
      <c r="X159" s="644"/>
      <c r="Y159" s="644"/>
      <c r="Z159" s="644"/>
      <c r="AA159" s="644"/>
      <c r="AB159" s="644"/>
      <c r="AC159" s="752"/>
      <c r="AD159" s="644"/>
      <c r="AE159" s="644"/>
      <c r="AF159" s="644"/>
      <c r="AG159" s="644"/>
      <c r="AH159" s="644"/>
      <c r="AI159" s="644"/>
      <c r="AJ159" s="644"/>
      <c r="AK159" s="644"/>
    </row>
    <row r="160" spans="2:37">
      <c r="B160" s="644"/>
      <c r="C160" s="644"/>
      <c r="D160" s="644"/>
      <c r="E160" s="644"/>
      <c r="F160" s="644"/>
      <c r="G160" s="751"/>
      <c r="H160" s="644"/>
      <c r="I160" s="644"/>
      <c r="J160" s="644"/>
      <c r="K160" s="644"/>
      <c r="L160" s="644"/>
      <c r="M160" s="644"/>
      <c r="N160" s="644"/>
      <c r="O160" s="751"/>
      <c r="P160" s="644"/>
      <c r="Q160" s="644"/>
      <c r="R160" s="644"/>
      <c r="S160" s="644"/>
      <c r="T160" s="644"/>
      <c r="U160" s="644"/>
      <c r="V160" s="644"/>
      <c r="W160" s="644"/>
      <c r="X160" s="644"/>
      <c r="Y160" s="644"/>
      <c r="Z160" s="644"/>
      <c r="AA160" s="644"/>
      <c r="AB160" s="644"/>
      <c r="AC160" s="752"/>
      <c r="AD160" s="644"/>
      <c r="AE160" s="644"/>
      <c r="AF160" s="644"/>
      <c r="AG160" s="644"/>
      <c r="AH160" s="644"/>
      <c r="AI160" s="644"/>
      <c r="AJ160" s="644"/>
      <c r="AK160" s="644"/>
    </row>
    <row r="161" spans="2:37">
      <c r="B161" s="644"/>
      <c r="C161" s="644"/>
      <c r="D161" s="644"/>
      <c r="E161" s="644"/>
      <c r="F161" s="644"/>
      <c r="G161" s="751"/>
      <c r="H161" s="644"/>
      <c r="I161" s="644"/>
      <c r="J161" s="644"/>
      <c r="K161" s="644"/>
      <c r="L161" s="644"/>
      <c r="M161" s="644"/>
      <c r="N161" s="644"/>
      <c r="O161" s="751"/>
      <c r="P161" s="644"/>
      <c r="Q161" s="644"/>
      <c r="R161" s="644"/>
      <c r="S161" s="644"/>
      <c r="T161" s="644"/>
      <c r="U161" s="644"/>
      <c r="V161" s="644"/>
      <c r="W161" s="644"/>
      <c r="X161" s="644"/>
      <c r="Y161" s="644"/>
      <c r="Z161" s="644"/>
      <c r="AA161" s="644"/>
      <c r="AB161" s="644"/>
      <c r="AC161" s="752"/>
      <c r="AD161" s="644"/>
      <c r="AE161" s="644"/>
      <c r="AF161" s="644"/>
      <c r="AG161" s="644"/>
      <c r="AH161" s="644"/>
      <c r="AI161" s="644"/>
      <c r="AJ161" s="644"/>
      <c r="AK161" s="644"/>
    </row>
    <row r="162" spans="2:37">
      <c r="B162" s="644"/>
      <c r="C162" s="644"/>
      <c r="D162" s="644"/>
      <c r="E162" s="644"/>
      <c r="F162" s="644"/>
      <c r="G162" s="751"/>
      <c r="H162" s="644"/>
      <c r="I162" s="644"/>
      <c r="J162" s="644"/>
      <c r="K162" s="644"/>
      <c r="L162" s="644"/>
      <c r="M162" s="644"/>
      <c r="N162" s="644"/>
      <c r="O162" s="751"/>
      <c r="P162" s="644"/>
      <c r="Q162" s="644"/>
      <c r="R162" s="644"/>
      <c r="S162" s="644"/>
      <c r="T162" s="644"/>
      <c r="U162" s="644"/>
      <c r="V162" s="644"/>
      <c r="W162" s="644"/>
      <c r="X162" s="644"/>
      <c r="Y162" s="644"/>
      <c r="Z162" s="644"/>
      <c r="AA162" s="644"/>
      <c r="AB162" s="644"/>
      <c r="AC162" s="752"/>
      <c r="AD162" s="644"/>
      <c r="AE162" s="644"/>
      <c r="AF162" s="644"/>
      <c r="AG162" s="644"/>
      <c r="AH162" s="644"/>
      <c r="AI162" s="644"/>
      <c r="AJ162" s="644"/>
      <c r="AK162" s="644"/>
    </row>
    <row r="163" spans="2:37">
      <c r="B163" s="644"/>
      <c r="C163" s="644"/>
      <c r="D163" s="644"/>
      <c r="E163" s="644"/>
      <c r="F163" s="644"/>
      <c r="G163" s="751"/>
      <c r="H163" s="644"/>
      <c r="I163" s="644"/>
      <c r="J163" s="644"/>
      <c r="K163" s="644"/>
      <c r="L163" s="644"/>
      <c r="M163" s="644"/>
      <c r="N163" s="644"/>
      <c r="O163" s="751"/>
      <c r="P163" s="644"/>
      <c r="Q163" s="644"/>
      <c r="R163" s="644"/>
      <c r="S163" s="644"/>
      <c r="T163" s="644"/>
      <c r="U163" s="644"/>
      <c r="V163" s="644"/>
      <c r="W163" s="644"/>
      <c r="X163" s="644"/>
      <c r="Y163" s="644"/>
      <c r="Z163" s="644"/>
      <c r="AA163" s="644"/>
      <c r="AB163" s="644"/>
      <c r="AC163" s="752"/>
      <c r="AD163" s="644"/>
      <c r="AE163" s="644"/>
      <c r="AF163" s="644"/>
      <c r="AG163" s="644"/>
      <c r="AH163" s="644"/>
      <c r="AI163" s="644"/>
      <c r="AJ163" s="644"/>
      <c r="AK163" s="644"/>
    </row>
    <row r="164" spans="2:37">
      <c r="B164" s="644"/>
      <c r="C164" s="644"/>
      <c r="D164" s="644"/>
      <c r="E164" s="644"/>
      <c r="F164" s="644"/>
      <c r="G164" s="751"/>
      <c r="H164" s="644"/>
      <c r="I164" s="644"/>
      <c r="J164" s="644"/>
      <c r="K164" s="644"/>
      <c r="L164" s="644"/>
      <c r="M164" s="644"/>
      <c r="N164" s="644"/>
      <c r="O164" s="751"/>
      <c r="P164" s="644"/>
      <c r="Q164" s="644"/>
      <c r="R164" s="644"/>
      <c r="S164" s="644"/>
      <c r="T164" s="644"/>
      <c r="U164" s="644"/>
      <c r="V164" s="644"/>
      <c r="W164" s="644"/>
      <c r="X164" s="644"/>
      <c r="Y164" s="644"/>
      <c r="Z164" s="644"/>
      <c r="AA164" s="644"/>
      <c r="AB164" s="644"/>
      <c r="AC164" s="752"/>
      <c r="AD164" s="644"/>
      <c r="AE164" s="644"/>
      <c r="AF164" s="644"/>
      <c r="AG164" s="644"/>
      <c r="AH164" s="644"/>
      <c r="AI164" s="644"/>
      <c r="AJ164" s="644"/>
      <c r="AK164" s="644"/>
    </row>
    <row r="165" spans="2:37">
      <c r="B165" s="644"/>
      <c r="C165" s="644"/>
      <c r="D165" s="644"/>
      <c r="E165" s="644"/>
      <c r="F165" s="644"/>
      <c r="G165" s="751"/>
      <c r="H165" s="644"/>
      <c r="I165" s="644"/>
      <c r="J165" s="644"/>
      <c r="K165" s="644"/>
      <c r="L165" s="644"/>
      <c r="M165" s="644"/>
      <c r="N165" s="644"/>
      <c r="O165" s="751"/>
      <c r="P165" s="644"/>
      <c r="Q165" s="644"/>
      <c r="R165" s="644"/>
      <c r="S165" s="644"/>
      <c r="T165" s="644"/>
      <c r="U165" s="644"/>
      <c r="V165" s="644"/>
      <c r="W165" s="644"/>
      <c r="X165" s="644"/>
      <c r="Y165" s="644"/>
      <c r="Z165" s="644"/>
      <c r="AA165" s="644"/>
      <c r="AB165" s="644"/>
      <c r="AC165" s="752"/>
      <c r="AD165" s="644"/>
      <c r="AE165" s="644"/>
      <c r="AF165" s="644"/>
      <c r="AG165" s="644"/>
      <c r="AH165" s="644"/>
      <c r="AI165" s="644"/>
      <c r="AJ165" s="644"/>
      <c r="AK165" s="644"/>
    </row>
    <row r="166" spans="2:37">
      <c r="B166" s="644"/>
      <c r="C166" s="644"/>
      <c r="D166" s="644"/>
      <c r="E166" s="644"/>
      <c r="F166" s="644"/>
      <c r="G166" s="751"/>
      <c r="H166" s="644"/>
      <c r="I166" s="644"/>
      <c r="J166" s="644"/>
      <c r="K166" s="644"/>
      <c r="L166" s="644"/>
      <c r="M166" s="644"/>
      <c r="N166" s="644"/>
      <c r="O166" s="751"/>
      <c r="P166" s="644"/>
      <c r="Q166" s="644"/>
      <c r="R166" s="644"/>
      <c r="S166" s="644"/>
      <c r="T166" s="644"/>
      <c r="U166" s="644"/>
      <c r="V166" s="644"/>
      <c r="W166" s="644"/>
      <c r="X166" s="644"/>
      <c r="Y166" s="644"/>
      <c r="Z166" s="644"/>
      <c r="AA166" s="644"/>
      <c r="AB166" s="644"/>
      <c r="AC166" s="752"/>
      <c r="AD166" s="644"/>
      <c r="AE166" s="644"/>
      <c r="AF166" s="644"/>
      <c r="AG166" s="644"/>
      <c r="AH166" s="644"/>
      <c r="AI166" s="644"/>
      <c r="AJ166" s="644"/>
      <c r="AK166" s="644"/>
    </row>
    <row r="167" spans="2:37">
      <c r="B167" s="644"/>
      <c r="C167" s="644"/>
      <c r="D167" s="644"/>
      <c r="E167" s="644"/>
      <c r="F167" s="644"/>
      <c r="G167" s="751"/>
      <c r="H167" s="644"/>
      <c r="I167" s="644"/>
      <c r="J167" s="644"/>
      <c r="K167" s="644"/>
      <c r="L167" s="644"/>
      <c r="M167" s="644"/>
      <c r="N167" s="644"/>
      <c r="O167" s="751"/>
      <c r="P167" s="644"/>
      <c r="Q167" s="644"/>
      <c r="R167" s="644"/>
      <c r="S167" s="644"/>
      <c r="T167" s="644"/>
      <c r="U167" s="644"/>
      <c r="V167" s="644"/>
      <c r="W167" s="644"/>
      <c r="X167" s="644"/>
      <c r="Y167" s="644"/>
      <c r="Z167" s="644"/>
      <c r="AA167" s="644"/>
      <c r="AB167" s="644"/>
      <c r="AC167" s="752"/>
      <c r="AD167" s="644"/>
      <c r="AE167" s="644"/>
      <c r="AF167" s="644"/>
      <c r="AG167" s="644"/>
      <c r="AH167" s="644"/>
      <c r="AI167" s="644"/>
      <c r="AJ167" s="644"/>
      <c r="AK167" s="644"/>
    </row>
    <row r="168" spans="2:37">
      <c r="B168" s="644"/>
      <c r="C168" s="644"/>
      <c r="D168" s="644"/>
      <c r="E168" s="644"/>
      <c r="F168" s="644"/>
      <c r="G168" s="751"/>
      <c r="H168" s="644"/>
      <c r="I168" s="644"/>
      <c r="J168" s="644"/>
      <c r="K168" s="644"/>
      <c r="L168" s="644"/>
      <c r="M168" s="644"/>
      <c r="N168" s="644"/>
      <c r="O168" s="751"/>
      <c r="P168" s="644"/>
      <c r="Q168" s="644"/>
      <c r="R168" s="644"/>
      <c r="S168" s="644"/>
      <c r="T168" s="644"/>
      <c r="U168" s="644"/>
      <c r="V168" s="644"/>
      <c r="W168" s="644"/>
      <c r="X168" s="644"/>
      <c r="Y168" s="644"/>
      <c r="Z168" s="644"/>
      <c r="AA168" s="644"/>
      <c r="AB168" s="644"/>
      <c r="AC168" s="752"/>
      <c r="AD168" s="644"/>
      <c r="AE168" s="644"/>
      <c r="AF168" s="644"/>
      <c r="AG168" s="644"/>
      <c r="AH168" s="644"/>
      <c r="AI168" s="644"/>
      <c r="AJ168" s="644"/>
      <c r="AK168" s="644"/>
    </row>
    <row r="169" spans="2:37">
      <c r="B169" s="644"/>
      <c r="C169" s="644"/>
      <c r="D169" s="644"/>
      <c r="E169" s="644"/>
      <c r="F169" s="644"/>
      <c r="G169" s="751"/>
      <c r="H169" s="644"/>
      <c r="I169" s="644"/>
      <c r="J169" s="644"/>
      <c r="K169" s="644"/>
      <c r="L169" s="644"/>
      <c r="M169" s="644"/>
      <c r="N169" s="644"/>
      <c r="O169" s="751"/>
      <c r="P169" s="644"/>
      <c r="Q169" s="644"/>
      <c r="R169" s="644"/>
      <c r="S169" s="644"/>
      <c r="T169" s="644"/>
      <c r="U169" s="644"/>
      <c r="V169" s="644"/>
      <c r="W169" s="644"/>
      <c r="X169" s="644"/>
      <c r="Y169" s="644"/>
      <c r="Z169" s="644"/>
      <c r="AA169" s="644"/>
      <c r="AB169" s="644"/>
      <c r="AC169" s="752"/>
      <c r="AD169" s="644"/>
      <c r="AE169" s="644"/>
      <c r="AF169" s="644"/>
      <c r="AG169" s="644"/>
      <c r="AH169" s="644"/>
      <c r="AI169" s="644"/>
      <c r="AJ169" s="644"/>
      <c r="AK169" s="644"/>
    </row>
    <row r="170" spans="2:37">
      <c r="B170" s="644"/>
      <c r="C170" s="644"/>
      <c r="D170" s="644"/>
      <c r="E170" s="644"/>
      <c r="F170" s="644"/>
      <c r="G170" s="751"/>
      <c r="H170" s="644"/>
      <c r="I170" s="644"/>
      <c r="J170" s="644"/>
      <c r="K170" s="644"/>
      <c r="L170" s="644"/>
      <c r="M170" s="644"/>
      <c r="N170" s="644"/>
      <c r="O170" s="751"/>
      <c r="P170" s="644"/>
      <c r="Q170" s="644"/>
      <c r="R170" s="644"/>
      <c r="S170" s="644"/>
      <c r="T170" s="644"/>
      <c r="U170" s="644"/>
      <c r="V170" s="644"/>
      <c r="W170" s="644"/>
      <c r="X170" s="644"/>
      <c r="Y170" s="644"/>
      <c r="Z170" s="644"/>
      <c r="AA170" s="644"/>
      <c r="AB170" s="644"/>
      <c r="AC170" s="752"/>
      <c r="AD170" s="644"/>
      <c r="AE170" s="644"/>
      <c r="AF170" s="644"/>
      <c r="AG170" s="644"/>
      <c r="AH170" s="644"/>
      <c r="AI170" s="644"/>
      <c r="AJ170" s="644"/>
      <c r="AK170" s="644"/>
    </row>
    <row r="171" spans="2:37">
      <c r="B171" s="644"/>
      <c r="C171" s="644"/>
      <c r="D171" s="644"/>
      <c r="E171" s="644"/>
      <c r="F171" s="644"/>
      <c r="G171" s="751"/>
      <c r="H171" s="644"/>
      <c r="I171" s="644"/>
      <c r="J171" s="644"/>
      <c r="K171" s="644"/>
      <c r="L171" s="644"/>
      <c r="M171" s="644"/>
      <c r="N171" s="644"/>
      <c r="O171" s="751"/>
      <c r="P171" s="644"/>
      <c r="Q171" s="644"/>
      <c r="R171" s="644"/>
      <c r="S171" s="644"/>
      <c r="T171" s="644"/>
      <c r="U171" s="644"/>
      <c r="V171" s="644"/>
      <c r="W171" s="644"/>
      <c r="X171" s="644"/>
      <c r="Y171" s="644"/>
      <c r="Z171" s="644"/>
      <c r="AA171" s="644"/>
      <c r="AB171" s="644"/>
      <c r="AC171" s="752"/>
      <c r="AD171" s="644"/>
      <c r="AE171" s="644"/>
      <c r="AF171" s="644"/>
      <c r="AG171" s="644"/>
      <c r="AH171" s="644"/>
      <c r="AI171" s="644"/>
      <c r="AJ171" s="644"/>
      <c r="AK171" s="644"/>
    </row>
    <row r="172" spans="2:37">
      <c r="B172" s="644"/>
      <c r="C172" s="644"/>
      <c r="D172" s="644"/>
      <c r="E172" s="644"/>
      <c r="F172" s="644"/>
      <c r="G172" s="751"/>
      <c r="H172" s="644"/>
      <c r="I172" s="644"/>
      <c r="J172" s="644"/>
      <c r="K172" s="644"/>
      <c r="L172" s="644"/>
      <c r="M172" s="644"/>
      <c r="N172" s="644"/>
      <c r="O172" s="751"/>
      <c r="P172" s="644"/>
      <c r="Q172" s="644"/>
      <c r="R172" s="644"/>
      <c r="S172" s="644"/>
      <c r="T172" s="644"/>
      <c r="U172" s="644"/>
      <c r="V172" s="644"/>
      <c r="W172" s="644"/>
      <c r="X172" s="644"/>
      <c r="Y172" s="644"/>
      <c r="Z172" s="644"/>
      <c r="AA172" s="644"/>
      <c r="AB172" s="644"/>
      <c r="AC172" s="752"/>
      <c r="AD172" s="644"/>
      <c r="AE172" s="644"/>
      <c r="AF172" s="644"/>
      <c r="AG172" s="644"/>
      <c r="AH172" s="644"/>
      <c r="AI172" s="644"/>
      <c r="AJ172" s="644"/>
      <c r="AK172" s="644"/>
    </row>
    <row r="173" spans="2:37">
      <c r="B173" s="644"/>
      <c r="C173" s="644"/>
      <c r="D173" s="644"/>
      <c r="E173" s="644"/>
      <c r="F173" s="644"/>
      <c r="G173" s="751"/>
      <c r="H173" s="644"/>
      <c r="I173" s="644"/>
      <c r="J173" s="644"/>
      <c r="K173" s="644"/>
      <c r="L173" s="644"/>
      <c r="M173" s="644"/>
      <c r="N173" s="644"/>
      <c r="O173" s="751"/>
      <c r="P173" s="644"/>
      <c r="Q173" s="644"/>
      <c r="R173" s="644"/>
      <c r="S173" s="644"/>
      <c r="T173" s="644"/>
      <c r="U173" s="644"/>
      <c r="V173" s="644"/>
      <c r="W173" s="644"/>
      <c r="X173" s="644"/>
      <c r="Y173" s="644"/>
      <c r="Z173" s="644"/>
      <c r="AA173" s="644"/>
      <c r="AB173" s="644"/>
      <c r="AC173" s="752"/>
      <c r="AD173" s="644"/>
      <c r="AE173" s="644"/>
      <c r="AF173" s="644"/>
      <c r="AG173" s="644"/>
      <c r="AH173" s="644"/>
      <c r="AI173" s="644"/>
      <c r="AJ173" s="644"/>
      <c r="AK173" s="644"/>
    </row>
    <row r="174" spans="2:37">
      <c r="B174" s="644"/>
      <c r="C174" s="644"/>
      <c r="D174" s="644"/>
      <c r="E174" s="644"/>
      <c r="F174" s="644"/>
      <c r="G174" s="751"/>
      <c r="H174" s="644"/>
      <c r="I174" s="644"/>
      <c r="J174" s="644"/>
      <c r="K174" s="644"/>
      <c r="L174" s="644"/>
      <c r="M174" s="644"/>
      <c r="N174" s="644"/>
      <c r="O174" s="751"/>
      <c r="P174" s="644"/>
      <c r="Q174" s="644"/>
      <c r="R174" s="644"/>
      <c r="S174" s="644"/>
      <c r="T174" s="644"/>
      <c r="U174" s="644"/>
      <c r="V174" s="644"/>
      <c r="W174" s="644"/>
      <c r="X174" s="644"/>
      <c r="Y174" s="644"/>
      <c r="Z174" s="644"/>
      <c r="AA174" s="644"/>
      <c r="AB174" s="644"/>
      <c r="AC174" s="752"/>
      <c r="AD174" s="644"/>
      <c r="AE174" s="644"/>
      <c r="AF174" s="644"/>
      <c r="AG174" s="644"/>
      <c r="AH174" s="644"/>
      <c r="AI174" s="644"/>
      <c r="AJ174" s="644"/>
      <c r="AK174" s="644"/>
    </row>
    <row r="175" spans="2:37">
      <c r="B175" s="644"/>
      <c r="C175" s="644"/>
      <c r="D175" s="644"/>
      <c r="E175" s="644"/>
      <c r="F175" s="644"/>
      <c r="G175" s="751"/>
      <c r="H175" s="644"/>
      <c r="I175" s="644"/>
      <c r="J175" s="644"/>
      <c r="K175" s="644"/>
      <c r="L175" s="644"/>
      <c r="M175" s="644"/>
      <c r="N175" s="644"/>
      <c r="O175" s="751"/>
      <c r="P175" s="644"/>
      <c r="Q175" s="644"/>
      <c r="R175" s="644"/>
      <c r="S175" s="644"/>
      <c r="T175" s="644"/>
      <c r="U175" s="644"/>
      <c r="V175" s="644"/>
      <c r="W175" s="644"/>
      <c r="X175" s="644"/>
      <c r="Y175" s="644"/>
      <c r="Z175" s="644"/>
      <c r="AA175" s="644"/>
      <c r="AB175" s="644"/>
      <c r="AC175" s="752"/>
      <c r="AD175" s="644"/>
      <c r="AE175" s="644"/>
      <c r="AF175" s="644"/>
      <c r="AG175" s="644"/>
      <c r="AH175" s="644"/>
      <c r="AI175" s="644"/>
      <c r="AJ175" s="644"/>
      <c r="AK175" s="644"/>
    </row>
    <row r="176" spans="2:37">
      <c r="B176" s="644"/>
      <c r="C176" s="644"/>
      <c r="D176" s="644"/>
      <c r="E176" s="644"/>
      <c r="F176" s="644"/>
      <c r="G176" s="751"/>
      <c r="H176" s="644"/>
      <c r="I176" s="644"/>
      <c r="J176" s="644"/>
      <c r="K176" s="644"/>
      <c r="L176" s="644"/>
      <c r="M176" s="644"/>
      <c r="N176" s="644"/>
      <c r="O176" s="751"/>
      <c r="P176" s="644"/>
      <c r="Q176" s="644"/>
      <c r="R176" s="644"/>
      <c r="S176" s="644"/>
      <c r="T176" s="644"/>
      <c r="U176" s="644"/>
      <c r="V176" s="644"/>
      <c r="W176" s="644"/>
      <c r="X176" s="644"/>
      <c r="Y176" s="644"/>
      <c r="Z176" s="644"/>
      <c r="AA176" s="644"/>
      <c r="AB176" s="644"/>
      <c r="AC176" s="752"/>
      <c r="AD176" s="644"/>
      <c r="AE176" s="644"/>
      <c r="AF176" s="644"/>
      <c r="AG176" s="644"/>
      <c r="AH176" s="644"/>
      <c r="AI176" s="644"/>
      <c r="AJ176" s="644"/>
      <c r="AK176" s="644"/>
    </row>
    <row r="177" spans="2:37">
      <c r="B177" s="644"/>
      <c r="C177" s="644"/>
      <c r="D177" s="644"/>
      <c r="E177" s="644"/>
      <c r="F177" s="644"/>
      <c r="G177" s="751"/>
      <c r="H177" s="644"/>
      <c r="I177" s="644"/>
      <c r="J177" s="644"/>
      <c r="K177" s="644"/>
      <c r="L177" s="644"/>
      <c r="M177" s="644"/>
      <c r="N177" s="644"/>
      <c r="O177" s="751"/>
      <c r="P177" s="644"/>
      <c r="Q177" s="644"/>
      <c r="R177" s="644"/>
      <c r="S177" s="644"/>
      <c r="T177" s="644"/>
      <c r="U177" s="644"/>
      <c r="V177" s="644"/>
      <c r="W177" s="644"/>
      <c r="X177" s="644"/>
      <c r="Y177" s="644"/>
      <c r="Z177" s="644"/>
      <c r="AA177" s="644"/>
      <c r="AB177" s="644"/>
      <c r="AC177" s="752"/>
      <c r="AD177" s="644"/>
      <c r="AE177" s="644"/>
      <c r="AF177" s="644"/>
      <c r="AG177" s="644"/>
      <c r="AH177" s="644"/>
      <c r="AI177" s="644"/>
      <c r="AJ177" s="644"/>
      <c r="AK177" s="644"/>
    </row>
    <row r="178" spans="2:37">
      <c r="B178" s="644"/>
      <c r="C178" s="644"/>
      <c r="D178" s="644"/>
      <c r="E178" s="644"/>
      <c r="F178" s="644"/>
      <c r="G178" s="751"/>
      <c r="H178" s="644"/>
      <c r="I178" s="644"/>
      <c r="J178" s="644"/>
      <c r="K178" s="644"/>
      <c r="L178" s="644"/>
      <c r="M178" s="644"/>
      <c r="N178" s="644"/>
      <c r="O178" s="751"/>
      <c r="P178" s="644"/>
      <c r="Q178" s="644"/>
      <c r="R178" s="644"/>
      <c r="S178" s="644"/>
      <c r="T178" s="644"/>
      <c r="U178" s="644"/>
      <c r="V178" s="644"/>
      <c r="W178" s="644"/>
      <c r="X178" s="644"/>
      <c r="Y178" s="644"/>
      <c r="Z178" s="644"/>
      <c r="AA178" s="644"/>
      <c r="AB178" s="644"/>
      <c r="AC178" s="752"/>
      <c r="AD178" s="644"/>
      <c r="AE178" s="644"/>
      <c r="AF178" s="644"/>
      <c r="AG178" s="644"/>
      <c r="AH178" s="644"/>
      <c r="AI178" s="644"/>
      <c r="AJ178" s="644"/>
      <c r="AK178" s="644"/>
    </row>
  </sheetData>
  <mergeCells count="65">
    <mergeCell ref="J34:K34"/>
    <mergeCell ref="F30:G30"/>
    <mergeCell ref="D27:E27"/>
    <mergeCell ref="N26:O26"/>
    <mergeCell ref="T32:V36"/>
    <mergeCell ref="J29:K29"/>
    <mergeCell ref="F29:G29"/>
    <mergeCell ref="H29:I29"/>
    <mergeCell ref="F33:G33"/>
    <mergeCell ref="AL10:AL12"/>
    <mergeCell ref="P24:W25"/>
    <mergeCell ref="N33:O33"/>
    <mergeCell ref="D32:E32"/>
    <mergeCell ref="F32:G32"/>
    <mergeCell ref="J27:K27"/>
    <mergeCell ref="J31:K31"/>
    <mergeCell ref="AL13:AL15"/>
    <mergeCell ref="H28:I28"/>
    <mergeCell ref="AF23:BB23"/>
    <mergeCell ref="N23:O24"/>
    <mergeCell ref="N32:O32"/>
    <mergeCell ref="F23:G24"/>
    <mergeCell ref="N25:O25"/>
    <mergeCell ref="F25:G25"/>
    <mergeCell ref="J28:K28"/>
    <mergeCell ref="B2:X2"/>
    <mergeCell ref="F26:G26"/>
    <mergeCell ref="B42:X42"/>
    <mergeCell ref="AD24:AE25"/>
    <mergeCell ref="J26:K26"/>
    <mergeCell ref="N29:O29"/>
    <mergeCell ref="H32:I32"/>
    <mergeCell ref="J23:K24"/>
    <mergeCell ref="D23:E24"/>
    <mergeCell ref="J32:K32"/>
    <mergeCell ref="H23:I24"/>
    <mergeCell ref="J25:K25"/>
    <mergeCell ref="N28:O28"/>
    <mergeCell ref="F31:G31"/>
    <mergeCell ref="D28:E28"/>
    <mergeCell ref="F28:G28"/>
    <mergeCell ref="AN44:AY45"/>
    <mergeCell ref="F27:G27"/>
    <mergeCell ref="N31:O31"/>
    <mergeCell ref="H27:I27"/>
    <mergeCell ref="D25:E25"/>
    <mergeCell ref="N30:O30"/>
    <mergeCell ref="D30:E30"/>
    <mergeCell ref="N34:O34"/>
    <mergeCell ref="D33:E33"/>
    <mergeCell ref="D29:E29"/>
    <mergeCell ref="D34:E34"/>
    <mergeCell ref="F34:G34"/>
    <mergeCell ref="H31:I31"/>
    <mergeCell ref="D31:E31"/>
    <mergeCell ref="H25:I25"/>
    <mergeCell ref="H34:I34"/>
    <mergeCell ref="AF3:AF4"/>
    <mergeCell ref="H33:I33"/>
    <mergeCell ref="J33:K33"/>
    <mergeCell ref="N27:O27"/>
    <mergeCell ref="D26:E26"/>
    <mergeCell ref="H30:I30"/>
    <mergeCell ref="H26:I26"/>
    <mergeCell ref="J30:K30"/>
  </mergeCells>
  <pageMargins left="0.7" right="0.7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32"/>
  <dimension ref="A1:Y452"/>
  <sheetViews>
    <sheetView topLeftCell="A96" zoomScale="99" zoomScaleNormal="99" workbookViewId="0">
      <pane ySplit="2" topLeftCell="A98" activePane="bottomLeft" state="frozen"/>
      <selection activeCell="A96" sqref="A96"/>
      <selection pane="bottomLeft" activeCell="A98" sqref="A98:XFD452"/>
    </sheetView>
  </sheetViews>
  <sheetFormatPr defaultRowHeight="12.75"/>
  <cols>
    <col min="3" max="3" width="6.7109375" customWidth="1"/>
    <col min="4" max="23" width="7.140625" customWidth="1"/>
  </cols>
  <sheetData>
    <row r="1" spans="1:25" ht="15.75" customHeight="1" thickBot="1">
      <c r="A1" s="366"/>
      <c r="B1" s="366"/>
      <c r="C1" s="946" t="s">
        <v>282</v>
      </c>
      <c r="D1" s="938"/>
      <c r="E1" s="938"/>
      <c r="F1" s="938"/>
      <c r="G1" s="938"/>
      <c r="H1" s="938"/>
      <c r="I1" s="938"/>
      <c r="J1" s="938"/>
      <c r="K1" s="938"/>
      <c r="L1" s="938"/>
      <c r="M1" s="938"/>
      <c r="N1" s="938"/>
      <c r="O1" s="938"/>
      <c r="P1" s="938"/>
      <c r="Q1" s="938"/>
      <c r="R1" s="938"/>
      <c r="S1" s="938"/>
      <c r="T1" s="938"/>
      <c r="U1" s="938"/>
      <c r="V1" s="938"/>
      <c r="W1" s="938"/>
      <c r="X1" s="709"/>
      <c r="Y1" s="710"/>
    </row>
    <row r="2" spans="1:25" ht="22.5" customHeight="1">
      <c r="A2" s="923"/>
      <c r="B2" s="924"/>
      <c r="C2" s="30" t="s">
        <v>29</v>
      </c>
      <c r="D2" s="518" t="s">
        <v>208</v>
      </c>
      <c r="E2" s="519" t="s">
        <v>209</v>
      </c>
      <c r="F2" s="519" t="s">
        <v>210</v>
      </c>
      <c r="G2" s="520" t="s">
        <v>211</v>
      </c>
      <c r="H2" s="518" t="s">
        <v>212</v>
      </c>
      <c r="I2" s="519" t="s">
        <v>213</v>
      </c>
      <c r="J2" s="519" t="s">
        <v>214</v>
      </c>
      <c r="K2" s="520" t="s">
        <v>215</v>
      </c>
      <c r="L2" s="518" t="s">
        <v>216</v>
      </c>
      <c r="M2" s="519" t="s">
        <v>283</v>
      </c>
      <c r="N2" s="519" t="s">
        <v>218</v>
      </c>
      <c r="O2" s="520" t="s">
        <v>219</v>
      </c>
      <c r="P2" s="520" t="s">
        <v>284</v>
      </c>
      <c r="Q2" s="519" t="s">
        <v>221</v>
      </c>
      <c r="R2" s="519" t="s">
        <v>222</v>
      </c>
      <c r="S2" s="520" t="s">
        <v>223</v>
      </c>
      <c r="T2" s="518" t="s">
        <v>167</v>
      </c>
      <c r="U2" s="519" t="s">
        <v>171</v>
      </c>
      <c r="V2" s="519" t="s">
        <v>174</v>
      </c>
      <c r="W2" s="520" t="s">
        <v>177</v>
      </c>
      <c r="X2" s="323" t="s">
        <v>224</v>
      </c>
      <c r="Y2" s="17">
        <v>2</v>
      </c>
    </row>
    <row r="3" spans="1:25" ht="15" customHeight="1">
      <c r="A3" s="925"/>
      <c r="B3" s="926"/>
      <c r="C3" s="31">
        <v>1</v>
      </c>
      <c r="D3" s="33">
        <v>13</v>
      </c>
      <c r="E3" s="22">
        <v>15</v>
      </c>
      <c r="F3" s="23">
        <v>15</v>
      </c>
      <c r="G3" s="29">
        <v>15</v>
      </c>
      <c r="H3" s="34">
        <v>0</v>
      </c>
      <c r="I3" s="24">
        <v>24.193548387096779</v>
      </c>
      <c r="J3" s="24">
        <v>24.193548387096779</v>
      </c>
      <c r="K3" s="35">
        <v>23</v>
      </c>
      <c r="L3" s="36" t="s">
        <v>227</v>
      </c>
      <c r="M3" s="25" t="s">
        <v>227</v>
      </c>
      <c r="N3" s="26" t="s">
        <v>227</v>
      </c>
      <c r="O3" s="37" t="s">
        <v>227</v>
      </c>
      <c r="P3" s="350">
        <v>13</v>
      </c>
      <c r="Q3" s="26">
        <v>12</v>
      </c>
      <c r="R3" s="26">
        <v>12</v>
      </c>
      <c r="S3" s="37">
        <v>13</v>
      </c>
      <c r="T3" s="38" t="s">
        <v>227</v>
      </c>
      <c r="U3" s="27" t="s">
        <v>227</v>
      </c>
      <c r="V3" s="28" t="s">
        <v>227</v>
      </c>
      <c r="W3" s="39" t="s">
        <v>227</v>
      </c>
      <c r="X3" s="324" t="s">
        <v>228</v>
      </c>
      <c r="Y3" s="5">
        <v>3</v>
      </c>
    </row>
    <row r="4" spans="1:25" ht="15" customHeight="1">
      <c r="A4" s="532"/>
      <c r="B4" s="533"/>
      <c r="C4" s="534">
        <v>1.8</v>
      </c>
      <c r="D4" s="535">
        <v>13</v>
      </c>
      <c r="E4" s="536">
        <v>18</v>
      </c>
      <c r="F4" s="537">
        <v>16</v>
      </c>
      <c r="G4" s="538">
        <v>20</v>
      </c>
      <c r="H4" s="539">
        <v>27</v>
      </c>
      <c r="I4" s="539">
        <v>28</v>
      </c>
      <c r="J4" s="539">
        <v>25.806451612903221</v>
      </c>
      <c r="K4" s="539">
        <v>29.032258064516132</v>
      </c>
      <c r="L4" s="540" t="s">
        <v>227</v>
      </c>
      <c r="M4" s="541" t="s">
        <v>227</v>
      </c>
      <c r="N4" s="542" t="s">
        <v>227</v>
      </c>
      <c r="O4" s="543" t="s">
        <v>227</v>
      </c>
      <c r="P4" s="544">
        <v>16</v>
      </c>
      <c r="Q4" s="542">
        <v>28</v>
      </c>
      <c r="R4" s="542">
        <v>19</v>
      </c>
      <c r="S4" s="543">
        <v>21</v>
      </c>
      <c r="T4" s="540" t="s">
        <v>227</v>
      </c>
      <c r="U4" s="541" t="s">
        <v>227</v>
      </c>
      <c r="V4" s="542" t="s">
        <v>227</v>
      </c>
      <c r="W4" s="543" t="s">
        <v>227</v>
      </c>
      <c r="X4" s="566" t="s">
        <v>231</v>
      </c>
      <c r="Y4" s="5">
        <v>4</v>
      </c>
    </row>
    <row r="5" spans="1:25" ht="15" customHeight="1">
      <c r="A5" s="568"/>
      <c r="B5" s="569"/>
      <c r="C5" s="570">
        <v>2</v>
      </c>
      <c r="D5" s="571">
        <v>17</v>
      </c>
      <c r="E5" s="572">
        <v>28</v>
      </c>
      <c r="F5" s="573">
        <v>17</v>
      </c>
      <c r="G5" s="574">
        <v>36</v>
      </c>
      <c r="H5" s="539">
        <v>34</v>
      </c>
      <c r="I5" s="539">
        <v>34</v>
      </c>
      <c r="J5" s="539">
        <v>27.41935483870968</v>
      </c>
      <c r="K5" s="539">
        <v>63</v>
      </c>
      <c r="L5" s="36" t="s">
        <v>227</v>
      </c>
      <c r="M5" s="25" t="s">
        <v>227</v>
      </c>
      <c r="N5" s="26" t="s">
        <v>227</v>
      </c>
      <c r="O5" s="37" t="s">
        <v>227</v>
      </c>
      <c r="P5" s="351">
        <v>23</v>
      </c>
      <c r="Q5" s="344">
        <v>36</v>
      </c>
      <c r="R5" s="344">
        <v>27</v>
      </c>
      <c r="S5" s="345">
        <v>26</v>
      </c>
      <c r="T5" s="349" t="s">
        <v>227</v>
      </c>
      <c r="U5" s="344" t="s">
        <v>227</v>
      </c>
      <c r="V5" s="344" t="s">
        <v>227</v>
      </c>
      <c r="W5" s="345" t="s">
        <v>227</v>
      </c>
      <c r="X5" s="566" t="s">
        <v>234</v>
      </c>
      <c r="Y5" s="5">
        <v>5</v>
      </c>
    </row>
    <row r="6" spans="1:25" ht="15" customHeight="1">
      <c r="A6" s="532"/>
      <c r="B6" s="533"/>
      <c r="C6" s="534">
        <v>2.8</v>
      </c>
      <c r="D6" s="545">
        <v>27</v>
      </c>
      <c r="E6" s="545">
        <v>34</v>
      </c>
      <c r="F6" s="545">
        <v>26</v>
      </c>
      <c r="G6" s="545">
        <v>46</v>
      </c>
      <c r="H6" s="539">
        <v>47</v>
      </c>
      <c r="I6" s="539">
        <v>47</v>
      </c>
      <c r="J6" s="539">
        <v>30.64516129032258</v>
      </c>
      <c r="K6" s="539">
        <v>75</v>
      </c>
      <c r="L6" s="540" t="s">
        <v>227</v>
      </c>
      <c r="M6" s="541" t="s">
        <v>227</v>
      </c>
      <c r="N6" s="542" t="s">
        <v>227</v>
      </c>
      <c r="O6" s="543" t="s">
        <v>227</v>
      </c>
      <c r="P6" s="546">
        <v>44</v>
      </c>
      <c r="Q6" s="547">
        <v>70</v>
      </c>
      <c r="R6" s="547">
        <v>47</v>
      </c>
      <c r="S6" s="548">
        <v>58</v>
      </c>
      <c r="T6" s="549" t="s">
        <v>227</v>
      </c>
      <c r="U6" s="547" t="s">
        <v>227</v>
      </c>
      <c r="V6" s="547" t="s">
        <v>227</v>
      </c>
      <c r="W6" s="548" t="s">
        <v>227</v>
      </c>
      <c r="X6" s="566" t="s">
        <v>236</v>
      </c>
      <c r="Y6" s="5">
        <v>13</v>
      </c>
    </row>
    <row r="7" spans="1:25" ht="15" customHeight="1">
      <c r="A7" s="553"/>
      <c r="B7" s="554"/>
      <c r="C7" s="555">
        <v>3</v>
      </c>
      <c r="D7" s="556">
        <v>34</v>
      </c>
      <c r="E7" s="557">
        <v>47</v>
      </c>
      <c r="F7" s="558">
        <v>31</v>
      </c>
      <c r="G7" s="559">
        <v>75</v>
      </c>
      <c r="H7" s="539">
        <v>64</v>
      </c>
      <c r="I7" s="539">
        <v>72</v>
      </c>
      <c r="J7" s="539">
        <v>50</v>
      </c>
      <c r="K7" s="539">
        <v>114</v>
      </c>
      <c r="L7" s="38" t="s">
        <v>227</v>
      </c>
      <c r="M7" s="27" t="s">
        <v>227</v>
      </c>
      <c r="N7" s="28" t="s">
        <v>227</v>
      </c>
      <c r="O7" s="39" t="s">
        <v>227</v>
      </c>
      <c r="P7" s="560">
        <v>60</v>
      </c>
      <c r="Q7" s="575">
        <v>85</v>
      </c>
      <c r="R7" s="346">
        <v>62</v>
      </c>
      <c r="S7" s="347">
        <v>70</v>
      </c>
      <c r="T7" s="348" t="s">
        <v>227</v>
      </c>
      <c r="U7" s="346" t="s">
        <v>227</v>
      </c>
      <c r="V7" s="346" t="s">
        <v>227</v>
      </c>
      <c r="W7" s="347" t="s">
        <v>227</v>
      </c>
      <c r="X7" s="576" t="s">
        <v>239</v>
      </c>
      <c r="Y7" s="5">
        <v>15</v>
      </c>
    </row>
    <row r="8" spans="1:25" ht="15" customHeight="1">
      <c r="A8" s="532"/>
      <c r="B8" s="533"/>
      <c r="C8" s="534">
        <v>3.8</v>
      </c>
      <c r="D8" s="545">
        <v>60</v>
      </c>
      <c r="E8" s="545">
        <v>72</v>
      </c>
      <c r="F8" s="545">
        <v>52</v>
      </c>
      <c r="G8" s="545">
        <v>107</v>
      </c>
      <c r="H8" s="539">
        <v>103</v>
      </c>
      <c r="I8" s="539">
        <v>138</v>
      </c>
      <c r="J8" s="539">
        <v>83.870967741935488</v>
      </c>
      <c r="K8" s="539">
        <v>165</v>
      </c>
      <c r="L8" s="540" t="s">
        <v>227</v>
      </c>
      <c r="M8" s="541" t="s">
        <v>227</v>
      </c>
      <c r="N8" s="542" t="s">
        <v>227</v>
      </c>
      <c r="O8" s="543" t="s">
        <v>227</v>
      </c>
      <c r="P8" s="549">
        <v>100</v>
      </c>
      <c r="Q8" s="547" t="s">
        <v>227</v>
      </c>
      <c r="R8" s="547">
        <v>115</v>
      </c>
      <c r="S8" s="548">
        <v>122</v>
      </c>
      <c r="T8" s="549" t="s">
        <v>227</v>
      </c>
      <c r="U8" s="547" t="s">
        <v>227</v>
      </c>
      <c r="V8" s="547" t="s">
        <v>227</v>
      </c>
      <c r="W8" s="548" t="s">
        <v>227</v>
      </c>
      <c r="X8" s="566" t="s">
        <v>241</v>
      </c>
      <c r="Y8" s="5">
        <v>30</v>
      </c>
    </row>
    <row r="9" spans="1:25" ht="15" customHeight="1">
      <c r="A9" s="577"/>
      <c r="B9" s="578"/>
      <c r="C9" s="579">
        <v>4</v>
      </c>
      <c r="D9" s="580">
        <v>103</v>
      </c>
      <c r="E9" s="581">
        <v>111</v>
      </c>
      <c r="F9" s="294">
        <v>73</v>
      </c>
      <c r="G9" s="295">
        <v>140</v>
      </c>
      <c r="H9" s="539">
        <v>144</v>
      </c>
      <c r="I9" s="539">
        <v>160</v>
      </c>
      <c r="J9" s="539">
        <v>117.741935483871</v>
      </c>
      <c r="K9" s="539">
        <v>231</v>
      </c>
      <c r="L9" s="582" t="s">
        <v>227</v>
      </c>
      <c r="M9" s="583" t="s">
        <v>227</v>
      </c>
      <c r="N9" s="24" t="s">
        <v>227</v>
      </c>
      <c r="O9" s="35" t="s">
        <v>227</v>
      </c>
      <c r="P9" s="584">
        <v>130</v>
      </c>
      <c r="Q9" s="585" t="s">
        <v>227</v>
      </c>
      <c r="R9" s="585">
        <v>135</v>
      </c>
      <c r="S9" s="586" t="s">
        <v>227</v>
      </c>
      <c r="T9" s="584" t="s">
        <v>227</v>
      </c>
      <c r="U9" s="585" t="s">
        <v>227</v>
      </c>
      <c r="V9" s="585" t="s">
        <v>227</v>
      </c>
      <c r="W9" s="586" t="s">
        <v>227</v>
      </c>
      <c r="X9" s="587" t="s">
        <v>244</v>
      </c>
      <c r="Y9" s="5">
        <v>36</v>
      </c>
    </row>
    <row r="10" spans="1:25" ht="15" customHeight="1">
      <c r="A10" s="532"/>
      <c r="B10" s="533"/>
      <c r="C10" s="534">
        <v>4.8</v>
      </c>
      <c r="D10" s="545">
        <v>117</v>
      </c>
      <c r="E10" s="545">
        <v>138</v>
      </c>
      <c r="F10" s="545">
        <v>93</v>
      </c>
      <c r="G10" s="545">
        <v>195</v>
      </c>
      <c r="H10" s="539">
        <v>174</v>
      </c>
      <c r="I10" s="539">
        <v>223</v>
      </c>
      <c r="J10" s="539">
        <v>159</v>
      </c>
      <c r="K10" s="539">
        <v>334</v>
      </c>
      <c r="L10" s="540" t="s">
        <v>227</v>
      </c>
      <c r="M10" s="541" t="s">
        <v>227</v>
      </c>
      <c r="N10" s="542" t="s">
        <v>227</v>
      </c>
      <c r="O10" s="543" t="s">
        <v>227</v>
      </c>
      <c r="P10" s="549">
        <v>0</v>
      </c>
      <c r="Q10" s="547" t="s">
        <v>227</v>
      </c>
      <c r="R10" s="547">
        <v>0</v>
      </c>
      <c r="S10" s="548" t="s">
        <v>227</v>
      </c>
      <c r="T10" s="549" t="s">
        <v>227</v>
      </c>
      <c r="U10" s="547" t="s">
        <v>227</v>
      </c>
      <c r="V10" s="547" t="s">
        <v>227</v>
      </c>
      <c r="W10" s="548" t="s">
        <v>227</v>
      </c>
      <c r="X10" s="566" t="s">
        <v>165</v>
      </c>
      <c r="Y10" s="5">
        <v>65</v>
      </c>
    </row>
    <row r="11" spans="1:25" ht="15" customHeight="1">
      <c r="A11" s="561"/>
      <c r="B11" s="562"/>
      <c r="C11" s="588">
        <v>5</v>
      </c>
      <c r="D11" s="343">
        <v>174</v>
      </c>
      <c r="E11" s="296">
        <v>190</v>
      </c>
      <c r="F11" s="297">
        <v>135</v>
      </c>
      <c r="G11" s="298">
        <v>260</v>
      </c>
      <c r="H11" s="539">
        <v>243</v>
      </c>
      <c r="I11" s="539">
        <v>325</v>
      </c>
      <c r="J11" s="539">
        <v>217.741935483871</v>
      </c>
      <c r="K11" s="539">
        <v>438</v>
      </c>
      <c r="L11" s="33" t="s">
        <v>227</v>
      </c>
      <c r="M11" s="22" t="s">
        <v>227</v>
      </c>
      <c r="N11" s="23" t="s">
        <v>227</v>
      </c>
      <c r="O11" s="29" t="s">
        <v>227</v>
      </c>
      <c r="P11" s="565" t="s">
        <v>227</v>
      </c>
      <c r="Q11" s="563" t="s">
        <v>227</v>
      </c>
      <c r="R11" s="563" t="s">
        <v>227</v>
      </c>
      <c r="S11" s="564" t="s">
        <v>227</v>
      </c>
      <c r="T11" s="565" t="s">
        <v>227</v>
      </c>
      <c r="U11" s="563" t="s">
        <v>227</v>
      </c>
      <c r="V11" s="563" t="s">
        <v>227</v>
      </c>
      <c r="W11" s="564" t="s">
        <v>227</v>
      </c>
      <c r="X11" s="589" t="s">
        <v>169</v>
      </c>
      <c r="Y11" s="5">
        <v>75</v>
      </c>
    </row>
    <row r="12" spans="1:25" ht="15" customHeight="1">
      <c r="A12" s="532"/>
      <c r="B12" s="533"/>
      <c r="C12" s="534">
        <v>5.8</v>
      </c>
      <c r="D12" s="545">
        <v>243</v>
      </c>
      <c r="E12" s="545">
        <v>250</v>
      </c>
      <c r="F12" s="545">
        <v>190</v>
      </c>
      <c r="G12" s="545">
        <v>340</v>
      </c>
      <c r="H12" s="539">
        <v>355</v>
      </c>
      <c r="I12" s="539">
        <v>429</v>
      </c>
      <c r="J12" s="539">
        <v>301.61290322580652</v>
      </c>
      <c r="K12" s="539">
        <v>626</v>
      </c>
      <c r="L12" s="540" t="s">
        <v>227</v>
      </c>
      <c r="M12" s="541" t="s">
        <v>227</v>
      </c>
      <c r="N12" s="542" t="s">
        <v>227</v>
      </c>
      <c r="O12" s="543" t="s">
        <v>227</v>
      </c>
      <c r="P12" s="549" t="s">
        <v>227</v>
      </c>
      <c r="Q12" s="547" t="s">
        <v>227</v>
      </c>
      <c r="R12" s="547" t="s">
        <v>227</v>
      </c>
      <c r="S12" s="548" t="s">
        <v>227</v>
      </c>
      <c r="T12" s="549" t="s">
        <v>227</v>
      </c>
      <c r="U12" s="547" t="s">
        <v>227</v>
      </c>
      <c r="V12" s="547" t="s">
        <v>227</v>
      </c>
      <c r="W12" s="548" t="s">
        <v>227</v>
      </c>
      <c r="X12" s="566" t="s">
        <v>172</v>
      </c>
      <c r="Y12" s="5">
        <v>130</v>
      </c>
    </row>
    <row r="13" spans="1:25" ht="15" customHeight="1">
      <c r="A13" s="568"/>
      <c r="B13" s="569"/>
      <c r="C13" s="570">
        <v>6</v>
      </c>
      <c r="D13" s="571">
        <v>326</v>
      </c>
      <c r="E13" s="572">
        <v>320</v>
      </c>
      <c r="F13" s="573">
        <v>259</v>
      </c>
      <c r="G13" s="574">
        <v>626</v>
      </c>
      <c r="H13" s="539">
        <v>463</v>
      </c>
      <c r="I13" s="539">
        <v>520</v>
      </c>
      <c r="J13" s="539">
        <v>360</v>
      </c>
      <c r="K13" s="539" t="s">
        <v>227</v>
      </c>
      <c r="L13" s="36" t="s">
        <v>227</v>
      </c>
      <c r="M13" s="25" t="s">
        <v>227</v>
      </c>
      <c r="N13" s="26" t="s">
        <v>227</v>
      </c>
      <c r="O13" s="37" t="s">
        <v>227</v>
      </c>
      <c r="P13" s="349" t="s">
        <v>227</v>
      </c>
      <c r="Q13" s="344" t="s">
        <v>227</v>
      </c>
      <c r="R13" s="344" t="s">
        <v>227</v>
      </c>
      <c r="S13" s="345" t="s">
        <v>227</v>
      </c>
      <c r="T13" s="349">
        <v>180</v>
      </c>
      <c r="U13" s="344">
        <v>340</v>
      </c>
      <c r="V13" s="344">
        <v>150</v>
      </c>
      <c r="W13" s="345">
        <v>170</v>
      </c>
      <c r="X13" s="590" t="s">
        <v>175</v>
      </c>
      <c r="Y13" s="5">
        <v>152</v>
      </c>
    </row>
    <row r="14" spans="1:25" ht="15" customHeight="1">
      <c r="A14" s="532"/>
      <c r="B14" s="533"/>
      <c r="C14" s="534">
        <v>6.8</v>
      </c>
      <c r="D14" s="545">
        <v>430</v>
      </c>
      <c r="E14" s="545">
        <v>426</v>
      </c>
      <c r="F14" s="545">
        <v>341</v>
      </c>
      <c r="G14" s="545">
        <v>815</v>
      </c>
      <c r="H14" s="539">
        <v>660</v>
      </c>
      <c r="I14" s="537">
        <v>790</v>
      </c>
      <c r="J14" s="537">
        <v>520</v>
      </c>
      <c r="K14" s="538" t="s">
        <v>227</v>
      </c>
      <c r="L14" s="540" t="s">
        <v>227</v>
      </c>
      <c r="M14" s="541" t="s">
        <v>227</v>
      </c>
      <c r="N14" s="542" t="s">
        <v>227</v>
      </c>
      <c r="O14" s="543" t="s">
        <v>227</v>
      </c>
      <c r="P14" s="549" t="s">
        <v>227</v>
      </c>
      <c r="Q14" s="547" t="s">
        <v>227</v>
      </c>
      <c r="R14" s="547" t="s">
        <v>227</v>
      </c>
      <c r="S14" s="548" t="s">
        <v>227</v>
      </c>
      <c r="T14" s="549" t="s">
        <v>227</v>
      </c>
      <c r="U14" s="547" t="s">
        <v>227</v>
      </c>
      <c r="V14" s="547" t="s">
        <v>227</v>
      </c>
      <c r="W14" s="548" t="s">
        <v>227</v>
      </c>
      <c r="X14" s="566" t="s">
        <v>166</v>
      </c>
      <c r="Y14" s="5">
        <v>240</v>
      </c>
    </row>
    <row r="15" spans="1:25" ht="15" customHeight="1">
      <c r="A15" s="553"/>
      <c r="B15" s="554"/>
      <c r="C15" s="555">
        <v>7</v>
      </c>
      <c r="D15" s="556">
        <v>580</v>
      </c>
      <c r="E15" s="557">
        <v>611</v>
      </c>
      <c r="F15" s="558">
        <v>450</v>
      </c>
      <c r="G15" s="559" t="s">
        <v>227</v>
      </c>
      <c r="H15" s="539">
        <v>870</v>
      </c>
      <c r="I15" s="558" t="s">
        <v>227</v>
      </c>
      <c r="J15" s="558">
        <v>670</v>
      </c>
      <c r="K15" s="591" t="s">
        <v>227</v>
      </c>
      <c r="L15" s="38" t="s">
        <v>227</v>
      </c>
      <c r="M15" s="27" t="s">
        <v>227</v>
      </c>
      <c r="N15" s="28" t="s">
        <v>227</v>
      </c>
      <c r="O15" s="39" t="s">
        <v>227</v>
      </c>
      <c r="P15" s="348" t="s">
        <v>227</v>
      </c>
      <c r="Q15" s="346" t="s">
        <v>227</v>
      </c>
      <c r="R15" s="346" t="s">
        <v>227</v>
      </c>
      <c r="S15" s="347" t="s">
        <v>227</v>
      </c>
      <c r="T15" s="348" t="s">
        <v>227</v>
      </c>
      <c r="U15" s="346" t="s">
        <v>227</v>
      </c>
      <c r="V15" s="346" t="s">
        <v>227</v>
      </c>
      <c r="W15" s="347" t="s">
        <v>227</v>
      </c>
      <c r="X15" s="592" t="s">
        <v>170</v>
      </c>
      <c r="Y15" s="5">
        <v>272</v>
      </c>
    </row>
    <row r="16" spans="1:25" ht="15.75" customHeight="1" thickBot="1">
      <c r="A16" s="550"/>
      <c r="B16" s="551"/>
      <c r="C16" s="534">
        <v>7.8</v>
      </c>
      <c r="D16" s="545">
        <v>759</v>
      </c>
      <c r="E16" s="536">
        <v>790</v>
      </c>
      <c r="F16" s="537">
        <v>590</v>
      </c>
      <c r="G16" s="538" t="s">
        <v>227</v>
      </c>
      <c r="H16" s="539" t="s">
        <v>227</v>
      </c>
      <c r="I16" s="537" t="s">
        <v>227</v>
      </c>
      <c r="J16" s="537" t="s">
        <v>227</v>
      </c>
      <c r="K16" s="552" t="s">
        <v>227</v>
      </c>
      <c r="L16" s="540" t="s">
        <v>227</v>
      </c>
      <c r="M16" s="541" t="s">
        <v>227</v>
      </c>
      <c r="N16" s="542" t="s">
        <v>227</v>
      </c>
      <c r="O16" s="543" t="s">
        <v>227</v>
      </c>
      <c r="P16" s="540" t="s">
        <v>227</v>
      </c>
      <c r="Q16" s="541" t="s">
        <v>227</v>
      </c>
      <c r="R16" s="542" t="s">
        <v>227</v>
      </c>
      <c r="S16" s="543" t="s">
        <v>227</v>
      </c>
      <c r="T16" s="540" t="s">
        <v>227</v>
      </c>
      <c r="U16" s="541" t="s">
        <v>227</v>
      </c>
      <c r="V16" s="542" t="s">
        <v>227</v>
      </c>
      <c r="W16" s="543" t="s">
        <v>227</v>
      </c>
      <c r="X16" s="567" t="s">
        <v>251</v>
      </c>
      <c r="Y16" s="5">
        <v>16</v>
      </c>
    </row>
    <row r="17" spans="3:25" ht="15" customHeight="1">
      <c r="C17" s="336">
        <v>8</v>
      </c>
      <c r="D17" s="593" t="s">
        <v>227</v>
      </c>
      <c r="E17" s="337" t="s">
        <v>227</v>
      </c>
      <c r="F17" s="338" t="s">
        <v>227</v>
      </c>
      <c r="G17" s="352" t="s">
        <v>227</v>
      </c>
      <c r="H17" s="353" t="s">
        <v>227</v>
      </c>
      <c r="I17" s="354" t="s">
        <v>227</v>
      </c>
      <c r="J17" s="354" t="s">
        <v>227</v>
      </c>
      <c r="K17" s="355" t="s">
        <v>227</v>
      </c>
      <c r="L17" s="339" t="s">
        <v>227</v>
      </c>
      <c r="M17" s="340" t="s">
        <v>227</v>
      </c>
      <c r="N17" s="341" t="s">
        <v>227</v>
      </c>
      <c r="O17" s="342" t="s">
        <v>227</v>
      </c>
      <c r="P17" s="339" t="s">
        <v>227</v>
      </c>
      <c r="Q17" s="340" t="s">
        <v>227</v>
      </c>
      <c r="R17" s="341" t="s">
        <v>227</v>
      </c>
      <c r="S17" s="342" t="s">
        <v>227</v>
      </c>
      <c r="T17" s="339" t="s">
        <v>227</v>
      </c>
      <c r="U17" s="340" t="s">
        <v>227</v>
      </c>
      <c r="V17" s="341" t="s">
        <v>227</v>
      </c>
      <c r="W17" s="342" t="s">
        <v>227</v>
      </c>
      <c r="X17" s="325" t="s">
        <v>176</v>
      </c>
      <c r="Y17" s="5">
        <v>17</v>
      </c>
    </row>
    <row r="18" spans="3:25" ht="15.75" customHeight="1" thickBot="1">
      <c r="C18" s="336">
        <v>8.8000000000000007</v>
      </c>
      <c r="D18" s="594" t="s">
        <v>227</v>
      </c>
      <c r="E18" s="356" t="s">
        <v>227</v>
      </c>
      <c r="F18" s="357" t="s">
        <v>227</v>
      </c>
      <c r="G18" s="358" t="s">
        <v>227</v>
      </c>
      <c r="H18" s="359" t="s">
        <v>227</v>
      </c>
      <c r="I18" s="360" t="s">
        <v>227</v>
      </c>
      <c r="J18" s="360" t="s">
        <v>227</v>
      </c>
      <c r="K18" s="361" t="s">
        <v>227</v>
      </c>
      <c r="L18" s="339" t="s">
        <v>227</v>
      </c>
      <c r="M18" s="340" t="s">
        <v>227</v>
      </c>
      <c r="N18" s="341" t="s">
        <v>227</v>
      </c>
      <c r="O18" s="342" t="s">
        <v>227</v>
      </c>
      <c r="P18" s="339" t="s">
        <v>227</v>
      </c>
      <c r="Q18" s="340" t="s">
        <v>227</v>
      </c>
      <c r="R18" s="341" t="s">
        <v>227</v>
      </c>
      <c r="S18" s="342" t="s">
        <v>227</v>
      </c>
      <c r="T18" s="339" t="s">
        <v>227</v>
      </c>
      <c r="U18" s="340" t="s">
        <v>227</v>
      </c>
      <c r="V18" s="341" t="s">
        <v>227</v>
      </c>
      <c r="W18" s="355" t="s">
        <v>227</v>
      </c>
      <c r="X18" s="325" t="s">
        <v>253</v>
      </c>
      <c r="Y18" s="5">
        <v>18</v>
      </c>
    </row>
    <row r="19" spans="3:25" ht="15.75" customHeight="1" thickBot="1">
      <c r="C19" s="362">
        <v>9</v>
      </c>
      <c r="D19" s="355" t="s">
        <v>227</v>
      </c>
      <c r="E19" s="355" t="s">
        <v>227</v>
      </c>
      <c r="F19" s="355" t="s">
        <v>227</v>
      </c>
      <c r="G19" s="355" t="s">
        <v>227</v>
      </c>
      <c r="H19" s="359">
        <v>0</v>
      </c>
      <c r="I19" s="360">
        <v>0</v>
      </c>
      <c r="J19" s="360">
        <v>0</v>
      </c>
      <c r="K19" s="361">
        <v>0</v>
      </c>
      <c r="L19" s="339" t="s">
        <v>227</v>
      </c>
      <c r="M19" s="340" t="s">
        <v>227</v>
      </c>
      <c r="N19" s="341" t="s">
        <v>227</v>
      </c>
      <c r="O19" s="342" t="s">
        <v>227</v>
      </c>
      <c r="P19" s="339" t="s">
        <v>227</v>
      </c>
      <c r="Q19" s="340" t="s">
        <v>227</v>
      </c>
      <c r="R19" s="341" t="s">
        <v>227</v>
      </c>
      <c r="S19" s="342" t="s">
        <v>227</v>
      </c>
      <c r="T19" s="363" t="s">
        <v>227</v>
      </c>
      <c r="U19" s="364" t="s">
        <v>227</v>
      </c>
      <c r="V19" s="365" t="s">
        <v>227</v>
      </c>
      <c r="W19" s="361" t="s">
        <v>227</v>
      </c>
      <c r="X19" s="325" t="s">
        <v>256</v>
      </c>
      <c r="Y19" s="5">
        <v>19</v>
      </c>
    </row>
    <row r="20" spans="3:25">
      <c r="C20" s="326"/>
      <c r="D20" s="322"/>
      <c r="E20" s="322"/>
      <c r="F20" s="322"/>
      <c r="G20" s="322"/>
      <c r="H20" s="327"/>
      <c r="I20" s="322"/>
      <c r="J20" s="322"/>
      <c r="K20" s="322"/>
      <c r="L20" s="322"/>
      <c r="M20" s="322"/>
      <c r="N20" s="322"/>
      <c r="O20" s="322"/>
      <c r="P20" s="327"/>
      <c r="Q20" s="322"/>
      <c r="R20" s="322"/>
      <c r="S20" s="322"/>
      <c r="T20" s="322"/>
      <c r="U20" s="322"/>
      <c r="V20" s="322"/>
      <c r="W20" s="322"/>
      <c r="X20" s="322" t="s">
        <v>257</v>
      </c>
      <c r="Y20" s="5">
        <v>20</v>
      </c>
    </row>
    <row r="21" spans="3:25" ht="13.5" customHeight="1" thickBot="1">
      <c r="C21" s="328"/>
      <c r="D21" s="329"/>
      <c r="E21" s="329"/>
      <c r="F21" s="329"/>
      <c r="G21" s="329"/>
      <c r="H21" s="330"/>
      <c r="I21" s="329"/>
      <c r="J21" s="329"/>
      <c r="K21" s="329"/>
      <c r="L21" s="329"/>
      <c r="M21" s="329"/>
      <c r="N21" s="329"/>
      <c r="O21" s="329"/>
      <c r="P21" s="330"/>
      <c r="Q21" s="329"/>
      <c r="R21" s="329"/>
      <c r="S21" s="329"/>
      <c r="T21" s="329"/>
      <c r="U21" s="329"/>
      <c r="V21" s="329"/>
      <c r="W21" s="329"/>
      <c r="X21" s="329" t="s">
        <v>258</v>
      </c>
      <c r="Y21" s="483">
        <v>21</v>
      </c>
    </row>
    <row r="23" spans="3:25" ht="72.75" customHeight="1" thickBot="1">
      <c r="C23" s="943" t="s">
        <v>285</v>
      </c>
      <c r="D23" s="879"/>
      <c r="E23" s="879"/>
      <c r="F23" s="879"/>
      <c r="G23" s="879"/>
      <c r="H23" s="879"/>
      <c r="I23" s="879"/>
      <c r="J23" s="879"/>
      <c r="K23" s="879"/>
      <c r="L23" s="879"/>
      <c r="M23" s="879"/>
      <c r="N23" s="879"/>
      <c r="O23" s="879"/>
      <c r="P23" s="879"/>
      <c r="Q23" s="879"/>
    </row>
    <row r="24" spans="3:25" ht="13.15" customHeight="1">
      <c r="C24" s="940" t="s">
        <v>286</v>
      </c>
      <c r="D24" s="917"/>
      <c r="E24" s="917"/>
      <c r="F24" s="917"/>
      <c r="G24" s="917"/>
      <c r="H24" s="917"/>
      <c r="I24" s="917"/>
      <c r="J24" s="917"/>
      <c r="K24" s="917"/>
      <c r="L24" s="917"/>
      <c r="M24" s="917"/>
      <c r="N24" s="917"/>
      <c r="O24" s="917"/>
      <c r="P24" s="917"/>
      <c r="Q24" s="922"/>
    </row>
    <row r="25" spans="3:25" ht="13.9" customHeight="1" thickBot="1">
      <c r="C25" s="941"/>
      <c r="D25" s="918"/>
      <c r="E25" s="918"/>
      <c r="F25" s="918"/>
      <c r="G25" s="918"/>
      <c r="H25" s="918"/>
      <c r="I25" s="918"/>
      <c r="J25" s="918"/>
      <c r="K25" s="918"/>
      <c r="L25" s="918"/>
      <c r="M25" s="918"/>
      <c r="N25" s="918"/>
      <c r="O25" s="918"/>
      <c r="P25" s="918"/>
      <c r="Q25" s="942"/>
    </row>
    <row r="26" spans="3:25" ht="15" customHeight="1" thickBot="1">
      <c r="C26" s="937" t="s">
        <v>153</v>
      </c>
      <c r="D26" s="938"/>
      <c r="E26" s="939"/>
      <c r="G26" s="937" t="s">
        <v>155</v>
      </c>
      <c r="H26" s="938"/>
      <c r="I26" s="939"/>
      <c r="K26" s="937" t="s">
        <v>157</v>
      </c>
      <c r="L26" s="938"/>
      <c r="M26" s="939"/>
      <c r="O26" s="937" t="s">
        <v>159</v>
      </c>
      <c r="P26" s="938"/>
      <c r="Q26" s="939"/>
    </row>
    <row r="27" spans="3:25" ht="15" customHeight="1">
      <c r="C27" s="624" t="s">
        <v>29</v>
      </c>
      <c r="D27" s="625" t="s">
        <v>287</v>
      </c>
      <c r="E27" s="610" t="s">
        <v>184</v>
      </c>
      <c r="G27" s="624" t="s">
        <v>29</v>
      </c>
      <c r="H27" s="625" t="s">
        <v>287</v>
      </c>
      <c r="I27" s="610" t="s">
        <v>184</v>
      </c>
      <c r="K27" s="624" t="s">
        <v>29</v>
      </c>
      <c r="L27" s="625" t="s">
        <v>287</v>
      </c>
      <c r="M27" s="610" t="s">
        <v>184</v>
      </c>
      <c r="O27" s="624" t="s">
        <v>29</v>
      </c>
      <c r="P27" s="625" t="s">
        <v>287</v>
      </c>
      <c r="Q27" s="610" t="s">
        <v>184</v>
      </c>
    </row>
    <row r="28" spans="3:25" ht="15" customHeight="1">
      <c r="C28" s="599">
        <v>1.8</v>
      </c>
      <c r="D28" s="603">
        <v>6</v>
      </c>
      <c r="E28" s="603">
        <v>13</v>
      </c>
      <c r="G28" s="599">
        <v>1.8</v>
      </c>
      <c r="H28" s="600">
        <v>6</v>
      </c>
      <c r="I28" s="603">
        <v>15</v>
      </c>
      <c r="K28" s="599">
        <v>1.8</v>
      </c>
      <c r="L28" s="601"/>
      <c r="M28" s="603">
        <v>15</v>
      </c>
      <c r="O28" s="599">
        <v>1.8</v>
      </c>
      <c r="P28" s="602">
        <v>6</v>
      </c>
      <c r="Q28" s="611">
        <v>15</v>
      </c>
    </row>
    <row r="29" spans="3:25" ht="15" customHeight="1">
      <c r="C29" s="570">
        <v>2</v>
      </c>
      <c r="D29" s="571">
        <v>6</v>
      </c>
      <c r="E29" s="571">
        <v>13</v>
      </c>
      <c r="G29" s="570">
        <v>2</v>
      </c>
      <c r="H29" s="572">
        <v>7</v>
      </c>
      <c r="I29" s="571">
        <v>18</v>
      </c>
      <c r="K29" s="570">
        <v>2</v>
      </c>
      <c r="L29" s="573"/>
      <c r="M29" s="571">
        <v>16</v>
      </c>
      <c r="O29" s="570">
        <v>2</v>
      </c>
      <c r="P29" s="574">
        <v>7</v>
      </c>
      <c r="Q29" s="612">
        <v>20</v>
      </c>
    </row>
    <row r="30" spans="3:25" ht="15" customHeight="1">
      <c r="C30" s="534">
        <v>2.8</v>
      </c>
      <c r="D30" s="545">
        <v>7</v>
      </c>
      <c r="E30" s="545">
        <v>17</v>
      </c>
      <c r="G30" s="534">
        <v>2.8</v>
      </c>
      <c r="H30" s="545">
        <v>8</v>
      </c>
      <c r="I30" s="545">
        <v>28</v>
      </c>
      <c r="K30" s="534">
        <v>2.8</v>
      </c>
      <c r="L30" s="545">
        <v>7</v>
      </c>
      <c r="M30" s="545">
        <v>17</v>
      </c>
      <c r="O30" s="534">
        <v>2.8</v>
      </c>
      <c r="P30" s="597">
        <v>9</v>
      </c>
      <c r="Q30" s="597">
        <v>36</v>
      </c>
    </row>
    <row r="31" spans="3:25" ht="15" customHeight="1">
      <c r="C31" s="555">
        <v>3</v>
      </c>
      <c r="D31" s="556">
        <v>8</v>
      </c>
      <c r="E31" s="556">
        <v>27</v>
      </c>
      <c r="G31" s="555">
        <v>3</v>
      </c>
      <c r="H31" s="557">
        <v>9</v>
      </c>
      <c r="I31" s="556">
        <v>34</v>
      </c>
      <c r="K31" s="555">
        <v>3</v>
      </c>
      <c r="L31" s="558">
        <v>8</v>
      </c>
      <c r="M31" s="556">
        <v>26</v>
      </c>
      <c r="O31" s="555">
        <v>3</v>
      </c>
      <c r="P31" s="559">
        <v>10</v>
      </c>
      <c r="Q31" s="613">
        <v>46</v>
      </c>
    </row>
    <row r="32" spans="3:25" ht="15" customHeight="1">
      <c r="C32" s="534">
        <v>3.8</v>
      </c>
      <c r="D32" s="545">
        <v>9</v>
      </c>
      <c r="E32" s="545">
        <v>34</v>
      </c>
      <c r="G32" s="534">
        <v>3.8</v>
      </c>
      <c r="H32" s="545">
        <v>10</v>
      </c>
      <c r="I32" s="545">
        <v>47</v>
      </c>
      <c r="K32" s="534">
        <v>3.8</v>
      </c>
      <c r="L32" s="545">
        <v>10</v>
      </c>
      <c r="M32" s="545">
        <v>31</v>
      </c>
      <c r="O32" s="534">
        <v>3.8</v>
      </c>
      <c r="P32" s="597">
        <v>12</v>
      </c>
      <c r="Q32" s="597">
        <v>75</v>
      </c>
    </row>
    <row r="33" spans="3:17" ht="15" customHeight="1">
      <c r="C33" s="579">
        <v>4</v>
      </c>
      <c r="D33" s="580">
        <v>11</v>
      </c>
      <c r="E33" s="580">
        <v>60</v>
      </c>
      <c r="G33" s="579">
        <v>4</v>
      </c>
      <c r="H33" s="581">
        <v>12</v>
      </c>
      <c r="I33" s="580">
        <v>72</v>
      </c>
      <c r="K33" s="579">
        <v>4</v>
      </c>
      <c r="L33" s="294">
        <v>11</v>
      </c>
      <c r="M33" s="580">
        <v>52</v>
      </c>
      <c r="O33" s="579">
        <v>4</v>
      </c>
      <c r="P33" s="295">
        <v>14</v>
      </c>
      <c r="Q33" s="614">
        <v>107</v>
      </c>
    </row>
    <row r="34" spans="3:17" ht="15" customHeight="1">
      <c r="C34" s="534">
        <v>4.8</v>
      </c>
      <c r="D34" s="545">
        <v>14</v>
      </c>
      <c r="E34" s="545">
        <v>103</v>
      </c>
      <c r="G34" s="534">
        <v>4.8</v>
      </c>
      <c r="H34" s="545">
        <v>15</v>
      </c>
      <c r="I34" s="545">
        <v>111</v>
      </c>
      <c r="K34" s="534">
        <v>4.8</v>
      </c>
      <c r="L34" s="545">
        <v>13</v>
      </c>
      <c r="M34" s="545">
        <v>73</v>
      </c>
      <c r="O34" s="534">
        <v>4.8</v>
      </c>
      <c r="P34" s="597">
        <v>16</v>
      </c>
      <c r="Q34" s="597">
        <v>140</v>
      </c>
    </row>
    <row r="35" spans="3:17" ht="15" customHeight="1">
      <c r="C35" s="588">
        <v>5</v>
      </c>
      <c r="D35" s="343">
        <v>15</v>
      </c>
      <c r="E35" s="343">
        <v>117</v>
      </c>
      <c r="G35" s="588">
        <v>5</v>
      </c>
      <c r="H35" s="296">
        <v>16</v>
      </c>
      <c r="I35" s="343">
        <v>138</v>
      </c>
      <c r="K35" s="588">
        <v>5</v>
      </c>
      <c r="L35" s="297">
        <v>15</v>
      </c>
      <c r="M35" s="343">
        <v>93</v>
      </c>
      <c r="O35" s="588">
        <v>5</v>
      </c>
      <c r="P35" s="298">
        <v>18</v>
      </c>
      <c r="Q35" s="615">
        <v>195</v>
      </c>
    </row>
    <row r="36" spans="3:17" ht="15" customHeight="1">
      <c r="C36" s="534">
        <v>5.8</v>
      </c>
      <c r="D36" s="545">
        <v>17</v>
      </c>
      <c r="E36" s="545">
        <v>174</v>
      </c>
      <c r="G36" s="534">
        <v>5.8</v>
      </c>
      <c r="H36" s="545">
        <v>18</v>
      </c>
      <c r="I36" s="545">
        <v>190</v>
      </c>
      <c r="K36" s="534">
        <v>5.8</v>
      </c>
      <c r="L36" s="545">
        <v>17</v>
      </c>
      <c r="M36" s="545">
        <v>135</v>
      </c>
      <c r="O36" s="534">
        <v>5.8</v>
      </c>
      <c r="P36" s="597">
        <v>20</v>
      </c>
      <c r="Q36" s="597">
        <v>260</v>
      </c>
    </row>
    <row r="37" spans="3:17" ht="15" customHeight="1">
      <c r="C37" s="570">
        <v>6</v>
      </c>
      <c r="D37" s="571">
        <v>19</v>
      </c>
      <c r="E37" s="571">
        <v>243</v>
      </c>
      <c r="G37" s="570">
        <v>6</v>
      </c>
      <c r="H37" s="572">
        <v>20</v>
      </c>
      <c r="I37" s="571">
        <v>250</v>
      </c>
      <c r="K37" s="570">
        <v>6</v>
      </c>
      <c r="L37" s="573">
        <v>19</v>
      </c>
      <c r="M37" s="571">
        <v>190</v>
      </c>
      <c r="O37" s="570">
        <v>6</v>
      </c>
      <c r="P37" s="574">
        <v>22</v>
      </c>
      <c r="Q37" s="612">
        <v>340</v>
      </c>
    </row>
    <row r="38" spans="3:17" ht="15" customHeight="1">
      <c r="C38" s="534">
        <v>6.8</v>
      </c>
      <c r="D38" s="545">
        <v>21</v>
      </c>
      <c r="E38" s="545">
        <v>326</v>
      </c>
      <c r="G38" s="534">
        <v>6.8</v>
      </c>
      <c r="H38" s="545">
        <v>22</v>
      </c>
      <c r="I38" s="545">
        <v>320</v>
      </c>
      <c r="K38" s="534">
        <v>6.8</v>
      </c>
      <c r="L38" s="545">
        <v>21</v>
      </c>
      <c r="M38" s="545">
        <v>259</v>
      </c>
      <c r="O38" s="534">
        <v>6.8</v>
      </c>
      <c r="P38" s="597">
        <v>26</v>
      </c>
      <c r="Q38" s="597">
        <v>626</v>
      </c>
    </row>
    <row r="39" spans="3:17" ht="15" customHeight="1">
      <c r="C39" s="555">
        <v>7</v>
      </c>
      <c r="D39" s="556">
        <v>23</v>
      </c>
      <c r="E39" s="556">
        <v>430</v>
      </c>
      <c r="G39" s="555">
        <v>7</v>
      </c>
      <c r="H39" s="557">
        <v>24</v>
      </c>
      <c r="I39" s="556">
        <v>426</v>
      </c>
      <c r="K39" s="555">
        <v>7</v>
      </c>
      <c r="L39" s="558">
        <v>23</v>
      </c>
      <c r="M39" s="556">
        <v>341</v>
      </c>
      <c r="O39" s="555">
        <v>7</v>
      </c>
      <c r="P39" s="559">
        <v>28</v>
      </c>
      <c r="Q39" s="613">
        <v>815</v>
      </c>
    </row>
    <row r="40" spans="3:17" ht="15" customHeight="1">
      <c r="C40" s="534">
        <v>7.8</v>
      </c>
      <c r="D40" s="545">
        <v>25</v>
      </c>
      <c r="E40" s="545">
        <v>580</v>
      </c>
      <c r="G40" s="534">
        <v>7.8</v>
      </c>
      <c r="H40" s="536">
        <v>26</v>
      </c>
      <c r="I40" s="545">
        <v>611</v>
      </c>
      <c r="K40" s="534">
        <v>7.8</v>
      </c>
      <c r="L40" s="537">
        <v>25</v>
      </c>
      <c r="M40" s="545">
        <v>450</v>
      </c>
      <c r="O40" s="534">
        <v>7.8</v>
      </c>
      <c r="P40" s="538" t="s">
        <v>227</v>
      </c>
      <c r="Q40" s="597" t="s">
        <v>227</v>
      </c>
    </row>
    <row r="41" spans="3:17" ht="15" customHeight="1">
      <c r="C41" s="336">
        <v>8</v>
      </c>
      <c r="D41" s="593">
        <v>27</v>
      </c>
      <c r="E41" s="593">
        <v>759</v>
      </c>
      <c r="G41" s="336">
        <v>8</v>
      </c>
      <c r="H41" s="337">
        <v>28</v>
      </c>
      <c r="I41" s="593">
        <v>790</v>
      </c>
      <c r="K41" s="336">
        <v>8</v>
      </c>
      <c r="L41" s="338">
        <v>27</v>
      </c>
      <c r="M41" s="593">
        <v>590</v>
      </c>
      <c r="O41" s="336">
        <v>8</v>
      </c>
      <c r="P41" s="352" t="s">
        <v>227</v>
      </c>
      <c r="Q41" s="616" t="s">
        <v>227</v>
      </c>
    </row>
    <row r="42" spans="3:17" ht="15" customHeight="1" thickBot="1">
      <c r="C42" s="604">
        <v>8.8000000000000007</v>
      </c>
      <c r="D42" s="605" t="s">
        <v>227</v>
      </c>
      <c r="E42" s="652" t="s">
        <v>227</v>
      </c>
      <c r="G42" s="604">
        <v>8.8000000000000007</v>
      </c>
      <c r="H42" s="605" t="s">
        <v>227</v>
      </c>
      <c r="I42" s="652" t="s">
        <v>227</v>
      </c>
      <c r="K42" s="604">
        <v>8.8000000000000007</v>
      </c>
      <c r="L42" s="605" t="s">
        <v>227</v>
      </c>
      <c r="M42" s="652" t="s">
        <v>227</v>
      </c>
      <c r="O42" s="604">
        <v>8.8000000000000007</v>
      </c>
      <c r="P42" s="608"/>
      <c r="Q42" s="617" t="s">
        <v>227</v>
      </c>
    </row>
    <row r="43" spans="3:17" ht="15" customHeight="1" thickBot="1">
      <c r="C43" s="362">
        <v>9</v>
      </c>
      <c r="D43" s="361"/>
      <c r="E43" s="361" t="s">
        <v>227</v>
      </c>
      <c r="F43" s="598"/>
      <c r="G43" s="362">
        <v>9</v>
      </c>
      <c r="H43" s="361"/>
      <c r="I43" s="361" t="s">
        <v>227</v>
      </c>
      <c r="J43" s="598"/>
      <c r="K43" s="362">
        <v>9</v>
      </c>
      <c r="L43" s="361"/>
      <c r="M43" s="361" t="s">
        <v>227</v>
      </c>
      <c r="N43" s="598"/>
      <c r="O43" s="362">
        <v>9</v>
      </c>
      <c r="P43" s="362" t="s">
        <v>227</v>
      </c>
      <c r="Q43" s="609" t="s">
        <v>227</v>
      </c>
    </row>
    <row r="45" spans="3:17" ht="27.6" customHeight="1" thickBot="1">
      <c r="C45" s="626" t="s">
        <v>285</v>
      </c>
    </row>
    <row r="46" spans="3:17" ht="13.15" customHeight="1">
      <c r="C46" s="940" t="s">
        <v>288</v>
      </c>
      <c r="D46" s="917"/>
      <c r="E46" s="917"/>
      <c r="F46" s="917"/>
      <c r="G46" s="917"/>
      <c r="H46" s="917"/>
      <c r="I46" s="917"/>
      <c r="J46" s="917"/>
      <c r="K46" s="917"/>
      <c r="L46" s="917"/>
      <c r="M46" s="917"/>
      <c r="N46" s="917"/>
      <c r="O46" s="917"/>
      <c r="P46" s="917"/>
      <c r="Q46" s="922"/>
    </row>
    <row r="47" spans="3:17" ht="13.9" customHeight="1" thickBot="1">
      <c r="C47" s="941"/>
      <c r="D47" s="918"/>
      <c r="E47" s="918"/>
      <c r="F47" s="918"/>
      <c r="G47" s="918"/>
      <c r="H47" s="918"/>
      <c r="I47" s="918"/>
      <c r="J47" s="918"/>
      <c r="K47" s="918"/>
      <c r="L47" s="918"/>
      <c r="M47" s="918"/>
      <c r="N47" s="918"/>
      <c r="O47" s="918"/>
      <c r="P47" s="918"/>
      <c r="Q47" s="942"/>
    </row>
    <row r="48" spans="3:17" ht="13.5" customHeight="1" thickBot="1">
      <c r="C48" s="937" t="s">
        <v>153</v>
      </c>
      <c r="D48" s="938"/>
      <c r="E48" s="939"/>
      <c r="G48" s="937" t="s">
        <v>155</v>
      </c>
      <c r="H48" s="938"/>
      <c r="I48" s="939"/>
      <c r="K48" s="937" t="s">
        <v>157</v>
      </c>
      <c r="L48" s="938"/>
      <c r="M48" s="939"/>
      <c r="O48" s="937" t="s">
        <v>159</v>
      </c>
      <c r="P48" s="938"/>
      <c r="Q48" s="939"/>
    </row>
    <row r="49" spans="3:17">
      <c r="C49" s="624" t="s">
        <v>29</v>
      </c>
      <c r="D49" s="625" t="s">
        <v>287</v>
      </c>
      <c r="E49" s="610" t="s">
        <v>184</v>
      </c>
      <c r="G49" s="624" t="s">
        <v>29</v>
      </c>
      <c r="H49" s="625" t="s">
        <v>287</v>
      </c>
      <c r="I49" s="610" t="s">
        <v>184</v>
      </c>
      <c r="K49" s="624" t="s">
        <v>29</v>
      </c>
      <c r="L49" s="625" t="s">
        <v>287</v>
      </c>
      <c r="M49" s="610" t="s">
        <v>184</v>
      </c>
      <c r="O49" s="624" t="s">
        <v>29</v>
      </c>
      <c r="P49" s="625" t="s">
        <v>287</v>
      </c>
      <c r="Q49" s="610" t="s">
        <v>184</v>
      </c>
    </row>
    <row r="50" spans="3:17" ht="15" customHeight="1">
      <c r="C50" s="599">
        <v>1.8</v>
      </c>
      <c r="D50" s="603">
        <v>7</v>
      </c>
      <c r="E50" s="603"/>
      <c r="G50" s="599">
        <v>1.8</v>
      </c>
      <c r="H50" s="600">
        <v>7</v>
      </c>
      <c r="I50" s="603">
        <v>24.193548387096779</v>
      </c>
      <c r="K50" s="599">
        <v>1.8</v>
      </c>
      <c r="L50" s="601"/>
      <c r="M50" s="603">
        <v>24.193548387096779</v>
      </c>
      <c r="O50" s="599">
        <v>1.8</v>
      </c>
      <c r="P50" s="602">
        <v>7</v>
      </c>
      <c r="Q50" s="611">
        <v>23</v>
      </c>
    </row>
    <row r="51" spans="3:17" ht="15" customHeight="1">
      <c r="C51" s="570">
        <v>2</v>
      </c>
      <c r="D51" s="571">
        <v>8</v>
      </c>
      <c r="E51" s="571">
        <v>27</v>
      </c>
      <c r="G51" s="570">
        <v>2</v>
      </c>
      <c r="H51" s="572">
        <v>8</v>
      </c>
      <c r="I51" s="571">
        <v>28</v>
      </c>
      <c r="K51" s="570">
        <v>2</v>
      </c>
      <c r="L51" s="573">
        <v>8</v>
      </c>
      <c r="M51" s="571">
        <v>25.806451612903221</v>
      </c>
      <c r="O51" s="570">
        <v>2</v>
      </c>
      <c r="P51" s="574">
        <v>8</v>
      </c>
      <c r="Q51" s="612">
        <v>29.032258064516132</v>
      </c>
    </row>
    <row r="52" spans="3:17" ht="15" customHeight="1">
      <c r="C52" s="534">
        <v>2.8</v>
      </c>
      <c r="D52" s="545">
        <v>8</v>
      </c>
      <c r="E52" s="545">
        <v>34</v>
      </c>
      <c r="G52" s="534">
        <v>2.8</v>
      </c>
      <c r="H52" s="545">
        <v>9</v>
      </c>
      <c r="I52" s="545">
        <v>34</v>
      </c>
      <c r="K52" s="534">
        <v>2.8</v>
      </c>
      <c r="L52" s="545">
        <v>9</v>
      </c>
      <c r="M52" s="545">
        <v>27.41935483870968</v>
      </c>
      <c r="O52" s="534">
        <v>2.8</v>
      </c>
      <c r="P52" s="597">
        <v>11</v>
      </c>
      <c r="Q52" s="597">
        <v>63</v>
      </c>
    </row>
    <row r="53" spans="3:17" ht="15" customHeight="1">
      <c r="C53" s="555">
        <v>3</v>
      </c>
      <c r="D53" s="556">
        <v>9</v>
      </c>
      <c r="E53" s="556">
        <v>47</v>
      </c>
      <c r="G53" s="555">
        <v>3</v>
      </c>
      <c r="H53" s="557">
        <v>10</v>
      </c>
      <c r="I53" s="556">
        <v>47</v>
      </c>
      <c r="K53" s="555">
        <v>3</v>
      </c>
      <c r="L53" s="558">
        <v>10</v>
      </c>
      <c r="M53" s="556">
        <v>30.64516129032258</v>
      </c>
      <c r="O53" s="555">
        <v>3</v>
      </c>
      <c r="P53" s="559">
        <v>12</v>
      </c>
      <c r="Q53" s="613">
        <v>75</v>
      </c>
    </row>
    <row r="54" spans="3:17" ht="15" customHeight="1">
      <c r="C54" s="534">
        <v>3.8</v>
      </c>
      <c r="D54" s="545">
        <v>10</v>
      </c>
      <c r="E54" s="545">
        <v>64</v>
      </c>
      <c r="G54" s="534">
        <v>3.8</v>
      </c>
      <c r="H54" s="545">
        <v>12</v>
      </c>
      <c r="I54" s="545">
        <v>72</v>
      </c>
      <c r="K54" s="534">
        <v>3.8</v>
      </c>
      <c r="L54" s="545">
        <v>11</v>
      </c>
      <c r="M54" s="545">
        <v>50</v>
      </c>
      <c r="O54" s="534">
        <v>3.8</v>
      </c>
      <c r="P54" s="597">
        <v>15</v>
      </c>
      <c r="Q54" s="597">
        <v>114</v>
      </c>
    </row>
    <row r="55" spans="3:17" ht="15" customHeight="1">
      <c r="C55" s="579">
        <v>4</v>
      </c>
      <c r="D55" s="580">
        <v>11</v>
      </c>
      <c r="E55" s="580">
        <v>103</v>
      </c>
      <c r="G55" s="579">
        <v>4</v>
      </c>
      <c r="H55" s="581">
        <v>16</v>
      </c>
      <c r="I55" s="580">
        <v>138</v>
      </c>
      <c r="K55" s="579">
        <v>4</v>
      </c>
      <c r="L55" s="294">
        <v>14</v>
      </c>
      <c r="M55" s="580">
        <v>83.870967741935488</v>
      </c>
      <c r="O55" s="579">
        <v>4</v>
      </c>
      <c r="P55" s="295">
        <v>17</v>
      </c>
      <c r="Q55" s="614">
        <v>165</v>
      </c>
    </row>
    <row r="56" spans="3:17" ht="15" customHeight="1">
      <c r="C56" s="534">
        <v>4.8</v>
      </c>
      <c r="D56" s="545">
        <v>14</v>
      </c>
      <c r="E56" s="545">
        <v>144</v>
      </c>
      <c r="G56" s="534">
        <v>4.8</v>
      </c>
      <c r="H56" s="545">
        <v>17</v>
      </c>
      <c r="I56" s="545">
        <v>160</v>
      </c>
      <c r="K56" s="534">
        <v>4.8</v>
      </c>
      <c r="L56" s="545">
        <v>16</v>
      </c>
      <c r="M56" s="545">
        <v>117.741935483871</v>
      </c>
      <c r="O56" s="534">
        <v>4.8</v>
      </c>
      <c r="P56" s="597">
        <v>19</v>
      </c>
      <c r="Q56" s="597">
        <v>231</v>
      </c>
    </row>
    <row r="57" spans="3:17" ht="15" customHeight="1">
      <c r="C57" s="588">
        <v>5</v>
      </c>
      <c r="D57" s="343">
        <v>16</v>
      </c>
      <c r="E57" s="343">
        <v>174</v>
      </c>
      <c r="G57" s="588">
        <v>5</v>
      </c>
      <c r="H57" s="296">
        <v>19</v>
      </c>
      <c r="I57" s="343">
        <v>223</v>
      </c>
      <c r="K57" s="588">
        <v>5</v>
      </c>
      <c r="L57" s="297">
        <v>18</v>
      </c>
      <c r="M57" s="343">
        <v>159</v>
      </c>
      <c r="O57" s="588">
        <v>5</v>
      </c>
      <c r="P57" s="298">
        <v>22</v>
      </c>
      <c r="Q57" s="615">
        <v>334</v>
      </c>
    </row>
    <row r="58" spans="3:17" ht="15" customHeight="1">
      <c r="C58" s="534">
        <v>5.8</v>
      </c>
      <c r="D58" s="545">
        <v>17</v>
      </c>
      <c r="E58" s="545">
        <v>243</v>
      </c>
      <c r="G58" s="534">
        <v>5.8</v>
      </c>
      <c r="H58" s="545">
        <v>22</v>
      </c>
      <c r="I58" s="545">
        <v>325</v>
      </c>
      <c r="K58" s="534">
        <v>5.8</v>
      </c>
      <c r="L58" s="545">
        <v>20</v>
      </c>
      <c r="M58" s="545">
        <v>217.741935483871</v>
      </c>
      <c r="O58" s="534">
        <v>5.8</v>
      </c>
      <c r="P58" s="597">
        <v>24</v>
      </c>
      <c r="Q58" s="597">
        <v>438</v>
      </c>
    </row>
    <row r="59" spans="3:17" ht="15" customHeight="1">
      <c r="C59" s="570">
        <v>6</v>
      </c>
      <c r="D59" s="571">
        <v>19</v>
      </c>
      <c r="E59" s="571">
        <v>355</v>
      </c>
      <c r="G59" s="570">
        <v>6</v>
      </c>
      <c r="H59" s="572">
        <v>24</v>
      </c>
      <c r="I59" s="571">
        <v>429</v>
      </c>
      <c r="K59" s="570">
        <v>6</v>
      </c>
      <c r="L59" s="573">
        <v>23</v>
      </c>
      <c r="M59" s="571">
        <v>301.61290322580652</v>
      </c>
      <c r="O59" s="570">
        <v>6</v>
      </c>
      <c r="P59" s="574">
        <v>26</v>
      </c>
      <c r="Q59" s="612">
        <v>626</v>
      </c>
    </row>
    <row r="60" spans="3:17" ht="15" customHeight="1">
      <c r="C60" s="534">
        <v>6.8</v>
      </c>
      <c r="D60" s="545">
        <v>22</v>
      </c>
      <c r="E60" s="545">
        <v>463</v>
      </c>
      <c r="G60" s="534">
        <v>6.8</v>
      </c>
      <c r="H60" s="545">
        <v>25</v>
      </c>
      <c r="I60" s="545">
        <v>520</v>
      </c>
      <c r="K60" s="534">
        <v>6.8</v>
      </c>
      <c r="L60" s="545">
        <v>24</v>
      </c>
      <c r="M60" s="545">
        <v>360</v>
      </c>
      <c r="O60" s="534">
        <v>6.8</v>
      </c>
      <c r="P60" s="597" t="s">
        <v>227</v>
      </c>
      <c r="Q60" s="597" t="s">
        <v>227</v>
      </c>
    </row>
    <row r="61" spans="3:17" ht="15" customHeight="1">
      <c r="C61" s="555">
        <v>7</v>
      </c>
      <c r="D61" s="556">
        <v>24</v>
      </c>
      <c r="E61" s="556">
        <v>660</v>
      </c>
      <c r="G61" s="555">
        <v>7</v>
      </c>
      <c r="H61" s="557">
        <v>28</v>
      </c>
      <c r="I61" s="556">
        <v>790</v>
      </c>
      <c r="K61" s="555">
        <v>7</v>
      </c>
      <c r="L61" s="558">
        <v>26</v>
      </c>
      <c r="M61" s="556">
        <v>520</v>
      </c>
      <c r="O61" s="555">
        <v>7</v>
      </c>
      <c r="P61" s="559" t="s">
        <v>227</v>
      </c>
      <c r="Q61" s="613" t="s">
        <v>227</v>
      </c>
    </row>
    <row r="62" spans="3:17" ht="15" customHeight="1">
      <c r="C62" s="534">
        <v>7.8</v>
      </c>
      <c r="D62" s="545">
        <v>28</v>
      </c>
      <c r="E62" s="545">
        <v>870</v>
      </c>
      <c r="G62" s="534">
        <v>7.8</v>
      </c>
      <c r="H62" s="536" t="s">
        <v>227</v>
      </c>
      <c r="I62" s="545" t="s">
        <v>227</v>
      </c>
      <c r="K62" s="534">
        <v>7.8</v>
      </c>
      <c r="L62" s="537">
        <v>28</v>
      </c>
      <c r="M62" s="545">
        <v>670</v>
      </c>
      <c r="O62" s="534">
        <v>7.8</v>
      </c>
      <c r="P62" s="538" t="s">
        <v>227</v>
      </c>
      <c r="Q62" s="597" t="s">
        <v>227</v>
      </c>
    </row>
    <row r="63" spans="3:17" ht="15" customHeight="1">
      <c r="C63" s="336">
        <v>8</v>
      </c>
      <c r="D63" s="593" t="s">
        <v>227</v>
      </c>
      <c r="E63" s="593" t="s">
        <v>227</v>
      </c>
      <c r="G63" s="336">
        <v>8</v>
      </c>
      <c r="H63" s="337" t="s">
        <v>227</v>
      </c>
      <c r="I63" s="593" t="s">
        <v>227</v>
      </c>
      <c r="K63" s="336">
        <v>8</v>
      </c>
      <c r="L63" s="338" t="s">
        <v>227</v>
      </c>
      <c r="M63" s="593" t="s">
        <v>227</v>
      </c>
      <c r="O63" s="336">
        <v>8</v>
      </c>
      <c r="P63" s="352" t="s">
        <v>227</v>
      </c>
      <c r="Q63" s="616" t="s">
        <v>227</v>
      </c>
    </row>
    <row r="64" spans="3:17" ht="15.75" customHeight="1" thickBot="1">
      <c r="C64" s="604">
        <v>8.8000000000000007</v>
      </c>
      <c r="D64" s="605" t="s">
        <v>227</v>
      </c>
      <c r="E64" s="605" t="s">
        <v>227</v>
      </c>
      <c r="G64" s="604">
        <v>8.8000000000000007</v>
      </c>
      <c r="H64" s="606" t="s">
        <v>227</v>
      </c>
      <c r="I64" s="605" t="s">
        <v>227</v>
      </c>
      <c r="K64" s="604">
        <v>8.8000000000000007</v>
      </c>
      <c r="L64" s="607" t="s">
        <v>227</v>
      </c>
      <c r="M64" s="605" t="s">
        <v>227</v>
      </c>
      <c r="O64" s="604">
        <v>8.8000000000000007</v>
      </c>
      <c r="P64" s="608" t="s">
        <v>227</v>
      </c>
      <c r="Q64" s="617" t="s">
        <v>227</v>
      </c>
    </row>
    <row r="65" spans="3:17" ht="15.75" customHeight="1" thickBot="1">
      <c r="C65" s="362">
        <v>9</v>
      </c>
      <c r="D65" s="361" t="s">
        <v>227</v>
      </c>
      <c r="E65" s="361" t="s">
        <v>227</v>
      </c>
      <c r="F65" s="598"/>
      <c r="G65" s="362">
        <v>9</v>
      </c>
      <c r="H65" s="361" t="s">
        <v>227</v>
      </c>
      <c r="I65" s="361" t="s">
        <v>227</v>
      </c>
      <c r="J65" s="598"/>
      <c r="K65" s="362">
        <v>9</v>
      </c>
      <c r="L65" s="361" t="s">
        <v>227</v>
      </c>
      <c r="M65" s="361" t="s">
        <v>227</v>
      </c>
      <c r="N65" s="598"/>
      <c r="O65" s="362">
        <v>9</v>
      </c>
      <c r="P65" s="362" t="s">
        <v>227</v>
      </c>
      <c r="Q65" s="609" t="s">
        <v>227</v>
      </c>
    </row>
    <row r="66" spans="3:17" ht="15" customHeight="1">
      <c r="C66" s="643"/>
      <c r="D66" s="2"/>
      <c r="E66" s="2"/>
      <c r="G66" s="643"/>
      <c r="H66" s="2"/>
      <c r="I66" s="2"/>
      <c r="K66" s="643"/>
      <c r="L66" s="2"/>
      <c r="M66" s="2"/>
      <c r="O66" s="643"/>
      <c r="P66" s="643"/>
      <c r="Q66" s="140"/>
    </row>
    <row r="67" spans="3:17" ht="15" customHeight="1">
      <c r="C67" s="643"/>
      <c r="D67" s="2"/>
      <c r="E67" s="2"/>
      <c r="G67" s="643"/>
      <c r="H67" s="2"/>
      <c r="I67" s="2"/>
      <c r="K67" s="643"/>
      <c r="L67" s="2"/>
      <c r="M67" s="2"/>
      <c r="O67" s="643"/>
      <c r="P67" s="643"/>
      <c r="Q67" s="140"/>
    </row>
    <row r="68" spans="3:17" ht="15" customHeight="1">
      <c r="C68" s="643"/>
      <c r="D68" s="2"/>
      <c r="E68" s="2"/>
      <c r="G68" s="643"/>
      <c r="H68" s="2"/>
      <c r="I68" s="2"/>
      <c r="K68" s="643"/>
      <c r="L68" s="2"/>
      <c r="M68" s="2"/>
      <c r="O68" s="643"/>
      <c r="P68" s="643"/>
      <c r="Q68" s="140"/>
    </row>
    <row r="69" spans="3:17" ht="90.75" customHeight="1">
      <c r="C69" s="643"/>
      <c r="D69" s="2"/>
      <c r="E69" s="2"/>
      <c r="G69" s="643"/>
      <c r="H69" s="2"/>
      <c r="I69" s="2"/>
      <c r="K69" s="643"/>
      <c r="L69" s="2"/>
      <c r="M69" s="2"/>
      <c r="O69" s="643"/>
      <c r="P69" s="643"/>
      <c r="Q69" s="140"/>
    </row>
    <row r="71" spans="3:17" ht="36" customHeight="1" thickBot="1">
      <c r="D71" s="945" t="s">
        <v>289</v>
      </c>
      <c r="E71" s="879"/>
      <c r="F71" s="879"/>
      <c r="G71" s="879"/>
      <c r="H71" s="879"/>
      <c r="I71" s="879"/>
      <c r="J71" s="879"/>
      <c r="K71" s="879"/>
      <c r="L71" s="879"/>
      <c r="M71" s="879"/>
      <c r="N71" s="879"/>
      <c r="O71" s="879"/>
      <c r="P71" s="879"/>
      <c r="Q71" s="879"/>
    </row>
    <row r="72" spans="3:17" ht="13.15" customHeight="1">
      <c r="C72" s="947" t="s">
        <v>290</v>
      </c>
      <c r="D72" s="917"/>
      <c r="E72" s="917"/>
      <c r="F72" s="917"/>
      <c r="G72" s="917"/>
      <c r="H72" s="917"/>
      <c r="I72" s="917"/>
      <c r="J72" s="917"/>
      <c r="K72" s="917"/>
      <c r="L72" s="917"/>
      <c r="M72" s="917"/>
      <c r="N72" s="917"/>
      <c r="O72" s="917"/>
      <c r="P72" s="917"/>
      <c r="Q72" s="922"/>
    </row>
    <row r="73" spans="3:17" ht="13.9" customHeight="1" thickBot="1">
      <c r="C73" s="941"/>
      <c r="D73" s="918"/>
      <c r="E73" s="918"/>
      <c r="F73" s="918"/>
      <c r="G73" s="918"/>
      <c r="H73" s="918"/>
      <c r="I73" s="918"/>
      <c r="J73" s="918"/>
      <c r="K73" s="918"/>
      <c r="L73" s="918"/>
      <c r="M73" s="918"/>
      <c r="N73" s="918"/>
      <c r="O73" s="918"/>
      <c r="P73" s="918"/>
      <c r="Q73" s="942"/>
    </row>
    <row r="74" spans="3:17" ht="13.9" customHeight="1" thickBot="1">
      <c r="C74" s="937" t="s">
        <v>153</v>
      </c>
      <c r="D74" s="938"/>
      <c r="E74" s="939"/>
      <c r="G74" s="937" t="s">
        <v>155</v>
      </c>
      <c r="H74" s="938"/>
      <c r="I74" s="939"/>
      <c r="K74" s="937" t="s">
        <v>157</v>
      </c>
      <c r="L74" s="938"/>
      <c r="M74" s="939"/>
      <c r="O74" s="937" t="s">
        <v>159</v>
      </c>
      <c r="P74" s="938"/>
      <c r="Q74" s="939"/>
    </row>
    <row r="75" spans="3:17" ht="15" customHeight="1">
      <c r="C75" s="624" t="s">
        <v>29</v>
      </c>
      <c r="D75" s="625" t="s">
        <v>287</v>
      </c>
      <c r="E75" s="610" t="s">
        <v>184</v>
      </c>
      <c r="G75" s="624" t="s">
        <v>29</v>
      </c>
      <c r="H75" s="625" t="s">
        <v>287</v>
      </c>
      <c r="I75" s="610" t="s">
        <v>184</v>
      </c>
      <c r="K75" s="624" t="s">
        <v>29</v>
      </c>
      <c r="L75" s="625" t="s">
        <v>287</v>
      </c>
      <c r="M75" s="610" t="s">
        <v>184</v>
      </c>
      <c r="O75" s="624" t="s">
        <v>29</v>
      </c>
      <c r="P75" s="625" t="s">
        <v>287</v>
      </c>
      <c r="Q75" s="610" t="s">
        <v>184</v>
      </c>
    </row>
    <row r="76" spans="3:17" ht="15" customHeight="1">
      <c r="C76" s="31">
        <v>1</v>
      </c>
      <c r="D76" s="627">
        <v>3</v>
      </c>
      <c r="E76" s="618">
        <v>13</v>
      </c>
      <c r="F76" s="4"/>
      <c r="G76" s="31">
        <v>1</v>
      </c>
      <c r="H76" s="633">
        <v>4</v>
      </c>
      <c r="I76" s="618">
        <v>12</v>
      </c>
      <c r="J76" s="4"/>
      <c r="K76" s="31">
        <v>1</v>
      </c>
      <c r="L76" s="633">
        <v>2</v>
      </c>
      <c r="M76" s="618">
        <v>12</v>
      </c>
      <c r="N76" s="4"/>
      <c r="O76" s="31">
        <v>1</v>
      </c>
      <c r="P76" s="638">
        <v>3</v>
      </c>
      <c r="Q76" s="618">
        <v>13</v>
      </c>
    </row>
    <row r="77" spans="3:17" ht="15" customHeight="1">
      <c r="C77" s="599">
        <v>1.8</v>
      </c>
      <c r="D77" s="628">
        <v>5</v>
      </c>
      <c r="E77" s="611">
        <v>16</v>
      </c>
      <c r="G77" s="599">
        <v>1.8</v>
      </c>
      <c r="H77" s="634">
        <v>12</v>
      </c>
      <c r="I77" s="611">
        <v>28</v>
      </c>
      <c r="K77" s="599">
        <v>1.8</v>
      </c>
      <c r="L77" s="634">
        <v>4</v>
      </c>
      <c r="M77" s="611">
        <v>19</v>
      </c>
      <c r="O77" s="599">
        <v>1.8</v>
      </c>
      <c r="P77" s="639">
        <v>6</v>
      </c>
      <c r="Q77" s="611">
        <v>21</v>
      </c>
    </row>
    <row r="78" spans="3:17" ht="15" customHeight="1">
      <c r="C78" s="570">
        <v>2</v>
      </c>
      <c r="D78" s="629">
        <v>8</v>
      </c>
      <c r="E78" s="612">
        <v>23</v>
      </c>
      <c r="G78" s="570">
        <v>2</v>
      </c>
      <c r="H78" s="635">
        <v>17</v>
      </c>
      <c r="I78" s="612">
        <v>36</v>
      </c>
      <c r="K78" s="570">
        <v>2</v>
      </c>
      <c r="L78" s="635">
        <v>9</v>
      </c>
      <c r="M78" s="612">
        <v>27</v>
      </c>
      <c r="O78" s="570">
        <v>2</v>
      </c>
      <c r="P78" s="640">
        <v>8</v>
      </c>
      <c r="Q78" s="612">
        <v>26</v>
      </c>
    </row>
    <row r="79" spans="3:17" ht="15" customHeight="1">
      <c r="C79" s="534">
        <v>2.8</v>
      </c>
      <c r="D79" s="630">
        <v>17</v>
      </c>
      <c r="E79" s="597">
        <v>44</v>
      </c>
      <c r="G79" s="534">
        <v>2.8</v>
      </c>
      <c r="H79" s="630">
        <v>36</v>
      </c>
      <c r="I79" s="597">
        <v>70</v>
      </c>
      <c r="K79" s="534">
        <v>2.8</v>
      </c>
      <c r="L79" s="630">
        <v>16</v>
      </c>
      <c r="M79" s="597">
        <v>47</v>
      </c>
      <c r="O79" s="534">
        <v>2.8</v>
      </c>
      <c r="P79" s="641">
        <v>21</v>
      </c>
      <c r="Q79" s="597">
        <v>58</v>
      </c>
    </row>
    <row r="80" spans="3:17" ht="15" customHeight="1">
      <c r="C80" s="555">
        <v>3</v>
      </c>
      <c r="D80" s="631">
        <v>23</v>
      </c>
      <c r="E80" s="613">
        <v>60</v>
      </c>
      <c r="G80" s="555">
        <v>3</v>
      </c>
      <c r="H80" s="636">
        <v>44</v>
      </c>
      <c r="I80" s="613">
        <v>85</v>
      </c>
      <c r="K80" s="555">
        <v>3</v>
      </c>
      <c r="L80" s="636">
        <v>22</v>
      </c>
      <c r="M80" s="613">
        <v>62</v>
      </c>
      <c r="O80" s="555">
        <v>3</v>
      </c>
      <c r="P80" s="642">
        <v>27</v>
      </c>
      <c r="Q80" s="613">
        <v>70</v>
      </c>
    </row>
    <row r="81" spans="3:17" ht="15" customHeight="1">
      <c r="C81" s="534">
        <v>3.8</v>
      </c>
      <c r="D81" s="630">
        <v>39</v>
      </c>
      <c r="E81" s="597">
        <v>100</v>
      </c>
      <c r="G81" s="534">
        <v>3.8</v>
      </c>
      <c r="H81" s="621" t="s">
        <v>227</v>
      </c>
      <c r="I81" s="597" t="s">
        <v>227</v>
      </c>
      <c r="K81" s="534">
        <v>3.8</v>
      </c>
      <c r="L81" s="630">
        <v>41</v>
      </c>
      <c r="M81" s="597">
        <v>115</v>
      </c>
      <c r="O81" s="534">
        <v>3.8</v>
      </c>
      <c r="P81" s="641">
        <v>48</v>
      </c>
      <c r="Q81" s="597">
        <v>122</v>
      </c>
    </row>
    <row r="82" spans="3:17" ht="15" customHeight="1" thickBot="1">
      <c r="C82" s="619">
        <v>4</v>
      </c>
      <c r="D82" s="632">
        <v>50</v>
      </c>
      <c r="E82" s="620">
        <v>130</v>
      </c>
      <c r="F82" s="598"/>
      <c r="G82" s="619">
        <v>4</v>
      </c>
      <c r="H82" s="622" t="s">
        <v>227</v>
      </c>
      <c r="I82" s="620" t="s">
        <v>227</v>
      </c>
      <c r="J82" s="598"/>
      <c r="K82" s="619">
        <v>4</v>
      </c>
      <c r="L82" s="637">
        <v>50</v>
      </c>
      <c r="M82" s="620">
        <v>135</v>
      </c>
      <c r="N82" s="598"/>
      <c r="O82" s="619">
        <v>4</v>
      </c>
      <c r="P82" s="623" t="s">
        <v>227</v>
      </c>
      <c r="Q82" s="620" t="s">
        <v>227</v>
      </c>
    </row>
    <row r="83" spans="3:17" ht="36" customHeight="1" thickBot="1">
      <c r="D83" s="945" t="s">
        <v>289</v>
      </c>
      <c r="E83" s="879"/>
      <c r="F83" s="879"/>
      <c r="G83" s="879"/>
      <c r="H83" s="879"/>
      <c r="I83" s="879"/>
      <c r="J83" s="879"/>
      <c r="K83" s="879"/>
      <c r="L83" s="879"/>
      <c r="M83" s="879"/>
      <c r="N83" s="879"/>
      <c r="O83" s="879"/>
      <c r="P83" s="879"/>
      <c r="Q83" s="879"/>
    </row>
    <row r="84" spans="3:17" ht="13.15" customHeight="1">
      <c r="C84" s="944" t="s">
        <v>291</v>
      </c>
      <c r="D84" s="917"/>
      <c r="E84" s="917"/>
      <c r="F84" s="917"/>
      <c r="G84" s="917"/>
      <c r="H84" s="917"/>
      <c r="I84" s="917"/>
      <c r="J84" s="917"/>
      <c r="K84" s="917"/>
      <c r="L84" s="917"/>
      <c r="M84" s="917"/>
      <c r="N84" s="917"/>
      <c r="O84" s="917"/>
      <c r="P84" s="917"/>
      <c r="Q84" s="922"/>
    </row>
    <row r="85" spans="3:17" ht="13.9" customHeight="1" thickBot="1">
      <c r="C85" s="941"/>
      <c r="D85" s="918"/>
      <c r="E85" s="918"/>
      <c r="F85" s="918"/>
      <c r="G85" s="918"/>
      <c r="H85" s="918"/>
      <c r="I85" s="918"/>
      <c r="J85" s="918"/>
      <c r="K85" s="918"/>
      <c r="L85" s="918"/>
      <c r="M85" s="918"/>
      <c r="N85" s="918"/>
      <c r="O85" s="918"/>
      <c r="P85" s="918"/>
      <c r="Q85" s="942"/>
    </row>
    <row r="86" spans="3:17" ht="13.9" customHeight="1" thickBot="1">
      <c r="C86" s="937" t="s">
        <v>153</v>
      </c>
      <c r="D86" s="938"/>
      <c r="E86" s="939"/>
      <c r="G86" s="937" t="s">
        <v>155</v>
      </c>
      <c r="H86" s="938"/>
      <c r="I86" s="939"/>
      <c r="K86" s="937" t="s">
        <v>157</v>
      </c>
      <c r="L86" s="938"/>
      <c r="M86" s="939"/>
      <c r="O86" s="937" t="s">
        <v>159</v>
      </c>
      <c r="P86" s="938"/>
      <c r="Q86" s="939"/>
    </row>
    <row r="87" spans="3:17" ht="15" customHeight="1">
      <c r="C87" s="624" t="s">
        <v>29</v>
      </c>
      <c r="D87" s="625" t="s">
        <v>287</v>
      </c>
      <c r="E87" s="610" t="s">
        <v>184</v>
      </c>
      <c r="G87" s="624" t="s">
        <v>29</v>
      </c>
      <c r="H87" s="625" t="s">
        <v>287</v>
      </c>
      <c r="I87" s="610" t="s">
        <v>184</v>
      </c>
      <c r="K87" s="624" t="s">
        <v>29</v>
      </c>
      <c r="L87" s="625" t="s">
        <v>287</v>
      </c>
      <c r="M87" s="610" t="s">
        <v>184</v>
      </c>
      <c r="O87" s="624" t="s">
        <v>29</v>
      </c>
      <c r="P87" s="625" t="s">
        <v>287</v>
      </c>
      <c r="Q87" s="610" t="s">
        <v>184</v>
      </c>
    </row>
    <row r="88" spans="3:17" ht="15" customHeight="1">
      <c r="C88" s="31">
        <v>1</v>
      </c>
      <c r="D88" s="627">
        <v>3</v>
      </c>
      <c r="E88" s="618">
        <v>13</v>
      </c>
      <c r="F88" s="4"/>
      <c r="G88" s="31">
        <v>1</v>
      </c>
      <c r="H88" s="633">
        <v>4</v>
      </c>
      <c r="I88" s="618">
        <v>12</v>
      </c>
      <c r="J88" s="4"/>
      <c r="K88" s="31">
        <v>1</v>
      </c>
      <c r="L88" s="633">
        <v>2</v>
      </c>
      <c r="M88" s="618">
        <v>12</v>
      </c>
      <c r="N88" s="4"/>
      <c r="O88" s="31">
        <v>1</v>
      </c>
      <c r="P88" s="638">
        <v>3</v>
      </c>
      <c r="Q88" s="618">
        <v>13</v>
      </c>
    </row>
    <row r="89" spans="3:17" ht="15" customHeight="1">
      <c r="C89" s="599">
        <v>1.8</v>
      </c>
      <c r="D89" s="628">
        <v>5</v>
      </c>
      <c r="E89" s="611">
        <v>16</v>
      </c>
      <c r="G89" s="599">
        <v>1.8</v>
      </c>
      <c r="H89" s="634">
        <v>12</v>
      </c>
      <c r="I89" s="611">
        <v>28</v>
      </c>
      <c r="K89" s="599">
        <v>1.8</v>
      </c>
      <c r="L89" s="634">
        <v>4</v>
      </c>
      <c r="M89" s="611">
        <v>19</v>
      </c>
      <c r="O89" s="599">
        <v>1.8</v>
      </c>
      <c r="P89" s="639">
        <v>6</v>
      </c>
      <c r="Q89" s="611">
        <v>21</v>
      </c>
    </row>
    <row r="90" spans="3:17" ht="15" customHeight="1">
      <c r="C90" s="570">
        <v>2</v>
      </c>
      <c r="D90" s="629">
        <v>8</v>
      </c>
      <c r="E90" s="612">
        <v>23</v>
      </c>
      <c r="G90" s="570">
        <v>2</v>
      </c>
      <c r="H90" s="635">
        <v>17</v>
      </c>
      <c r="I90" s="612">
        <v>36</v>
      </c>
      <c r="K90" s="570">
        <v>2</v>
      </c>
      <c r="L90" s="635">
        <v>9</v>
      </c>
      <c r="M90" s="612">
        <v>27</v>
      </c>
      <c r="O90" s="570">
        <v>2</v>
      </c>
      <c r="P90" s="640">
        <v>8</v>
      </c>
      <c r="Q90" s="612">
        <v>26</v>
      </c>
    </row>
    <row r="91" spans="3:17" ht="15" customHeight="1">
      <c r="C91" s="534">
        <v>2.8</v>
      </c>
      <c r="D91" s="630">
        <v>17</v>
      </c>
      <c r="E91" s="597">
        <v>44</v>
      </c>
      <c r="G91" s="534">
        <v>2.8</v>
      </c>
      <c r="H91" s="630">
        <v>36</v>
      </c>
      <c r="I91" s="597">
        <v>70</v>
      </c>
      <c r="K91" s="534">
        <v>2.8</v>
      </c>
      <c r="L91" s="630">
        <v>16</v>
      </c>
      <c r="M91" s="597">
        <v>47</v>
      </c>
      <c r="O91" s="534">
        <v>2.8</v>
      </c>
      <c r="P91" s="641">
        <v>21</v>
      </c>
      <c r="Q91" s="597">
        <v>58</v>
      </c>
    </row>
    <row r="92" spans="3:17" ht="15" customHeight="1">
      <c r="C92" s="555">
        <v>3</v>
      </c>
      <c r="D92" s="631">
        <v>23</v>
      </c>
      <c r="E92" s="613">
        <v>60</v>
      </c>
      <c r="G92" s="555">
        <v>3</v>
      </c>
      <c r="H92" s="636">
        <v>44</v>
      </c>
      <c r="I92" s="613">
        <v>85</v>
      </c>
      <c r="K92" s="555">
        <v>3</v>
      </c>
      <c r="L92" s="636">
        <v>22</v>
      </c>
      <c r="M92" s="613">
        <v>62</v>
      </c>
      <c r="O92" s="555">
        <v>3</v>
      </c>
      <c r="P92" s="642">
        <v>27</v>
      </c>
      <c r="Q92" s="613">
        <v>70</v>
      </c>
    </row>
    <row r="93" spans="3:17" ht="15" customHeight="1">
      <c r="C93" s="534">
        <v>3.8</v>
      </c>
      <c r="D93" s="630">
        <v>39</v>
      </c>
      <c r="E93" s="597">
        <v>100</v>
      </c>
      <c r="G93" s="534">
        <v>3.8</v>
      </c>
      <c r="H93" s="621" t="s">
        <v>227</v>
      </c>
      <c r="I93" s="597" t="s">
        <v>227</v>
      </c>
      <c r="K93" s="534">
        <v>3.8</v>
      </c>
      <c r="L93" s="630">
        <v>41</v>
      </c>
      <c r="M93" s="597">
        <v>115</v>
      </c>
      <c r="O93" s="534">
        <v>3.8</v>
      </c>
      <c r="P93" s="641">
        <v>48</v>
      </c>
      <c r="Q93" s="597">
        <v>122</v>
      </c>
    </row>
    <row r="94" spans="3:17" ht="15" customHeight="1" thickBot="1">
      <c r="C94" s="619">
        <v>4</v>
      </c>
      <c r="D94" s="632">
        <v>50</v>
      </c>
      <c r="E94" s="620">
        <v>130</v>
      </c>
      <c r="F94" s="598"/>
      <c r="G94" s="619">
        <v>4</v>
      </c>
      <c r="H94" s="622" t="s">
        <v>227</v>
      </c>
      <c r="I94" s="620" t="s">
        <v>227</v>
      </c>
      <c r="J94" s="598"/>
      <c r="K94" s="619">
        <v>4</v>
      </c>
      <c r="L94" s="637">
        <v>50</v>
      </c>
      <c r="M94" s="620">
        <v>135</v>
      </c>
      <c r="N94" s="598"/>
      <c r="O94" s="619">
        <v>4</v>
      </c>
      <c r="P94" s="623" t="s">
        <v>227</v>
      </c>
      <c r="Q94" s="620" t="s">
        <v>227</v>
      </c>
    </row>
    <row r="98" s="644" customFormat="1"/>
    <row r="99" s="644" customFormat="1"/>
    <row r="100" s="644" customFormat="1"/>
    <row r="101" s="644" customFormat="1"/>
    <row r="102" s="644" customFormat="1"/>
    <row r="103" s="644" customFormat="1"/>
    <row r="104" s="644" customFormat="1"/>
    <row r="105" s="644" customFormat="1"/>
    <row r="106" s="644" customFormat="1"/>
    <row r="107" s="644" customFormat="1"/>
    <row r="108" s="644" customFormat="1"/>
    <row r="109" s="644" customFormat="1"/>
    <row r="110" s="644" customFormat="1"/>
    <row r="111" s="644" customFormat="1"/>
    <row r="112" s="644" customFormat="1"/>
    <row r="113" s="644" customFormat="1"/>
    <row r="114" s="644" customFormat="1"/>
    <row r="115" s="644" customFormat="1"/>
    <row r="116" s="644" customFormat="1"/>
    <row r="117" s="644" customFormat="1"/>
    <row r="118" s="644" customFormat="1"/>
    <row r="119" s="644" customFormat="1"/>
    <row r="120" s="644" customFormat="1"/>
    <row r="121" s="644" customFormat="1"/>
    <row r="122" s="644" customFormat="1"/>
    <row r="123" s="644" customFormat="1"/>
    <row r="124" s="644" customFormat="1"/>
    <row r="125" s="644" customFormat="1"/>
    <row r="126" s="644" customFormat="1"/>
    <row r="127" s="644" customFormat="1"/>
    <row r="128" s="644" customFormat="1"/>
    <row r="129" s="644" customFormat="1"/>
    <row r="130" s="644" customFormat="1"/>
    <row r="131" s="644" customFormat="1"/>
    <row r="132" s="644" customFormat="1"/>
    <row r="133" s="644" customFormat="1"/>
    <row r="134" s="644" customFormat="1"/>
    <row r="135" s="644" customFormat="1"/>
    <row r="136" s="644" customFormat="1"/>
    <row r="137" s="644" customFormat="1"/>
    <row r="138" s="644" customFormat="1"/>
    <row r="139" s="644" customFormat="1"/>
    <row r="140" s="644" customFormat="1"/>
    <row r="141" s="644" customFormat="1"/>
    <row r="142" s="644" customFormat="1"/>
    <row r="143" s="644" customFormat="1"/>
    <row r="144" s="644" customFormat="1"/>
    <row r="145" s="644" customFormat="1"/>
    <row r="146" s="644" customFormat="1"/>
    <row r="147" s="644" customFormat="1"/>
    <row r="148" s="644" customFormat="1"/>
    <row r="149" s="644" customFormat="1"/>
    <row r="150" s="644" customFormat="1"/>
    <row r="151" s="644" customFormat="1"/>
    <row r="152" s="644" customFormat="1"/>
    <row r="153" s="644" customFormat="1"/>
    <row r="154" s="644" customFormat="1"/>
    <row r="155" s="644" customFormat="1"/>
    <row r="156" s="644" customFormat="1"/>
    <row r="157" s="644" customFormat="1"/>
    <row r="158" s="644" customFormat="1"/>
    <row r="159" s="644" customFormat="1"/>
    <row r="160" s="644" customFormat="1"/>
    <row r="161" s="644" customFormat="1"/>
    <row r="162" s="644" customFormat="1"/>
    <row r="163" s="644" customFormat="1"/>
    <row r="164" s="644" customFormat="1"/>
    <row r="165" s="644" customFormat="1"/>
    <row r="166" s="644" customFormat="1"/>
    <row r="167" s="644" customFormat="1"/>
    <row r="168" s="644" customFormat="1"/>
    <row r="169" s="644" customFormat="1"/>
    <row r="170" s="644" customFormat="1"/>
    <row r="171" s="644" customFormat="1"/>
    <row r="172" s="644" customFormat="1"/>
    <row r="173" s="644" customFormat="1"/>
    <row r="174" s="644" customFormat="1"/>
    <row r="175" s="644" customFormat="1"/>
    <row r="176" s="644" customFormat="1"/>
    <row r="177" s="644" customFormat="1"/>
    <row r="178" s="644" customFormat="1"/>
    <row r="179" s="644" customFormat="1"/>
    <row r="180" s="644" customFormat="1"/>
    <row r="181" s="644" customFormat="1"/>
    <row r="182" s="644" customFormat="1"/>
    <row r="183" s="644" customFormat="1"/>
    <row r="184" s="644" customFormat="1"/>
    <row r="185" s="644" customFormat="1"/>
    <row r="186" s="644" customFormat="1"/>
    <row r="187" s="644" customFormat="1"/>
    <row r="188" s="644" customFormat="1"/>
    <row r="189" s="644" customFormat="1"/>
    <row r="190" s="644" customFormat="1"/>
    <row r="191" s="644" customFormat="1"/>
    <row r="192" s="644" customFormat="1"/>
    <row r="193" s="644" customFormat="1"/>
    <row r="194" s="644" customFormat="1"/>
    <row r="195" s="644" customFormat="1"/>
    <row r="196" s="644" customFormat="1"/>
    <row r="197" s="644" customFormat="1"/>
    <row r="198" s="644" customFormat="1"/>
    <row r="199" s="644" customFormat="1"/>
    <row r="200" s="644" customFormat="1"/>
    <row r="201" s="644" customFormat="1"/>
    <row r="202" s="644" customFormat="1"/>
    <row r="203" s="644" customFormat="1"/>
    <row r="204" s="644" customFormat="1"/>
    <row r="205" s="644" customFormat="1"/>
    <row r="206" s="644" customFormat="1"/>
    <row r="207" s="644" customFormat="1"/>
    <row r="208" s="644" customFormat="1"/>
    <row r="209" s="644" customFormat="1"/>
    <row r="210" s="644" customFormat="1"/>
    <row r="211" s="644" customFormat="1"/>
    <row r="212" s="644" customFormat="1"/>
    <row r="213" s="644" customFormat="1"/>
    <row r="214" s="644" customFormat="1"/>
    <row r="215" s="644" customFormat="1"/>
    <row r="216" s="644" customFormat="1"/>
    <row r="217" s="644" customFormat="1"/>
    <row r="218" s="644" customFormat="1"/>
    <row r="219" s="644" customFormat="1"/>
    <row r="220" s="644" customFormat="1"/>
    <row r="221" s="644" customFormat="1"/>
    <row r="222" s="644" customFormat="1"/>
    <row r="223" s="644" customFormat="1"/>
    <row r="224" s="644" customFormat="1"/>
    <row r="225" s="644" customFormat="1"/>
    <row r="226" s="644" customFormat="1"/>
    <row r="227" s="644" customFormat="1"/>
    <row r="228" s="644" customFormat="1"/>
    <row r="229" s="644" customFormat="1"/>
    <row r="230" s="644" customFormat="1"/>
    <row r="231" s="644" customFormat="1"/>
    <row r="232" s="644" customFormat="1"/>
    <row r="233" s="644" customFormat="1"/>
    <row r="234" s="644" customFormat="1"/>
    <row r="235" s="644" customFormat="1"/>
    <row r="236" s="644" customFormat="1"/>
    <row r="237" s="644" customFormat="1"/>
    <row r="238" s="644" customFormat="1"/>
    <row r="239" s="644" customFormat="1"/>
    <row r="240" s="644" customFormat="1"/>
    <row r="241" s="644" customFormat="1"/>
    <row r="242" s="644" customFormat="1"/>
    <row r="243" s="644" customFormat="1"/>
    <row r="244" s="644" customFormat="1"/>
    <row r="245" s="644" customFormat="1"/>
    <row r="246" s="644" customFormat="1"/>
    <row r="247" s="644" customFormat="1"/>
    <row r="248" s="644" customFormat="1"/>
    <row r="249" s="644" customFormat="1"/>
    <row r="250" s="644" customFormat="1"/>
    <row r="251" s="644" customFormat="1"/>
    <row r="252" s="644" customFormat="1"/>
    <row r="253" s="644" customFormat="1"/>
    <row r="254" s="644" customFormat="1"/>
    <row r="255" s="644" customFormat="1"/>
    <row r="256" s="644" customFormat="1"/>
    <row r="257" s="644" customFormat="1"/>
    <row r="258" s="644" customFormat="1"/>
    <row r="259" s="644" customFormat="1"/>
    <row r="260" s="644" customFormat="1"/>
    <row r="261" s="644" customFormat="1"/>
    <row r="262" s="644" customFormat="1"/>
    <row r="263" s="644" customFormat="1"/>
    <row r="264" s="644" customFormat="1"/>
    <row r="265" s="644" customFormat="1"/>
    <row r="266" s="644" customFormat="1"/>
    <row r="267" s="644" customFormat="1"/>
    <row r="268" s="644" customFormat="1"/>
    <row r="269" s="644" customFormat="1"/>
    <row r="270" s="644" customFormat="1"/>
    <row r="271" s="644" customFormat="1"/>
    <row r="272" s="644" customFormat="1"/>
    <row r="273" s="644" customFormat="1"/>
    <row r="274" s="644" customFormat="1"/>
    <row r="275" s="644" customFormat="1"/>
    <row r="276" s="644" customFormat="1"/>
    <row r="277" s="644" customFormat="1"/>
    <row r="278" s="644" customFormat="1"/>
    <row r="279" s="644" customFormat="1"/>
    <row r="280" s="644" customFormat="1"/>
    <row r="281" s="644" customFormat="1"/>
    <row r="282" s="644" customFormat="1"/>
    <row r="283" s="644" customFormat="1"/>
    <row r="284" s="644" customFormat="1"/>
    <row r="285" s="644" customFormat="1"/>
    <row r="286" s="644" customFormat="1"/>
    <row r="287" s="644" customFormat="1"/>
    <row r="288" s="644" customFormat="1"/>
    <row r="289" s="644" customFormat="1"/>
    <row r="290" s="644" customFormat="1"/>
    <row r="291" s="644" customFormat="1"/>
    <row r="292" s="644" customFormat="1"/>
    <row r="293" s="644" customFormat="1"/>
    <row r="294" s="644" customFormat="1"/>
    <row r="295" s="644" customFormat="1"/>
    <row r="296" s="644" customFormat="1"/>
    <row r="297" s="644" customFormat="1"/>
    <row r="298" s="644" customFormat="1"/>
    <row r="299" s="644" customFormat="1"/>
    <row r="300" s="644" customFormat="1"/>
    <row r="301" s="644" customFormat="1"/>
    <row r="302" s="644" customFormat="1"/>
    <row r="303" s="644" customFormat="1"/>
    <row r="304" s="644" customFormat="1"/>
    <row r="305" s="644" customFormat="1"/>
    <row r="306" s="644" customFormat="1"/>
    <row r="307" s="644" customFormat="1"/>
    <row r="308" s="644" customFormat="1"/>
    <row r="309" s="644" customFormat="1"/>
    <row r="310" s="644" customFormat="1"/>
    <row r="311" s="644" customFormat="1"/>
    <row r="312" s="644" customFormat="1"/>
    <row r="313" s="644" customFormat="1"/>
    <row r="314" s="644" customFormat="1"/>
    <row r="315" s="644" customFormat="1"/>
    <row r="316" s="644" customFormat="1"/>
    <row r="317" s="644" customFormat="1"/>
    <row r="318" s="644" customFormat="1"/>
    <row r="319" s="644" customFormat="1"/>
    <row r="320" s="644" customFormat="1"/>
    <row r="321" s="644" customFormat="1"/>
    <row r="322" s="644" customFormat="1"/>
    <row r="323" s="644" customFormat="1"/>
    <row r="324" s="644" customFormat="1"/>
    <row r="325" s="644" customFormat="1"/>
    <row r="326" s="644" customFormat="1"/>
    <row r="327" s="644" customFormat="1"/>
    <row r="328" s="644" customFormat="1"/>
    <row r="329" s="644" customFormat="1"/>
    <row r="330" s="644" customFormat="1"/>
    <row r="331" s="644" customFormat="1"/>
    <row r="332" s="644" customFormat="1"/>
    <row r="333" s="644" customFormat="1"/>
    <row r="334" s="644" customFormat="1"/>
    <row r="335" s="644" customFormat="1"/>
    <row r="336" s="644" customFormat="1"/>
    <row r="337" s="644" customFormat="1"/>
    <row r="338" s="644" customFormat="1"/>
    <row r="339" s="644" customFormat="1"/>
    <row r="340" s="644" customFormat="1"/>
    <row r="341" s="644" customFormat="1"/>
    <row r="342" s="644" customFormat="1"/>
    <row r="343" s="644" customFormat="1"/>
    <row r="344" s="644" customFormat="1"/>
    <row r="345" s="644" customFormat="1"/>
    <row r="346" s="644" customFormat="1"/>
    <row r="347" s="644" customFormat="1"/>
    <row r="348" s="644" customFormat="1"/>
    <row r="349" s="644" customFormat="1"/>
    <row r="350" s="644" customFormat="1"/>
    <row r="351" s="644" customFormat="1"/>
    <row r="352" s="644" customFormat="1"/>
    <row r="353" s="644" customFormat="1"/>
    <row r="354" s="644" customFormat="1"/>
    <row r="355" s="644" customFormat="1"/>
    <row r="356" s="644" customFormat="1"/>
    <row r="357" s="644" customFormat="1"/>
    <row r="358" s="644" customFormat="1"/>
    <row r="359" s="644" customFormat="1"/>
    <row r="360" s="644" customFormat="1"/>
    <row r="361" s="644" customFormat="1"/>
    <row r="362" s="644" customFormat="1"/>
    <row r="363" s="644" customFormat="1"/>
    <row r="364" s="644" customFormat="1"/>
    <row r="365" s="644" customFormat="1"/>
    <row r="366" s="644" customFormat="1"/>
    <row r="367" s="644" customFormat="1"/>
    <row r="368" s="644" customFormat="1"/>
    <row r="369" s="644" customFormat="1"/>
    <row r="370" s="644" customFormat="1"/>
    <row r="371" s="644" customFormat="1"/>
    <row r="372" s="644" customFormat="1"/>
    <row r="373" s="644" customFormat="1"/>
    <row r="374" s="644" customFormat="1"/>
    <row r="375" s="644" customFormat="1"/>
    <row r="376" s="644" customFormat="1"/>
    <row r="377" s="644" customFormat="1"/>
    <row r="378" s="644" customFormat="1"/>
    <row r="379" s="644" customFormat="1"/>
    <row r="380" s="644" customFormat="1"/>
    <row r="381" s="644" customFormat="1"/>
    <row r="382" s="644" customFormat="1"/>
    <row r="383" s="644" customFormat="1"/>
    <row r="384" s="644" customFormat="1"/>
    <row r="385" s="644" customFormat="1"/>
    <row r="386" s="644" customFormat="1"/>
    <row r="387" s="644" customFormat="1"/>
    <row r="388" s="644" customFormat="1"/>
    <row r="389" s="644" customFormat="1"/>
    <row r="390" s="644" customFormat="1"/>
    <row r="391" s="644" customFormat="1"/>
    <row r="392" s="644" customFormat="1"/>
    <row r="393" s="644" customFormat="1"/>
    <row r="394" s="644" customFormat="1"/>
    <row r="395" s="644" customFormat="1"/>
    <row r="396" s="644" customFormat="1"/>
    <row r="397" s="644" customFormat="1"/>
    <row r="398" s="644" customFormat="1"/>
    <row r="399" s="644" customFormat="1"/>
    <row r="400" s="644" customFormat="1"/>
    <row r="401" s="644" customFormat="1"/>
    <row r="402" s="644" customFormat="1"/>
    <row r="403" s="644" customFormat="1"/>
    <row r="404" s="644" customFormat="1"/>
    <row r="405" s="644" customFormat="1"/>
    <row r="406" s="644" customFormat="1"/>
    <row r="407" s="644" customFormat="1"/>
    <row r="408" s="644" customFormat="1"/>
    <row r="409" s="644" customFormat="1"/>
    <row r="410" s="644" customFormat="1"/>
    <row r="411" s="644" customFormat="1"/>
    <row r="412" s="644" customFormat="1"/>
    <row r="413" s="644" customFormat="1"/>
    <row r="414" s="644" customFormat="1"/>
    <row r="415" s="644" customFormat="1"/>
    <row r="416" s="644" customFormat="1"/>
    <row r="417" s="644" customFormat="1"/>
    <row r="418" s="644" customFormat="1"/>
    <row r="419" s="644" customFormat="1"/>
    <row r="420" s="644" customFormat="1"/>
    <row r="421" s="644" customFormat="1"/>
    <row r="422" s="644" customFormat="1"/>
    <row r="423" s="644" customFormat="1"/>
    <row r="424" s="644" customFormat="1"/>
    <row r="425" s="644" customFormat="1"/>
    <row r="426" s="644" customFormat="1"/>
    <row r="427" s="644" customFormat="1"/>
    <row r="428" s="644" customFormat="1"/>
    <row r="429" s="644" customFormat="1"/>
    <row r="430" s="644" customFormat="1"/>
    <row r="431" s="644" customFormat="1"/>
    <row r="432" s="644" customFormat="1"/>
    <row r="433" s="644" customFormat="1"/>
    <row r="434" s="644" customFormat="1"/>
    <row r="435" s="644" customFormat="1"/>
    <row r="436" s="644" customFormat="1"/>
    <row r="437" s="644" customFormat="1"/>
    <row r="438" s="644" customFormat="1"/>
    <row r="439" s="644" customFormat="1"/>
    <row r="440" s="644" customFormat="1"/>
    <row r="441" s="644" customFormat="1"/>
    <row r="442" s="644" customFormat="1"/>
    <row r="443" s="644" customFormat="1"/>
    <row r="444" s="644" customFormat="1"/>
    <row r="445" s="644" customFormat="1"/>
    <row r="446" s="644" customFormat="1"/>
    <row r="447" s="644" customFormat="1"/>
    <row r="448" s="644" customFormat="1"/>
    <row r="449" s="644" customFormat="1"/>
    <row r="450" s="644" customFormat="1"/>
    <row r="451" s="644" customFormat="1"/>
    <row r="452" s="644" customFormat="1"/>
  </sheetData>
  <mergeCells count="25">
    <mergeCell ref="A2:B3"/>
    <mergeCell ref="C1:W1"/>
    <mergeCell ref="C72:Q73"/>
    <mergeCell ref="O26:Q26"/>
    <mergeCell ref="G74:I74"/>
    <mergeCell ref="O74:Q74"/>
    <mergeCell ref="C26:E26"/>
    <mergeCell ref="G48:I48"/>
    <mergeCell ref="K26:M26"/>
    <mergeCell ref="K86:M86"/>
    <mergeCell ref="C24:Q25"/>
    <mergeCell ref="C48:E48"/>
    <mergeCell ref="G26:I26"/>
    <mergeCell ref="C23:Q23"/>
    <mergeCell ref="K48:M48"/>
    <mergeCell ref="O48:Q48"/>
    <mergeCell ref="C84:Q85"/>
    <mergeCell ref="C86:E86"/>
    <mergeCell ref="K74:M74"/>
    <mergeCell ref="G86:I86"/>
    <mergeCell ref="O86:Q86"/>
    <mergeCell ref="D71:Q71"/>
    <mergeCell ref="C74:E74"/>
    <mergeCell ref="C46:Q47"/>
    <mergeCell ref="D83:Q83"/>
  </mergeCells>
  <pageMargins left="0.39370078740157483" right="0" top="0" bottom="0" header="0" footer="0"/>
  <pageSetup paperSize="9" orientation="portrait" horizontalDpi="4294967293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Q263"/>
  <sheetViews>
    <sheetView showGridLines="0" zoomScale="78" zoomScaleNormal="78" workbookViewId="0">
      <selection activeCell="E8" sqref="E8"/>
    </sheetView>
  </sheetViews>
  <sheetFormatPr defaultColWidth="9.140625" defaultRowHeight="12.75"/>
  <cols>
    <col min="1" max="1" width="5" style="767" customWidth="1"/>
    <col min="2" max="2" width="7.42578125" style="837" customWidth="1"/>
    <col min="3" max="3" width="7.140625" style="838" customWidth="1"/>
    <col min="4" max="4" width="5.42578125" style="839" hidden="1" customWidth="1"/>
    <col min="5" max="5" width="32.42578125" style="840" customWidth="1"/>
    <col min="6" max="6" width="11.85546875" style="841" customWidth="1"/>
    <col min="7" max="7" width="6.42578125" style="820" customWidth="1"/>
    <col min="8" max="8" width="12.7109375" style="842" customWidth="1"/>
    <col min="9" max="9" width="7.28515625" style="767" customWidth="1"/>
    <col min="10" max="10" width="7.85546875" style="782" customWidth="1"/>
    <col min="11" max="11" width="7.7109375" style="843" customWidth="1"/>
    <col min="12" max="12" width="7.5703125" style="768" customWidth="1"/>
    <col min="13" max="13" width="7.5703125" style="769" customWidth="1"/>
    <col min="14" max="14" width="7.5703125" style="770" customWidth="1"/>
    <col min="15" max="15" width="7.5703125" style="768" customWidth="1"/>
    <col min="16" max="16" width="7.5703125" style="770" customWidth="1"/>
    <col min="17" max="17" width="7.5703125" style="768" customWidth="1"/>
    <col min="18" max="18" width="7.5703125" style="770" customWidth="1"/>
    <col min="19" max="19" width="7.5703125" style="768" customWidth="1"/>
    <col min="20" max="20" width="7.5703125" style="770" customWidth="1"/>
    <col min="21" max="21" width="7.5703125" style="768" customWidth="1"/>
    <col min="22" max="22" width="7.5703125" style="770" customWidth="1"/>
    <col min="23" max="23" width="7.5703125" style="768" customWidth="1"/>
    <col min="24" max="24" width="7.5703125" style="770" customWidth="1"/>
    <col min="25" max="25" width="7.5703125" style="768" customWidth="1"/>
    <col min="26" max="26" width="7.5703125" style="770" customWidth="1"/>
    <col min="27" max="27" width="7.5703125" style="768" customWidth="1"/>
    <col min="28" max="28" width="7.5703125" style="770" customWidth="1"/>
    <col min="29" max="29" width="7.5703125" style="768" customWidth="1"/>
    <col min="30" max="30" width="7.5703125" style="770" customWidth="1"/>
    <col min="31" max="38" width="9.7109375" style="767" customWidth="1"/>
    <col min="39" max="39" width="21.28515625" style="767" customWidth="1"/>
    <col min="40" max="41" width="9.7109375" style="767" customWidth="1"/>
    <col min="42" max="42" width="1.28515625" style="767" customWidth="1"/>
    <col min="43" max="43" width="8.42578125" style="767" customWidth="1"/>
    <col min="44" max="200" width="9.7109375" style="767" customWidth="1"/>
    <col min="201" max="968" width="12.28515625" style="767" customWidth="1"/>
    <col min="969" max="969" width="10.28515625" style="767" customWidth="1"/>
    <col min="970" max="997" width="9.140625" style="767" customWidth="1"/>
    <col min="998" max="16384" width="9.140625" style="767"/>
  </cols>
  <sheetData>
    <row r="1" spans="1:43" ht="5.25" customHeight="1">
      <c r="B1" s="948"/>
      <c r="C1" s="846"/>
      <c r="D1" s="846"/>
      <c r="E1" s="846"/>
      <c r="F1" s="846"/>
      <c r="G1" s="846"/>
      <c r="H1" s="846"/>
      <c r="I1" s="846"/>
      <c r="J1" s="846"/>
      <c r="K1" s="846"/>
    </row>
    <row r="2" spans="1:43" s="74" customFormat="1" ht="14.25" hidden="1" customHeight="1">
      <c r="B2" s="771">
        <v>181</v>
      </c>
      <c r="C2" s="772"/>
      <c r="D2" s="771" t="s">
        <v>292</v>
      </c>
      <c r="E2" s="773">
        <v>0.33</v>
      </c>
      <c r="F2" s="773"/>
      <c r="G2" s="774"/>
      <c r="H2" s="775">
        <v>181</v>
      </c>
      <c r="I2" s="773">
        <v>0.75</v>
      </c>
      <c r="J2" s="776"/>
      <c r="K2" s="775" t="s">
        <v>293</v>
      </c>
      <c r="L2" s="777"/>
      <c r="M2" s="777" t="s">
        <v>294</v>
      </c>
      <c r="N2" s="777"/>
      <c r="O2" s="777"/>
      <c r="P2" s="777"/>
      <c r="Q2" s="777"/>
      <c r="R2" s="777"/>
      <c r="S2" s="777"/>
      <c r="T2" s="777"/>
      <c r="U2" s="777"/>
      <c r="V2" s="777"/>
      <c r="W2" s="777"/>
      <c r="X2" s="777"/>
      <c r="Y2" s="777"/>
      <c r="Z2" s="777"/>
      <c r="AA2" s="777"/>
      <c r="AB2" s="777"/>
      <c r="AC2" s="777"/>
      <c r="AD2" s="777"/>
      <c r="AE2" s="767"/>
      <c r="AF2" s="767"/>
    </row>
    <row r="3" spans="1:43" s="74" customFormat="1" ht="7.5" customHeight="1" thickBot="1">
      <c r="B3" s="778">
        <v>137</v>
      </c>
      <c r="C3" s="779"/>
      <c r="D3" s="780" t="s">
        <v>295</v>
      </c>
      <c r="E3" s="781">
        <v>0.16</v>
      </c>
      <c r="F3" s="773"/>
      <c r="G3" s="774"/>
      <c r="H3" s="775">
        <v>137</v>
      </c>
      <c r="I3" s="773">
        <v>0.5</v>
      </c>
      <c r="J3" s="782">
        <v>15</v>
      </c>
      <c r="K3" s="777"/>
      <c r="L3" s="777"/>
      <c r="M3" s="777"/>
      <c r="N3" s="777"/>
      <c r="O3" s="777"/>
      <c r="P3" s="777"/>
      <c r="Q3" s="777"/>
      <c r="R3" s="777"/>
      <c r="S3" s="777"/>
      <c r="T3" s="777"/>
      <c r="U3" s="777"/>
      <c r="V3" s="777"/>
      <c r="W3" s="777"/>
      <c r="X3" s="777"/>
      <c r="Y3" s="777"/>
      <c r="Z3" s="777"/>
      <c r="AA3" s="777"/>
      <c r="AB3" s="777"/>
      <c r="AC3" s="777"/>
      <c r="AD3" s="777"/>
      <c r="AE3" s="767"/>
      <c r="AF3" s="767"/>
    </row>
    <row r="4" spans="1:43" s="240" customFormat="1" ht="60.75" customHeight="1">
      <c r="A4" s="783"/>
      <c r="B4" s="784" t="s">
        <v>296</v>
      </c>
      <c r="C4" s="785" t="s">
        <v>297</v>
      </c>
      <c r="D4" s="786" t="s">
        <v>298</v>
      </c>
      <c r="E4" s="787" t="s">
        <v>299</v>
      </c>
      <c r="F4" s="788" t="s">
        <v>298</v>
      </c>
      <c r="G4" s="789" t="s">
        <v>300</v>
      </c>
      <c r="H4" s="790"/>
      <c r="I4" s="791"/>
      <c r="J4" s="792"/>
      <c r="K4" s="793"/>
      <c r="L4" s="793"/>
      <c r="M4" s="794"/>
      <c r="N4" s="795"/>
      <c r="O4" s="794" t="s">
        <v>301</v>
      </c>
      <c r="P4" s="795" t="s">
        <v>302</v>
      </c>
      <c r="Q4" s="794" t="s">
        <v>303</v>
      </c>
      <c r="R4" s="795" t="s">
        <v>304</v>
      </c>
      <c r="S4" s="794" t="s">
        <v>305</v>
      </c>
      <c r="T4" s="795" t="s">
        <v>306</v>
      </c>
      <c r="U4" s="794" t="s">
        <v>307</v>
      </c>
      <c r="V4" s="795" t="s">
        <v>308</v>
      </c>
      <c r="W4" s="794" t="s">
        <v>309</v>
      </c>
      <c r="X4" s="795" t="s">
        <v>310</v>
      </c>
      <c r="Y4" s="794" t="s">
        <v>311</v>
      </c>
      <c r="Z4" s="795" t="s">
        <v>312</v>
      </c>
      <c r="AA4" s="794" t="s">
        <v>313</v>
      </c>
      <c r="AB4" s="795" t="s">
        <v>314</v>
      </c>
      <c r="AC4" s="794" t="s">
        <v>315</v>
      </c>
      <c r="AD4" s="795" t="s">
        <v>316</v>
      </c>
      <c r="AE4" s="791" t="s">
        <v>102</v>
      </c>
      <c r="AF4" s="791" t="s">
        <v>103</v>
      </c>
    </row>
    <row r="5" spans="1:43" s="240" customFormat="1" ht="15" customHeight="1">
      <c r="A5" s="796"/>
      <c r="B5" s="797" t="s">
        <v>317</v>
      </c>
      <c r="C5" s="798" t="s">
        <v>317</v>
      </c>
      <c r="D5" s="799" t="s">
        <v>317</v>
      </c>
      <c r="E5" s="800" t="s">
        <v>318</v>
      </c>
      <c r="F5" s="801" t="s">
        <v>317</v>
      </c>
      <c r="G5" s="789"/>
      <c r="H5" s="790"/>
      <c r="I5" s="791"/>
      <c r="J5" s="792"/>
      <c r="K5" s="793"/>
      <c r="L5" s="793"/>
      <c r="M5" s="794"/>
      <c r="N5" s="795"/>
      <c r="O5" s="794"/>
      <c r="P5" s="795"/>
      <c r="Q5" s="794"/>
      <c r="R5" s="795"/>
      <c r="S5" s="794"/>
      <c r="T5" s="795"/>
      <c r="U5" s="794"/>
      <c r="V5" s="795"/>
      <c r="W5" s="794"/>
      <c r="X5" s="795"/>
      <c r="Y5" s="794"/>
      <c r="Z5" s="795"/>
      <c r="AA5" s="794"/>
      <c r="AB5" s="795"/>
      <c r="AC5" s="794"/>
      <c r="AD5" s="795"/>
      <c r="AE5" s="791"/>
      <c r="AF5" s="791"/>
    </row>
    <row r="6" spans="1:43" s="74" customFormat="1">
      <c r="A6" s="802"/>
      <c r="B6" s="797">
        <v>1</v>
      </c>
      <c r="C6" s="798">
        <v>1.3</v>
      </c>
      <c r="D6" s="803" t="s">
        <v>319</v>
      </c>
      <c r="E6" s="800" t="s">
        <v>101</v>
      </c>
      <c r="F6" s="804" t="s">
        <v>319</v>
      </c>
      <c r="G6" s="805">
        <v>38.46153846153846</v>
      </c>
      <c r="H6" s="806">
        <v>0.5</v>
      </c>
      <c r="I6" s="807">
        <v>0.8</v>
      </c>
      <c r="J6" s="808">
        <v>5.7692307692307683</v>
      </c>
      <c r="K6" s="809" t="s">
        <v>320</v>
      </c>
      <c r="L6" s="810">
        <v>1.3</v>
      </c>
      <c r="M6" s="810">
        <v>0.5</v>
      </c>
      <c r="N6" s="811">
        <v>0.8</v>
      </c>
      <c r="O6" s="812">
        <v>0</v>
      </c>
      <c r="P6" s="811">
        <v>0</v>
      </c>
      <c r="Q6" s="812">
        <v>0</v>
      </c>
      <c r="R6" s="811">
        <v>0</v>
      </c>
      <c r="S6" s="812">
        <v>0</v>
      </c>
      <c r="T6" s="811">
        <v>0</v>
      </c>
      <c r="U6" s="812">
        <v>0</v>
      </c>
      <c r="V6" s="811">
        <v>0</v>
      </c>
      <c r="W6" s="812">
        <v>0</v>
      </c>
      <c r="X6" s="811">
        <v>0</v>
      </c>
      <c r="Y6" s="812">
        <v>0</v>
      </c>
      <c r="Z6" s="811">
        <v>0</v>
      </c>
      <c r="AA6" s="812">
        <v>0</v>
      </c>
      <c r="AB6" s="811">
        <v>0</v>
      </c>
      <c r="AC6" s="812">
        <v>0</v>
      </c>
      <c r="AD6" s="811">
        <v>0</v>
      </c>
      <c r="AE6" s="807">
        <v>0.5</v>
      </c>
      <c r="AF6" s="807">
        <v>0.8</v>
      </c>
      <c r="AL6" s="813">
        <v>1</v>
      </c>
      <c r="AQ6" s="74" t="s">
        <v>320</v>
      </c>
    </row>
    <row r="7" spans="1:43" s="74" customFormat="1">
      <c r="A7" s="802"/>
      <c r="B7" s="797">
        <v>1</v>
      </c>
      <c r="C7" s="798">
        <v>1.5</v>
      </c>
      <c r="D7" s="814" t="s">
        <v>321</v>
      </c>
      <c r="E7" s="800" t="s">
        <v>322</v>
      </c>
      <c r="F7" s="815" t="s">
        <v>321</v>
      </c>
      <c r="G7" s="816">
        <v>13.33333333333333</v>
      </c>
      <c r="H7" s="806">
        <v>0.2</v>
      </c>
      <c r="I7" s="807">
        <v>1.3</v>
      </c>
      <c r="J7" s="808">
        <v>2</v>
      </c>
      <c r="K7" s="809" t="s">
        <v>320</v>
      </c>
      <c r="L7" s="810">
        <v>1.5</v>
      </c>
      <c r="M7" s="810">
        <v>0.2</v>
      </c>
      <c r="N7" s="811">
        <v>1.3</v>
      </c>
      <c r="O7" s="812">
        <v>0</v>
      </c>
      <c r="P7" s="811">
        <v>0</v>
      </c>
      <c r="Q7" s="812">
        <v>0</v>
      </c>
      <c r="R7" s="811">
        <v>0</v>
      </c>
      <c r="S7" s="812">
        <v>0</v>
      </c>
      <c r="T7" s="811">
        <v>0</v>
      </c>
      <c r="U7" s="812">
        <v>0</v>
      </c>
      <c r="V7" s="811">
        <v>0</v>
      </c>
      <c r="W7" s="812">
        <v>0</v>
      </c>
      <c r="X7" s="811">
        <v>0</v>
      </c>
      <c r="Y7" s="812">
        <v>0</v>
      </c>
      <c r="Z7" s="811">
        <v>0</v>
      </c>
      <c r="AA7" s="812">
        <v>0</v>
      </c>
      <c r="AB7" s="811">
        <v>0</v>
      </c>
      <c r="AC7" s="812">
        <v>0</v>
      </c>
      <c r="AD7" s="811">
        <v>0</v>
      </c>
      <c r="AE7" s="807">
        <v>0.2</v>
      </c>
      <c r="AF7" s="807">
        <v>1.3</v>
      </c>
      <c r="AL7" s="813">
        <v>1</v>
      </c>
      <c r="AQ7" s="74" t="s">
        <v>320</v>
      </c>
    </row>
    <row r="8" spans="1:43" s="74" customFormat="1">
      <c r="A8" s="802"/>
      <c r="B8" s="797">
        <v>1</v>
      </c>
      <c r="C8" s="798">
        <v>1.5</v>
      </c>
      <c r="D8" s="803" t="s">
        <v>323</v>
      </c>
      <c r="E8" s="844" t="s">
        <v>324</v>
      </c>
      <c r="F8" s="804" t="s">
        <v>323</v>
      </c>
      <c r="G8" s="805">
        <v>20</v>
      </c>
      <c r="H8" s="806">
        <v>0.3</v>
      </c>
      <c r="I8" s="807">
        <v>1.2</v>
      </c>
      <c r="J8" s="808">
        <v>3</v>
      </c>
      <c r="K8" s="809" t="s">
        <v>320</v>
      </c>
      <c r="L8" s="810">
        <v>1.5</v>
      </c>
      <c r="M8" s="810">
        <v>0.3</v>
      </c>
      <c r="N8" s="811">
        <v>1.2</v>
      </c>
      <c r="O8" s="812">
        <v>0</v>
      </c>
      <c r="P8" s="811">
        <v>0</v>
      </c>
      <c r="Q8" s="812">
        <v>0</v>
      </c>
      <c r="R8" s="811">
        <v>0</v>
      </c>
      <c r="S8" s="812">
        <v>0</v>
      </c>
      <c r="T8" s="811">
        <v>0</v>
      </c>
      <c r="U8" s="812">
        <v>0</v>
      </c>
      <c r="V8" s="811">
        <v>0</v>
      </c>
      <c r="W8" s="812">
        <v>0</v>
      </c>
      <c r="X8" s="811">
        <v>0</v>
      </c>
      <c r="Y8" s="812">
        <v>0</v>
      </c>
      <c r="Z8" s="811">
        <v>0</v>
      </c>
      <c r="AA8" s="812">
        <v>0</v>
      </c>
      <c r="AB8" s="811">
        <v>0</v>
      </c>
      <c r="AC8" s="812">
        <v>0</v>
      </c>
      <c r="AD8" s="811">
        <v>0</v>
      </c>
      <c r="AE8" s="807">
        <v>0.3</v>
      </c>
      <c r="AF8" s="807">
        <v>1.2</v>
      </c>
      <c r="AL8" s="813">
        <v>1</v>
      </c>
      <c r="AQ8" s="74" t="s">
        <v>320</v>
      </c>
    </row>
    <row r="9" spans="1:43" s="74" customFormat="1">
      <c r="A9" s="802"/>
      <c r="B9" s="797">
        <v>1</v>
      </c>
      <c r="C9" s="798">
        <v>1.5</v>
      </c>
      <c r="D9" s="814" t="s">
        <v>325</v>
      </c>
      <c r="E9" s="800" t="s">
        <v>326</v>
      </c>
      <c r="F9" s="815" t="s">
        <v>325</v>
      </c>
      <c r="G9" s="816">
        <v>26.666666666666671</v>
      </c>
      <c r="H9" s="806">
        <v>0.4</v>
      </c>
      <c r="I9" s="807">
        <v>1.1000000000000001</v>
      </c>
      <c r="J9" s="808">
        <v>4</v>
      </c>
      <c r="K9" s="809" t="s">
        <v>320</v>
      </c>
      <c r="L9" s="810">
        <v>1.5</v>
      </c>
      <c r="M9" s="810">
        <v>0.4</v>
      </c>
      <c r="N9" s="811">
        <v>1.1000000000000001</v>
      </c>
      <c r="O9" s="812">
        <v>0</v>
      </c>
      <c r="P9" s="811">
        <v>0</v>
      </c>
      <c r="Q9" s="812">
        <v>0</v>
      </c>
      <c r="R9" s="811">
        <v>0</v>
      </c>
      <c r="S9" s="812">
        <v>0</v>
      </c>
      <c r="T9" s="811">
        <v>0</v>
      </c>
      <c r="U9" s="812">
        <v>0</v>
      </c>
      <c r="V9" s="811">
        <v>0</v>
      </c>
      <c r="W9" s="812">
        <v>0</v>
      </c>
      <c r="X9" s="811">
        <v>0</v>
      </c>
      <c r="Y9" s="812">
        <v>0</v>
      </c>
      <c r="Z9" s="811">
        <v>0</v>
      </c>
      <c r="AA9" s="812">
        <v>0</v>
      </c>
      <c r="AB9" s="811">
        <v>0</v>
      </c>
      <c r="AC9" s="812">
        <v>0</v>
      </c>
      <c r="AD9" s="811">
        <v>0</v>
      </c>
      <c r="AE9" s="807">
        <v>0.4</v>
      </c>
      <c r="AF9" s="807">
        <v>1.1000000000000001</v>
      </c>
      <c r="AL9" s="813">
        <v>1</v>
      </c>
      <c r="AQ9" s="74" t="s">
        <v>320</v>
      </c>
    </row>
    <row r="10" spans="1:43" s="74" customFormat="1">
      <c r="A10" s="802"/>
      <c r="B10" s="797">
        <v>1</v>
      </c>
      <c r="C10" s="798">
        <v>1.5</v>
      </c>
      <c r="D10" s="803" t="s">
        <v>327</v>
      </c>
      <c r="E10" s="800" t="s">
        <v>328</v>
      </c>
      <c r="F10" s="804" t="s">
        <v>327</v>
      </c>
      <c r="G10" s="805">
        <v>33.333333333333329</v>
      </c>
      <c r="H10" s="806">
        <v>0.5</v>
      </c>
      <c r="I10" s="807">
        <v>1</v>
      </c>
      <c r="J10" s="808">
        <v>4.9999999999999991</v>
      </c>
      <c r="K10" s="809" t="s">
        <v>320</v>
      </c>
      <c r="L10" s="810">
        <v>1.5</v>
      </c>
      <c r="M10" s="810">
        <v>0.5</v>
      </c>
      <c r="N10" s="811">
        <v>1</v>
      </c>
      <c r="O10" s="812">
        <v>0</v>
      </c>
      <c r="P10" s="811">
        <v>0</v>
      </c>
      <c r="Q10" s="812">
        <v>0</v>
      </c>
      <c r="R10" s="811">
        <v>0</v>
      </c>
      <c r="S10" s="812">
        <v>0</v>
      </c>
      <c r="T10" s="811">
        <v>0</v>
      </c>
      <c r="U10" s="812">
        <v>0</v>
      </c>
      <c r="V10" s="811">
        <v>0</v>
      </c>
      <c r="W10" s="812">
        <v>0</v>
      </c>
      <c r="X10" s="811">
        <v>0</v>
      </c>
      <c r="Y10" s="812">
        <v>0</v>
      </c>
      <c r="Z10" s="811">
        <v>0</v>
      </c>
      <c r="AA10" s="812">
        <v>0</v>
      </c>
      <c r="AB10" s="811">
        <v>0</v>
      </c>
      <c r="AC10" s="812">
        <v>0</v>
      </c>
      <c r="AD10" s="811">
        <v>0</v>
      </c>
      <c r="AE10" s="807">
        <v>0.5</v>
      </c>
      <c r="AF10" s="807">
        <v>1</v>
      </c>
      <c r="AL10" s="813">
        <v>1</v>
      </c>
      <c r="AQ10" s="74" t="s">
        <v>320</v>
      </c>
    </row>
    <row r="11" spans="1:43" s="74" customFormat="1">
      <c r="A11" s="802"/>
      <c r="B11" s="797">
        <v>1</v>
      </c>
      <c r="C11" s="798">
        <v>2</v>
      </c>
      <c r="D11" s="814" t="s">
        <v>329</v>
      </c>
      <c r="E11" s="800" t="s">
        <v>330</v>
      </c>
      <c r="F11" s="815" t="s">
        <v>329</v>
      </c>
      <c r="G11" s="816">
        <v>10</v>
      </c>
      <c r="H11" s="806">
        <v>0.2</v>
      </c>
      <c r="I11" s="807">
        <v>1.8</v>
      </c>
      <c r="J11" s="808">
        <v>1.5</v>
      </c>
      <c r="K11" s="809" t="s">
        <v>320</v>
      </c>
      <c r="L11" s="810">
        <v>2</v>
      </c>
      <c r="M11" s="810">
        <v>0.2</v>
      </c>
      <c r="N11" s="811">
        <v>1.8</v>
      </c>
      <c r="O11" s="812">
        <v>0</v>
      </c>
      <c r="P11" s="811">
        <v>0</v>
      </c>
      <c r="Q11" s="812">
        <v>0</v>
      </c>
      <c r="R11" s="811">
        <v>0</v>
      </c>
      <c r="S11" s="812">
        <v>0</v>
      </c>
      <c r="T11" s="811">
        <v>0</v>
      </c>
      <c r="U11" s="812">
        <v>0</v>
      </c>
      <c r="V11" s="811">
        <v>0</v>
      </c>
      <c r="W11" s="812">
        <v>0</v>
      </c>
      <c r="X11" s="811">
        <v>0</v>
      </c>
      <c r="Y11" s="812">
        <v>0</v>
      </c>
      <c r="Z11" s="811">
        <v>0</v>
      </c>
      <c r="AA11" s="812">
        <v>0</v>
      </c>
      <c r="AB11" s="811">
        <v>0</v>
      </c>
      <c r="AC11" s="812">
        <v>0</v>
      </c>
      <c r="AD11" s="811">
        <v>0</v>
      </c>
      <c r="AE11" s="807">
        <v>0.2</v>
      </c>
      <c r="AF11" s="807">
        <v>1.8</v>
      </c>
      <c r="AL11" s="813">
        <v>1</v>
      </c>
      <c r="AQ11" s="74" t="s">
        <v>320</v>
      </c>
    </row>
    <row r="12" spans="1:43" s="74" customFormat="1">
      <c r="A12" s="802"/>
      <c r="B12" s="797">
        <v>1</v>
      </c>
      <c r="C12" s="798">
        <v>2</v>
      </c>
      <c r="D12" s="803" t="s">
        <v>331</v>
      </c>
      <c r="E12" s="800" t="s">
        <v>332</v>
      </c>
      <c r="F12" s="804" t="s">
        <v>331</v>
      </c>
      <c r="G12" s="805">
        <v>15</v>
      </c>
      <c r="H12" s="806">
        <v>0.3</v>
      </c>
      <c r="I12" s="807">
        <v>1.7</v>
      </c>
      <c r="J12" s="808">
        <v>2.25</v>
      </c>
      <c r="K12" s="809" t="s">
        <v>320</v>
      </c>
      <c r="L12" s="810">
        <v>2</v>
      </c>
      <c r="M12" s="810">
        <v>0.3</v>
      </c>
      <c r="N12" s="811">
        <v>1.7</v>
      </c>
      <c r="O12" s="812">
        <v>0</v>
      </c>
      <c r="P12" s="811">
        <v>0</v>
      </c>
      <c r="Q12" s="812">
        <v>0</v>
      </c>
      <c r="R12" s="811">
        <v>0</v>
      </c>
      <c r="S12" s="812">
        <v>0</v>
      </c>
      <c r="T12" s="811">
        <v>0</v>
      </c>
      <c r="U12" s="812">
        <v>0</v>
      </c>
      <c r="V12" s="811">
        <v>0</v>
      </c>
      <c r="W12" s="812">
        <v>0</v>
      </c>
      <c r="X12" s="811">
        <v>0</v>
      </c>
      <c r="Y12" s="812">
        <v>0</v>
      </c>
      <c r="Z12" s="811">
        <v>0</v>
      </c>
      <c r="AA12" s="812">
        <v>0</v>
      </c>
      <c r="AB12" s="811">
        <v>0</v>
      </c>
      <c r="AC12" s="812">
        <v>0</v>
      </c>
      <c r="AD12" s="811">
        <v>0</v>
      </c>
      <c r="AE12" s="807">
        <v>0.3</v>
      </c>
      <c r="AF12" s="807">
        <v>1.7</v>
      </c>
      <c r="AL12" s="813">
        <v>1</v>
      </c>
      <c r="AQ12" s="74" t="s">
        <v>320</v>
      </c>
    </row>
    <row r="13" spans="1:43" s="74" customFormat="1">
      <c r="A13" s="802"/>
      <c r="B13" s="797">
        <v>1</v>
      </c>
      <c r="C13" s="798">
        <v>2</v>
      </c>
      <c r="D13" s="814" t="s">
        <v>333</v>
      </c>
      <c r="E13" s="800" t="s">
        <v>334</v>
      </c>
      <c r="F13" s="815" t="s">
        <v>333</v>
      </c>
      <c r="G13" s="816">
        <v>20</v>
      </c>
      <c r="H13" s="806">
        <v>0.4</v>
      </c>
      <c r="I13" s="807">
        <v>1.6</v>
      </c>
      <c r="J13" s="808">
        <v>3</v>
      </c>
      <c r="K13" s="809" t="s">
        <v>320</v>
      </c>
      <c r="L13" s="810">
        <v>2</v>
      </c>
      <c r="M13" s="810">
        <v>0.4</v>
      </c>
      <c r="N13" s="811">
        <v>1.6</v>
      </c>
      <c r="O13" s="812">
        <v>0</v>
      </c>
      <c r="P13" s="811">
        <v>0</v>
      </c>
      <c r="Q13" s="812">
        <v>0</v>
      </c>
      <c r="R13" s="811">
        <v>0</v>
      </c>
      <c r="S13" s="812">
        <v>0</v>
      </c>
      <c r="T13" s="811">
        <v>0</v>
      </c>
      <c r="U13" s="812">
        <v>0</v>
      </c>
      <c r="V13" s="811">
        <v>0</v>
      </c>
      <c r="W13" s="812">
        <v>0</v>
      </c>
      <c r="X13" s="811">
        <v>0</v>
      </c>
      <c r="Y13" s="812">
        <v>0</v>
      </c>
      <c r="Z13" s="811">
        <v>0</v>
      </c>
      <c r="AA13" s="812">
        <v>0</v>
      </c>
      <c r="AB13" s="811">
        <v>0</v>
      </c>
      <c r="AC13" s="812">
        <v>0</v>
      </c>
      <c r="AD13" s="811">
        <v>0</v>
      </c>
      <c r="AE13" s="807">
        <v>0.4</v>
      </c>
      <c r="AF13" s="807">
        <v>1.6</v>
      </c>
      <c r="AL13" s="813">
        <v>1</v>
      </c>
      <c r="AQ13" s="74" t="s">
        <v>320</v>
      </c>
    </row>
    <row r="14" spans="1:43" s="74" customFormat="1">
      <c r="A14" s="802"/>
      <c r="B14" s="797">
        <v>1</v>
      </c>
      <c r="C14" s="798">
        <v>2</v>
      </c>
      <c r="D14" s="803" t="s">
        <v>335</v>
      </c>
      <c r="E14" s="800" t="s">
        <v>336</v>
      </c>
      <c r="F14" s="804" t="s">
        <v>335</v>
      </c>
      <c r="G14" s="805">
        <v>25</v>
      </c>
      <c r="H14" s="806">
        <v>0.5</v>
      </c>
      <c r="I14" s="807">
        <v>1.5</v>
      </c>
      <c r="J14" s="808">
        <v>3.75</v>
      </c>
      <c r="K14" s="809" t="s">
        <v>320</v>
      </c>
      <c r="L14" s="810">
        <v>2</v>
      </c>
      <c r="M14" s="810">
        <v>0.5</v>
      </c>
      <c r="N14" s="811">
        <v>1.5</v>
      </c>
      <c r="O14" s="812">
        <v>0</v>
      </c>
      <c r="P14" s="811">
        <v>0</v>
      </c>
      <c r="Q14" s="812">
        <v>0</v>
      </c>
      <c r="R14" s="811">
        <v>0</v>
      </c>
      <c r="S14" s="812">
        <v>0</v>
      </c>
      <c r="T14" s="811">
        <v>0</v>
      </c>
      <c r="U14" s="812">
        <v>0</v>
      </c>
      <c r="V14" s="811">
        <v>0</v>
      </c>
      <c r="W14" s="812">
        <v>0</v>
      </c>
      <c r="X14" s="811">
        <v>0</v>
      </c>
      <c r="Y14" s="812">
        <v>0</v>
      </c>
      <c r="Z14" s="811">
        <v>0</v>
      </c>
      <c r="AA14" s="812">
        <v>0</v>
      </c>
      <c r="AB14" s="811">
        <v>0</v>
      </c>
      <c r="AC14" s="812">
        <v>0</v>
      </c>
      <c r="AD14" s="811">
        <v>0</v>
      </c>
      <c r="AE14" s="807">
        <v>0.5</v>
      </c>
      <c r="AF14" s="807">
        <v>1.5</v>
      </c>
      <c r="AL14" s="813">
        <v>1</v>
      </c>
      <c r="AQ14" s="74" t="s">
        <v>320</v>
      </c>
    </row>
    <row r="15" spans="1:43" s="74" customFormat="1">
      <c r="A15" s="802"/>
      <c r="B15" s="797">
        <v>1</v>
      </c>
      <c r="C15" s="798">
        <v>2</v>
      </c>
      <c r="D15" s="814" t="s">
        <v>337</v>
      </c>
      <c r="E15" s="800" t="s">
        <v>338</v>
      </c>
      <c r="F15" s="815" t="s">
        <v>337</v>
      </c>
      <c r="G15" s="816">
        <v>30</v>
      </c>
      <c r="H15" s="806">
        <v>0.6</v>
      </c>
      <c r="I15" s="807">
        <v>1.4</v>
      </c>
      <c r="J15" s="808">
        <v>4.5</v>
      </c>
      <c r="K15" s="809" t="s">
        <v>320</v>
      </c>
      <c r="L15" s="810">
        <v>2</v>
      </c>
      <c r="M15" s="810">
        <v>0.6</v>
      </c>
      <c r="N15" s="811">
        <v>1.4</v>
      </c>
      <c r="O15" s="812">
        <v>0</v>
      </c>
      <c r="P15" s="811">
        <v>0</v>
      </c>
      <c r="Q15" s="812">
        <v>0</v>
      </c>
      <c r="R15" s="811">
        <v>0</v>
      </c>
      <c r="S15" s="812">
        <v>0</v>
      </c>
      <c r="T15" s="811">
        <v>0</v>
      </c>
      <c r="U15" s="812">
        <v>0</v>
      </c>
      <c r="V15" s="811">
        <v>0</v>
      </c>
      <c r="W15" s="812">
        <v>0</v>
      </c>
      <c r="X15" s="811">
        <v>0</v>
      </c>
      <c r="Y15" s="812">
        <v>0</v>
      </c>
      <c r="Z15" s="811">
        <v>0</v>
      </c>
      <c r="AA15" s="812">
        <v>0</v>
      </c>
      <c r="AB15" s="811">
        <v>0</v>
      </c>
      <c r="AC15" s="812">
        <v>0</v>
      </c>
      <c r="AD15" s="811">
        <v>0</v>
      </c>
      <c r="AE15" s="807">
        <v>0.6</v>
      </c>
      <c r="AF15" s="807">
        <v>1.4</v>
      </c>
      <c r="AL15" s="813">
        <v>1</v>
      </c>
      <c r="AQ15" s="74" t="s">
        <v>320</v>
      </c>
    </row>
    <row r="16" spans="1:43" s="74" customFormat="1">
      <c r="A16" s="802"/>
      <c r="B16" s="797">
        <v>1</v>
      </c>
      <c r="C16" s="798">
        <v>2</v>
      </c>
      <c r="D16" s="803" t="s">
        <v>339</v>
      </c>
      <c r="E16" s="800" t="s">
        <v>340</v>
      </c>
      <c r="F16" s="804" t="s">
        <v>339</v>
      </c>
      <c r="G16" s="805">
        <v>35</v>
      </c>
      <c r="H16" s="806">
        <v>0.7</v>
      </c>
      <c r="I16" s="807">
        <v>1.3</v>
      </c>
      <c r="J16" s="808">
        <v>5.25</v>
      </c>
      <c r="K16" s="809" t="s">
        <v>320</v>
      </c>
      <c r="L16" s="810">
        <v>2</v>
      </c>
      <c r="M16" s="810">
        <v>0.7</v>
      </c>
      <c r="N16" s="811">
        <v>1.3</v>
      </c>
      <c r="O16" s="812">
        <v>0</v>
      </c>
      <c r="P16" s="811">
        <v>0</v>
      </c>
      <c r="Q16" s="812">
        <v>0</v>
      </c>
      <c r="R16" s="811">
        <v>0</v>
      </c>
      <c r="S16" s="812">
        <v>0</v>
      </c>
      <c r="T16" s="811">
        <v>0</v>
      </c>
      <c r="U16" s="812">
        <v>0</v>
      </c>
      <c r="V16" s="811">
        <v>0</v>
      </c>
      <c r="W16" s="812">
        <v>0</v>
      </c>
      <c r="X16" s="811">
        <v>0</v>
      </c>
      <c r="Y16" s="812">
        <v>0</v>
      </c>
      <c r="Z16" s="811">
        <v>0</v>
      </c>
      <c r="AA16" s="812">
        <v>0</v>
      </c>
      <c r="AB16" s="811">
        <v>0</v>
      </c>
      <c r="AC16" s="812">
        <v>0</v>
      </c>
      <c r="AD16" s="811">
        <v>0</v>
      </c>
      <c r="AE16" s="807">
        <v>0.7</v>
      </c>
      <c r="AF16" s="807">
        <v>1.3</v>
      </c>
      <c r="AL16" s="813">
        <v>1</v>
      </c>
      <c r="AQ16" s="74" t="s">
        <v>320</v>
      </c>
    </row>
    <row r="17" spans="1:43" s="74" customFormat="1">
      <c r="A17" s="802"/>
      <c r="B17" s="797">
        <v>1</v>
      </c>
      <c r="C17" s="798">
        <v>2</v>
      </c>
      <c r="D17" s="814" t="s">
        <v>341</v>
      </c>
      <c r="E17" s="800" t="s">
        <v>342</v>
      </c>
      <c r="F17" s="815" t="s">
        <v>341</v>
      </c>
      <c r="G17" s="816">
        <v>40</v>
      </c>
      <c r="H17" s="806">
        <v>0.8</v>
      </c>
      <c r="I17" s="807">
        <v>1.2</v>
      </c>
      <c r="J17" s="808">
        <v>6</v>
      </c>
      <c r="K17" s="809" t="s">
        <v>320</v>
      </c>
      <c r="L17" s="810">
        <v>2</v>
      </c>
      <c r="M17" s="810">
        <v>0.8</v>
      </c>
      <c r="N17" s="811">
        <v>1.2</v>
      </c>
      <c r="O17" s="812">
        <v>0</v>
      </c>
      <c r="P17" s="811">
        <v>0</v>
      </c>
      <c r="Q17" s="812">
        <v>0</v>
      </c>
      <c r="R17" s="811">
        <v>0</v>
      </c>
      <c r="S17" s="812">
        <v>0</v>
      </c>
      <c r="T17" s="811">
        <v>0</v>
      </c>
      <c r="U17" s="812">
        <v>0</v>
      </c>
      <c r="V17" s="811">
        <v>0</v>
      </c>
      <c r="W17" s="812">
        <v>0</v>
      </c>
      <c r="X17" s="811">
        <v>0</v>
      </c>
      <c r="Y17" s="812">
        <v>0</v>
      </c>
      <c r="Z17" s="811">
        <v>0</v>
      </c>
      <c r="AA17" s="812">
        <v>0</v>
      </c>
      <c r="AB17" s="811">
        <v>0</v>
      </c>
      <c r="AC17" s="812">
        <v>0</v>
      </c>
      <c r="AD17" s="811">
        <v>0</v>
      </c>
      <c r="AE17" s="807">
        <v>0.8</v>
      </c>
      <c r="AF17" s="807">
        <v>1.2</v>
      </c>
      <c r="AL17" s="813">
        <v>1</v>
      </c>
      <c r="AQ17" s="74" t="s">
        <v>320</v>
      </c>
    </row>
    <row r="18" spans="1:43" s="74" customFormat="1">
      <c r="A18" s="802"/>
      <c r="B18" s="797">
        <v>1</v>
      </c>
      <c r="C18" s="798">
        <v>2.5</v>
      </c>
      <c r="D18" s="803" t="s">
        <v>343</v>
      </c>
      <c r="E18" s="800" t="s">
        <v>344</v>
      </c>
      <c r="F18" s="804" t="s">
        <v>343</v>
      </c>
      <c r="G18" s="805">
        <v>12</v>
      </c>
      <c r="H18" s="806">
        <v>0.3</v>
      </c>
      <c r="I18" s="807">
        <v>2.2000000000000002</v>
      </c>
      <c r="J18" s="808">
        <v>1.8</v>
      </c>
      <c r="K18" s="809" t="s">
        <v>320</v>
      </c>
      <c r="L18" s="810">
        <v>2.5</v>
      </c>
      <c r="M18" s="810">
        <v>0.3</v>
      </c>
      <c r="N18" s="811">
        <v>2.2000000000000002</v>
      </c>
      <c r="O18" s="812">
        <v>0</v>
      </c>
      <c r="P18" s="811">
        <v>0</v>
      </c>
      <c r="Q18" s="812">
        <v>0</v>
      </c>
      <c r="R18" s="811">
        <v>0</v>
      </c>
      <c r="S18" s="812">
        <v>0</v>
      </c>
      <c r="T18" s="811">
        <v>0</v>
      </c>
      <c r="U18" s="812">
        <v>0</v>
      </c>
      <c r="V18" s="811">
        <v>0</v>
      </c>
      <c r="W18" s="812">
        <v>0</v>
      </c>
      <c r="X18" s="811">
        <v>0</v>
      </c>
      <c r="Y18" s="812">
        <v>0</v>
      </c>
      <c r="Z18" s="811">
        <v>0</v>
      </c>
      <c r="AA18" s="812">
        <v>0</v>
      </c>
      <c r="AB18" s="811">
        <v>0</v>
      </c>
      <c r="AC18" s="812">
        <v>0</v>
      </c>
      <c r="AD18" s="811">
        <v>0</v>
      </c>
      <c r="AE18" s="807">
        <v>0.3</v>
      </c>
      <c r="AF18" s="807">
        <v>2.2000000000000002</v>
      </c>
      <c r="AL18" s="813">
        <v>1</v>
      </c>
      <c r="AQ18" s="74" t="s">
        <v>320</v>
      </c>
    </row>
    <row r="19" spans="1:43" s="74" customFormat="1">
      <c r="A19" s="802"/>
      <c r="B19" s="797">
        <v>1</v>
      </c>
      <c r="C19" s="798">
        <v>2.5</v>
      </c>
      <c r="D19" s="814" t="s">
        <v>345</v>
      </c>
      <c r="E19" s="800" t="s">
        <v>346</v>
      </c>
      <c r="F19" s="815" t="s">
        <v>345</v>
      </c>
      <c r="G19" s="816">
        <v>20</v>
      </c>
      <c r="H19" s="806">
        <v>0.5</v>
      </c>
      <c r="I19" s="807">
        <v>2</v>
      </c>
      <c r="J19" s="808">
        <v>3</v>
      </c>
      <c r="K19" s="809" t="s">
        <v>320</v>
      </c>
      <c r="L19" s="810">
        <v>2.5</v>
      </c>
      <c r="M19" s="810">
        <v>0.5</v>
      </c>
      <c r="N19" s="811">
        <v>2</v>
      </c>
      <c r="O19" s="812">
        <v>0</v>
      </c>
      <c r="P19" s="811">
        <v>0</v>
      </c>
      <c r="Q19" s="812">
        <v>0</v>
      </c>
      <c r="R19" s="811">
        <v>0</v>
      </c>
      <c r="S19" s="812">
        <v>0</v>
      </c>
      <c r="T19" s="811">
        <v>0</v>
      </c>
      <c r="U19" s="812">
        <v>0</v>
      </c>
      <c r="V19" s="811">
        <v>0</v>
      </c>
      <c r="W19" s="812">
        <v>0</v>
      </c>
      <c r="X19" s="811">
        <v>0</v>
      </c>
      <c r="Y19" s="812">
        <v>0</v>
      </c>
      <c r="Z19" s="811">
        <v>0</v>
      </c>
      <c r="AA19" s="812">
        <v>0</v>
      </c>
      <c r="AB19" s="811">
        <v>0</v>
      </c>
      <c r="AC19" s="812">
        <v>0</v>
      </c>
      <c r="AD19" s="811">
        <v>0</v>
      </c>
      <c r="AE19" s="807">
        <v>0.5</v>
      </c>
      <c r="AF19" s="807">
        <v>2</v>
      </c>
      <c r="AL19" s="813">
        <v>1</v>
      </c>
      <c r="AQ19" s="74" t="s">
        <v>320</v>
      </c>
    </row>
    <row r="20" spans="1:43" s="74" customFormat="1">
      <c r="A20" s="802"/>
      <c r="B20" s="797">
        <v>1</v>
      </c>
      <c r="C20" s="798">
        <v>3</v>
      </c>
      <c r="D20" s="803" t="s">
        <v>347</v>
      </c>
      <c r="E20" s="800" t="s">
        <v>348</v>
      </c>
      <c r="F20" s="804" t="s">
        <v>347</v>
      </c>
      <c r="G20" s="805">
        <v>6.666666666666667</v>
      </c>
      <c r="H20" s="806">
        <v>0.2</v>
      </c>
      <c r="I20" s="807">
        <v>2.8</v>
      </c>
      <c r="J20" s="808">
        <v>1</v>
      </c>
      <c r="K20" s="809" t="s">
        <v>320</v>
      </c>
      <c r="L20" s="810">
        <v>3</v>
      </c>
      <c r="M20" s="810">
        <v>0.2</v>
      </c>
      <c r="N20" s="811">
        <v>2.8</v>
      </c>
      <c r="O20" s="812">
        <v>0</v>
      </c>
      <c r="P20" s="811">
        <v>0</v>
      </c>
      <c r="Q20" s="812">
        <v>0</v>
      </c>
      <c r="R20" s="811">
        <v>0</v>
      </c>
      <c r="S20" s="812">
        <v>0</v>
      </c>
      <c r="T20" s="811">
        <v>0</v>
      </c>
      <c r="U20" s="812">
        <v>0</v>
      </c>
      <c r="V20" s="811">
        <v>0</v>
      </c>
      <c r="W20" s="812">
        <v>0</v>
      </c>
      <c r="X20" s="811">
        <v>0</v>
      </c>
      <c r="Y20" s="812">
        <v>0</v>
      </c>
      <c r="Z20" s="811">
        <v>0</v>
      </c>
      <c r="AA20" s="812">
        <v>0</v>
      </c>
      <c r="AB20" s="811">
        <v>0</v>
      </c>
      <c r="AC20" s="812">
        <v>0</v>
      </c>
      <c r="AD20" s="811">
        <v>0</v>
      </c>
      <c r="AE20" s="807">
        <v>0.2</v>
      </c>
      <c r="AF20" s="807">
        <v>2.8</v>
      </c>
      <c r="AL20" s="813">
        <v>1</v>
      </c>
      <c r="AQ20" s="74" t="s">
        <v>320</v>
      </c>
    </row>
    <row r="21" spans="1:43" s="74" customFormat="1">
      <c r="A21" s="802"/>
      <c r="B21" s="797">
        <v>1</v>
      </c>
      <c r="C21" s="798">
        <v>3</v>
      </c>
      <c r="D21" s="814" t="s">
        <v>349</v>
      </c>
      <c r="E21" s="800" t="s">
        <v>350</v>
      </c>
      <c r="F21" s="815" t="s">
        <v>349</v>
      </c>
      <c r="G21" s="816">
        <v>10</v>
      </c>
      <c r="H21" s="806">
        <v>0.3</v>
      </c>
      <c r="I21" s="807">
        <v>2.7</v>
      </c>
      <c r="J21" s="808">
        <v>1.5</v>
      </c>
      <c r="K21" s="809" t="s">
        <v>320</v>
      </c>
      <c r="L21" s="810">
        <v>3</v>
      </c>
      <c r="M21" s="810">
        <v>0.3</v>
      </c>
      <c r="N21" s="811">
        <v>2.7</v>
      </c>
      <c r="O21" s="812">
        <v>0</v>
      </c>
      <c r="P21" s="811">
        <v>0</v>
      </c>
      <c r="Q21" s="812">
        <v>0</v>
      </c>
      <c r="R21" s="811">
        <v>0</v>
      </c>
      <c r="S21" s="812">
        <v>0</v>
      </c>
      <c r="T21" s="811">
        <v>0</v>
      </c>
      <c r="U21" s="812">
        <v>0</v>
      </c>
      <c r="V21" s="811">
        <v>0</v>
      </c>
      <c r="W21" s="812">
        <v>0</v>
      </c>
      <c r="X21" s="811">
        <v>0</v>
      </c>
      <c r="Y21" s="812">
        <v>0</v>
      </c>
      <c r="Z21" s="811">
        <v>0</v>
      </c>
      <c r="AA21" s="812">
        <v>0</v>
      </c>
      <c r="AB21" s="811">
        <v>0</v>
      </c>
      <c r="AC21" s="812">
        <v>0</v>
      </c>
      <c r="AD21" s="811">
        <v>0</v>
      </c>
      <c r="AE21" s="807">
        <v>0.3</v>
      </c>
      <c r="AF21" s="807">
        <v>2.7</v>
      </c>
      <c r="AL21" s="813">
        <v>1</v>
      </c>
      <c r="AQ21" s="74" t="s">
        <v>320</v>
      </c>
    </row>
    <row r="22" spans="1:43" s="74" customFormat="1">
      <c r="A22" s="802"/>
      <c r="B22" s="797">
        <v>1</v>
      </c>
      <c r="C22" s="798">
        <v>3</v>
      </c>
      <c r="D22" s="803" t="s">
        <v>351</v>
      </c>
      <c r="E22" s="800" t="s">
        <v>352</v>
      </c>
      <c r="F22" s="804" t="s">
        <v>351</v>
      </c>
      <c r="G22" s="805">
        <v>13.33333333333333</v>
      </c>
      <c r="H22" s="806">
        <v>0.4</v>
      </c>
      <c r="I22" s="807">
        <v>2.6</v>
      </c>
      <c r="J22" s="808">
        <v>2</v>
      </c>
      <c r="K22" s="809" t="s">
        <v>320</v>
      </c>
      <c r="L22" s="810">
        <v>3</v>
      </c>
      <c r="M22" s="810">
        <v>0.4</v>
      </c>
      <c r="N22" s="811">
        <v>2.6</v>
      </c>
      <c r="O22" s="812">
        <v>0</v>
      </c>
      <c r="P22" s="811">
        <v>0</v>
      </c>
      <c r="Q22" s="812">
        <v>0</v>
      </c>
      <c r="R22" s="811">
        <v>0</v>
      </c>
      <c r="S22" s="812">
        <v>0</v>
      </c>
      <c r="T22" s="811">
        <v>0</v>
      </c>
      <c r="U22" s="812">
        <v>0</v>
      </c>
      <c r="V22" s="811">
        <v>0</v>
      </c>
      <c r="W22" s="812">
        <v>0</v>
      </c>
      <c r="X22" s="811">
        <v>0</v>
      </c>
      <c r="Y22" s="812">
        <v>0</v>
      </c>
      <c r="Z22" s="811">
        <v>0</v>
      </c>
      <c r="AA22" s="812">
        <v>0</v>
      </c>
      <c r="AB22" s="811">
        <v>0</v>
      </c>
      <c r="AC22" s="812">
        <v>0</v>
      </c>
      <c r="AD22" s="811">
        <v>0</v>
      </c>
      <c r="AE22" s="807">
        <v>0.4</v>
      </c>
      <c r="AF22" s="807">
        <v>2.6</v>
      </c>
      <c r="AL22" s="813">
        <v>1</v>
      </c>
      <c r="AQ22" s="74" t="s">
        <v>320</v>
      </c>
    </row>
    <row r="23" spans="1:43" s="74" customFormat="1">
      <c r="A23" s="802"/>
      <c r="B23" s="797">
        <v>1</v>
      </c>
      <c r="C23" s="798">
        <v>3</v>
      </c>
      <c r="D23" s="814" t="s">
        <v>295</v>
      </c>
      <c r="E23" s="800" t="s">
        <v>353</v>
      </c>
      <c r="F23" s="815" t="s">
        <v>295</v>
      </c>
      <c r="G23" s="816">
        <v>16.666666666666661</v>
      </c>
      <c r="H23" s="806">
        <v>0.5</v>
      </c>
      <c r="I23" s="807">
        <v>2.5</v>
      </c>
      <c r="J23" s="808">
        <v>2.5</v>
      </c>
      <c r="K23" s="809" t="s">
        <v>320</v>
      </c>
      <c r="L23" s="810">
        <v>3</v>
      </c>
      <c r="M23" s="810">
        <v>0.5</v>
      </c>
      <c r="N23" s="811">
        <v>2.5</v>
      </c>
      <c r="O23" s="812">
        <v>0</v>
      </c>
      <c r="P23" s="811">
        <v>0</v>
      </c>
      <c r="Q23" s="812">
        <v>0</v>
      </c>
      <c r="R23" s="811">
        <v>0</v>
      </c>
      <c r="S23" s="812">
        <v>0</v>
      </c>
      <c r="T23" s="811">
        <v>0</v>
      </c>
      <c r="U23" s="812">
        <v>0</v>
      </c>
      <c r="V23" s="811">
        <v>0</v>
      </c>
      <c r="W23" s="812">
        <v>0</v>
      </c>
      <c r="X23" s="811">
        <v>0</v>
      </c>
      <c r="Y23" s="812">
        <v>0</v>
      </c>
      <c r="Z23" s="811">
        <v>0</v>
      </c>
      <c r="AA23" s="812">
        <v>0</v>
      </c>
      <c r="AB23" s="811">
        <v>0</v>
      </c>
      <c r="AC23" s="812">
        <v>0</v>
      </c>
      <c r="AD23" s="811">
        <v>0</v>
      </c>
      <c r="AE23" s="807">
        <v>0.5</v>
      </c>
      <c r="AF23" s="807">
        <v>2.5</v>
      </c>
      <c r="AL23" s="813">
        <v>1</v>
      </c>
      <c r="AQ23" s="74" t="s">
        <v>320</v>
      </c>
    </row>
    <row r="24" spans="1:43" s="74" customFormat="1">
      <c r="A24" s="802"/>
      <c r="B24" s="797">
        <v>1</v>
      </c>
      <c r="C24" s="798">
        <v>3</v>
      </c>
      <c r="D24" s="803" t="s">
        <v>354</v>
      </c>
      <c r="E24" s="800" t="s">
        <v>355</v>
      </c>
      <c r="F24" s="804" t="s">
        <v>354</v>
      </c>
      <c r="G24" s="805">
        <v>20</v>
      </c>
      <c r="H24" s="806">
        <v>0.6</v>
      </c>
      <c r="I24" s="807">
        <v>2.4</v>
      </c>
      <c r="J24" s="808">
        <v>3</v>
      </c>
      <c r="K24" s="809" t="s">
        <v>320</v>
      </c>
      <c r="L24" s="810">
        <v>3</v>
      </c>
      <c r="M24" s="810">
        <v>0.6</v>
      </c>
      <c r="N24" s="811">
        <v>2.4</v>
      </c>
      <c r="O24" s="812">
        <v>0</v>
      </c>
      <c r="P24" s="811">
        <v>0</v>
      </c>
      <c r="Q24" s="812">
        <v>0</v>
      </c>
      <c r="R24" s="811">
        <v>0</v>
      </c>
      <c r="S24" s="812">
        <v>0</v>
      </c>
      <c r="T24" s="811">
        <v>0</v>
      </c>
      <c r="U24" s="812">
        <v>0</v>
      </c>
      <c r="V24" s="811">
        <v>0</v>
      </c>
      <c r="W24" s="812">
        <v>0</v>
      </c>
      <c r="X24" s="811">
        <v>0</v>
      </c>
      <c r="Y24" s="812">
        <v>0</v>
      </c>
      <c r="Z24" s="811">
        <v>0</v>
      </c>
      <c r="AA24" s="812">
        <v>0</v>
      </c>
      <c r="AB24" s="811">
        <v>0</v>
      </c>
      <c r="AC24" s="812">
        <v>0</v>
      </c>
      <c r="AD24" s="811">
        <v>0</v>
      </c>
      <c r="AE24" s="807">
        <v>0.6</v>
      </c>
      <c r="AF24" s="807">
        <v>2.4</v>
      </c>
      <c r="AL24" s="813">
        <v>1</v>
      </c>
      <c r="AQ24" s="74" t="s">
        <v>320</v>
      </c>
    </row>
    <row r="25" spans="1:43" s="74" customFormat="1">
      <c r="A25" s="802"/>
      <c r="B25" s="797">
        <v>1</v>
      </c>
      <c r="C25" s="798">
        <v>3</v>
      </c>
      <c r="D25" s="814" t="s">
        <v>356</v>
      </c>
      <c r="E25" s="800" t="s">
        <v>357</v>
      </c>
      <c r="F25" s="815" t="s">
        <v>356</v>
      </c>
      <c r="G25" s="816">
        <v>23.333333333333329</v>
      </c>
      <c r="H25" s="806">
        <v>0.7</v>
      </c>
      <c r="I25" s="807">
        <v>2.2999999999999998</v>
      </c>
      <c r="J25" s="808">
        <v>3.5</v>
      </c>
      <c r="K25" s="809" t="s">
        <v>320</v>
      </c>
      <c r="L25" s="810">
        <v>3</v>
      </c>
      <c r="M25" s="810">
        <v>0.7</v>
      </c>
      <c r="N25" s="811">
        <v>2.2999999999999998</v>
      </c>
      <c r="O25" s="812">
        <v>0</v>
      </c>
      <c r="P25" s="811">
        <v>0</v>
      </c>
      <c r="Q25" s="812">
        <v>0</v>
      </c>
      <c r="R25" s="811">
        <v>0</v>
      </c>
      <c r="S25" s="812">
        <v>0</v>
      </c>
      <c r="T25" s="811">
        <v>0</v>
      </c>
      <c r="U25" s="812">
        <v>0</v>
      </c>
      <c r="V25" s="811">
        <v>0</v>
      </c>
      <c r="W25" s="812">
        <v>0</v>
      </c>
      <c r="X25" s="811">
        <v>0</v>
      </c>
      <c r="Y25" s="812">
        <v>0</v>
      </c>
      <c r="Z25" s="811">
        <v>0</v>
      </c>
      <c r="AA25" s="812">
        <v>0</v>
      </c>
      <c r="AB25" s="811">
        <v>0</v>
      </c>
      <c r="AC25" s="812">
        <v>0</v>
      </c>
      <c r="AD25" s="811">
        <v>0</v>
      </c>
      <c r="AE25" s="807">
        <v>0.7</v>
      </c>
      <c r="AF25" s="807">
        <v>2.2999999999999998</v>
      </c>
      <c r="AL25" s="813">
        <v>1</v>
      </c>
      <c r="AQ25" s="74" t="s">
        <v>320</v>
      </c>
    </row>
    <row r="26" spans="1:43" s="74" customFormat="1">
      <c r="A26" s="802"/>
      <c r="B26" s="797">
        <v>1</v>
      </c>
      <c r="C26" s="798">
        <v>3</v>
      </c>
      <c r="D26" s="803" t="s">
        <v>292</v>
      </c>
      <c r="E26" s="800" t="s">
        <v>358</v>
      </c>
      <c r="F26" s="804" t="s">
        <v>292</v>
      </c>
      <c r="G26" s="805">
        <v>33.333333333333329</v>
      </c>
      <c r="H26" s="806">
        <v>1</v>
      </c>
      <c r="I26" s="807">
        <v>2</v>
      </c>
      <c r="J26" s="808">
        <v>4.9999999999999991</v>
      </c>
      <c r="K26" s="809" t="s">
        <v>320</v>
      </c>
      <c r="L26" s="810">
        <v>3</v>
      </c>
      <c r="M26" s="810">
        <v>1</v>
      </c>
      <c r="N26" s="811">
        <v>2</v>
      </c>
      <c r="O26" s="812">
        <v>0</v>
      </c>
      <c r="P26" s="811">
        <v>0</v>
      </c>
      <c r="Q26" s="812">
        <v>0</v>
      </c>
      <c r="R26" s="811">
        <v>0</v>
      </c>
      <c r="S26" s="812">
        <v>0</v>
      </c>
      <c r="T26" s="811">
        <v>0</v>
      </c>
      <c r="U26" s="812">
        <v>0</v>
      </c>
      <c r="V26" s="811">
        <v>0</v>
      </c>
      <c r="W26" s="812">
        <v>0</v>
      </c>
      <c r="X26" s="811">
        <v>0</v>
      </c>
      <c r="Y26" s="812">
        <v>0</v>
      </c>
      <c r="Z26" s="811">
        <v>0</v>
      </c>
      <c r="AA26" s="812">
        <v>0</v>
      </c>
      <c r="AB26" s="811">
        <v>0</v>
      </c>
      <c r="AC26" s="812">
        <v>0</v>
      </c>
      <c r="AD26" s="811">
        <v>0</v>
      </c>
      <c r="AE26" s="807">
        <v>1</v>
      </c>
      <c r="AF26" s="807">
        <v>2</v>
      </c>
      <c r="AL26" s="813">
        <v>1</v>
      </c>
      <c r="AQ26" s="74" t="s">
        <v>320</v>
      </c>
    </row>
    <row r="27" spans="1:43" s="74" customFormat="1">
      <c r="A27" s="802"/>
      <c r="B27" s="797">
        <v>1</v>
      </c>
      <c r="C27" s="798">
        <v>4</v>
      </c>
      <c r="D27" s="814" t="s">
        <v>359</v>
      </c>
      <c r="E27" s="800" t="s">
        <v>360</v>
      </c>
      <c r="F27" s="815" t="s">
        <v>359</v>
      </c>
      <c r="G27" s="816">
        <v>5</v>
      </c>
      <c r="H27" s="806">
        <v>0.2</v>
      </c>
      <c r="I27" s="807">
        <v>3.8</v>
      </c>
      <c r="J27" s="808">
        <v>0.75</v>
      </c>
      <c r="K27" s="809" t="s">
        <v>320</v>
      </c>
      <c r="L27" s="810">
        <v>4</v>
      </c>
      <c r="M27" s="810">
        <v>0.2</v>
      </c>
      <c r="N27" s="811">
        <v>3.8</v>
      </c>
      <c r="O27" s="812">
        <v>0</v>
      </c>
      <c r="P27" s="811">
        <v>0</v>
      </c>
      <c r="Q27" s="812">
        <v>0</v>
      </c>
      <c r="R27" s="811">
        <v>0</v>
      </c>
      <c r="S27" s="812">
        <v>0</v>
      </c>
      <c r="T27" s="811">
        <v>0</v>
      </c>
      <c r="U27" s="812">
        <v>0</v>
      </c>
      <c r="V27" s="811">
        <v>0</v>
      </c>
      <c r="W27" s="812">
        <v>0</v>
      </c>
      <c r="X27" s="811">
        <v>0</v>
      </c>
      <c r="Y27" s="812">
        <v>0</v>
      </c>
      <c r="Z27" s="811">
        <v>0</v>
      </c>
      <c r="AA27" s="812">
        <v>0</v>
      </c>
      <c r="AB27" s="811">
        <v>0</v>
      </c>
      <c r="AC27" s="812">
        <v>0</v>
      </c>
      <c r="AD27" s="811">
        <v>0</v>
      </c>
      <c r="AE27" s="807">
        <v>0.2</v>
      </c>
      <c r="AF27" s="807">
        <v>3.8</v>
      </c>
      <c r="AL27" s="813">
        <v>1</v>
      </c>
      <c r="AQ27" s="74" t="s">
        <v>320</v>
      </c>
    </row>
    <row r="28" spans="1:43" s="74" customFormat="1">
      <c r="A28" s="802"/>
      <c r="B28" s="797">
        <v>1</v>
      </c>
      <c r="C28" s="798">
        <v>4</v>
      </c>
      <c r="D28" s="803" t="s">
        <v>361</v>
      </c>
      <c r="E28" s="800" t="s">
        <v>362</v>
      </c>
      <c r="F28" s="804" t="s">
        <v>361</v>
      </c>
      <c r="G28" s="805">
        <v>7.5</v>
      </c>
      <c r="H28" s="806">
        <v>0.3</v>
      </c>
      <c r="I28" s="807">
        <v>3.7</v>
      </c>
      <c r="J28" s="808">
        <v>1.125</v>
      </c>
      <c r="K28" s="809" t="s">
        <v>320</v>
      </c>
      <c r="L28" s="810">
        <v>4</v>
      </c>
      <c r="M28" s="810">
        <v>0.3</v>
      </c>
      <c r="N28" s="811">
        <v>3.7</v>
      </c>
      <c r="O28" s="812">
        <v>0</v>
      </c>
      <c r="P28" s="811">
        <v>0</v>
      </c>
      <c r="Q28" s="812">
        <v>0</v>
      </c>
      <c r="R28" s="811">
        <v>0</v>
      </c>
      <c r="S28" s="812">
        <v>0</v>
      </c>
      <c r="T28" s="811">
        <v>0</v>
      </c>
      <c r="U28" s="812">
        <v>0</v>
      </c>
      <c r="V28" s="811">
        <v>0</v>
      </c>
      <c r="W28" s="812">
        <v>0</v>
      </c>
      <c r="X28" s="811">
        <v>0</v>
      </c>
      <c r="Y28" s="812">
        <v>0</v>
      </c>
      <c r="Z28" s="811">
        <v>0</v>
      </c>
      <c r="AA28" s="812">
        <v>0</v>
      </c>
      <c r="AB28" s="811">
        <v>0</v>
      </c>
      <c r="AC28" s="812">
        <v>0</v>
      </c>
      <c r="AD28" s="811">
        <v>0</v>
      </c>
      <c r="AE28" s="807">
        <v>0.3</v>
      </c>
      <c r="AF28" s="807">
        <v>3.7</v>
      </c>
      <c r="AL28" s="813">
        <v>1</v>
      </c>
      <c r="AQ28" s="74" t="s">
        <v>320</v>
      </c>
    </row>
    <row r="29" spans="1:43" s="74" customFormat="1">
      <c r="A29" s="802"/>
      <c r="B29" s="797">
        <v>1</v>
      </c>
      <c r="C29" s="798">
        <v>4</v>
      </c>
      <c r="D29" s="814" t="s">
        <v>363</v>
      </c>
      <c r="E29" s="800" t="s">
        <v>364</v>
      </c>
      <c r="F29" s="815" t="s">
        <v>363</v>
      </c>
      <c r="G29" s="816">
        <v>10</v>
      </c>
      <c r="H29" s="806">
        <v>0.4</v>
      </c>
      <c r="I29" s="807">
        <v>3.6</v>
      </c>
      <c r="J29" s="808">
        <v>1.5</v>
      </c>
      <c r="K29" s="809" t="s">
        <v>320</v>
      </c>
      <c r="L29" s="810">
        <v>4</v>
      </c>
      <c r="M29" s="810">
        <v>0.4</v>
      </c>
      <c r="N29" s="811">
        <v>3.6</v>
      </c>
      <c r="O29" s="812">
        <v>0</v>
      </c>
      <c r="P29" s="811">
        <v>0</v>
      </c>
      <c r="Q29" s="812">
        <v>0</v>
      </c>
      <c r="R29" s="811">
        <v>0</v>
      </c>
      <c r="S29" s="812">
        <v>0</v>
      </c>
      <c r="T29" s="811"/>
      <c r="U29" s="812">
        <v>0</v>
      </c>
      <c r="V29" s="811">
        <v>0</v>
      </c>
      <c r="W29" s="812">
        <v>0</v>
      </c>
      <c r="X29" s="811">
        <v>0</v>
      </c>
      <c r="Y29" s="812">
        <v>0</v>
      </c>
      <c r="Z29" s="811">
        <v>0</v>
      </c>
      <c r="AA29" s="812">
        <v>0</v>
      </c>
      <c r="AB29" s="811">
        <v>0</v>
      </c>
      <c r="AC29" s="812">
        <v>0</v>
      </c>
      <c r="AD29" s="811">
        <v>0</v>
      </c>
      <c r="AE29" s="807">
        <v>0.4</v>
      </c>
      <c r="AF29" s="807">
        <v>3.6</v>
      </c>
      <c r="AL29" s="813">
        <v>1</v>
      </c>
      <c r="AQ29" s="74" t="s">
        <v>320</v>
      </c>
    </row>
    <row r="30" spans="1:43" s="74" customFormat="1">
      <c r="A30" s="802"/>
      <c r="B30" s="797">
        <v>1</v>
      </c>
      <c r="C30" s="798">
        <v>4</v>
      </c>
      <c r="D30" s="803" t="s">
        <v>365</v>
      </c>
      <c r="E30" s="800" t="s">
        <v>366</v>
      </c>
      <c r="F30" s="804" t="s">
        <v>365</v>
      </c>
      <c r="G30" s="805">
        <v>12.5</v>
      </c>
      <c r="H30" s="806">
        <v>0.5</v>
      </c>
      <c r="I30" s="807">
        <v>3.5</v>
      </c>
      <c r="J30" s="808">
        <v>1.875</v>
      </c>
      <c r="K30" s="809" t="s">
        <v>320</v>
      </c>
      <c r="L30" s="810">
        <v>4</v>
      </c>
      <c r="M30" s="810">
        <v>0.5</v>
      </c>
      <c r="N30" s="811">
        <v>3.5</v>
      </c>
      <c r="O30" s="812">
        <v>0</v>
      </c>
      <c r="P30" s="811">
        <v>0</v>
      </c>
      <c r="Q30" s="812">
        <v>0</v>
      </c>
      <c r="R30" s="811">
        <v>0</v>
      </c>
      <c r="S30" s="812">
        <v>0</v>
      </c>
      <c r="T30" s="811">
        <v>0</v>
      </c>
      <c r="U30" s="812">
        <v>0</v>
      </c>
      <c r="V30" s="811">
        <v>0</v>
      </c>
      <c r="W30" s="812">
        <v>0</v>
      </c>
      <c r="X30" s="811">
        <v>0</v>
      </c>
      <c r="Y30" s="812">
        <v>0</v>
      </c>
      <c r="Z30" s="811">
        <v>0</v>
      </c>
      <c r="AA30" s="812">
        <v>0</v>
      </c>
      <c r="AB30" s="811">
        <v>0</v>
      </c>
      <c r="AC30" s="812">
        <v>0</v>
      </c>
      <c r="AD30" s="811">
        <v>0</v>
      </c>
      <c r="AE30" s="807">
        <v>0.5</v>
      </c>
      <c r="AF30" s="807">
        <v>3.5</v>
      </c>
      <c r="AL30" s="813">
        <v>1</v>
      </c>
      <c r="AQ30" s="74" t="s">
        <v>320</v>
      </c>
    </row>
    <row r="31" spans="1:43" s="74" customFormat="1">
      <c r="A31" s="802"/>
      <c r="B31" s="797">
        <v>1</v>
      </c>
      <c r="C31" s="798">
        <v>4</v>
      </c>
      <c r="D31" s="814" t="s">
        <v>367</v>
      </c>
      <c r="E31" s="800" t="s">
        <v>368</v>
      </c>
      <c r="F31" s="815" t="s">
        <v>367</v>
      </c>
      <c r="G31" s="816">
        <v>15</v>
      </c>
      <c r="H31" s="806">
        <v>0.6</v>
      </c>
      <c r="I31" s="807">
        <v>3.4</v>
      </c>
      <c r="J31" s="808">
        <v>2.25</v>
      </c>
      <c r="K31" s="809" t="s">
        <v>320</v>
      </c>
      <c r="L31" s="810">
        <v>4</v>
      </c>
      <c r="M31" s="810">
        <v>0.6</v>
      </c>
      <c r="N31" s="811">
        <v>3.4</v>
      </c>
      <c r="O31" s="812">
        <v>0</v>
      </c>
      <c r="P31" s="811">
        <v>0</v>
      </c>
      <c r="Q31" s="812">
        <v>0</v>
      </c>
      <c r="R31" s="811">
        <v>0</v>
      </c>
      <c r="S31" s="812">
        <v>0</v>
      </c>
      <c r="T31" s="811">
        <v>0</v>
      </c>
      <c r="U31" s="812">
        <v>0</v>
      </c>
      <c r="V31" s="811">
        <v>0</v>
      </c>
      <c r="W31" s="812">
        <v>0</v>
      </c>
      <c r="X31" s="811">
        <v>0</v>
      </c>
      <c r="Y31" s="812">
        <v>0</v>
      </c>
      <c r="Z31" s="811">
        <v>0</v>
      </c>
      <c r="AA31" s="812">
        <v>0</v>
      </c>
      <c r="AB31" s="811">
        <v>0</v>
      </c>
      <c r="AC31" s="812">
        <v>0</v>
      </c>
      <c r="AD31" s="811">
        <v>0</v>
      </c>
      <c r="AE31" s="807">
        <v>0.6</v>
      </c>
      <c r="AF31" s="807">
        <v>3.4</v>
      </c>
      <c r="AL31" s="813">
        <v>1</v>
      </c>
      <c r="AQ31" s="74" t="s">
        <v>320</v>
      </c>
    </row>
    <row r="32" spans="1:43" s="74" customFormat="1">
      <c r="A32" s="802"/>
      <c r="B32" s="797">
        <v>1</v>
      </c>
      <c r="C32" s="798">
        <v>4</v>
      </c>
      <c r="D32" s="803" t="s">
        <v>369</v>
      </c>
      <c r="E32" s="800" t="s">
        <v>370</v>
      </c>
      <c r="F32" s="804" t="s">
        <v>369</v>
      </c>
      <c r="G32" s="805">
        <v>20</v>
      </c>
      <c r="H32" s="806">
        <v>0.8</v>
      </c>
      <c r="I32" s="807">
        <v>3.2</v>
      </c>
      <c r="J32" s="808">
        <v>3</v>
      </c>
      <c r="K32" s="809" t="s">
        <v>320</v>
      </c>
      <c r="L32" s="810">
        <v>4</v>
      </c>
      <c r="M32" s="810">
        <v>0.8</v>
      </c>
      <c r="N32" s="811">
        <v>3.2</v>
      </c>
      <c r="O32" s="812">
        <v>0</v>
      </c>
      <c r="P32" s="811"/>
      <c r="Q32" s="812"/>
      <c r="R32" s="811"/>
      <c r="S32" s="812"/>
      <c r="T32" s="811"/>
      <c r="U32" s="812"/>
      <c r="V32" s="811"/>
      <c r="W32" s="812"/>
      <c r="X32" s="811"/>
      <c r="Y32" s="812">
        <v>0</v>
      </c>
      <c r="Z32" s="811">
        <v>0</v>
      </c>
      <c r="AA32" s="812">
        <v>0</v>
      </c>
      <c r="AB32" s="811">
        <v>0</v>
      </c>
      <c r="AC32" s="812">
        <v>0</v>
      </c>
      <c r="AD32" s="811">
        <v>0</v>
      </c>
      <c r="AE32" s="807">
        <v>0.8</v>
      </c>
      <c r="AF32" s="807">
        <v>3.2</v>
      </c>
      <c r="AL32" s="813">
        <v>1</v>
      </c>
      <c r="AQ32" s="74" t="s">
        <v>320</v>
      </c>
    </row>
    <row r="33" spans="1:43" s="74" customFormat="1">
      <c r="A33" s="802"/>
      <c r="B33" s="797">
        <v>1</v>
      </c>
      <c r="C33" s="798">
        <v>4</v>
      </c>
      <c r="D33" s="814" t="s">
        <v>371</v>
      </c>
      <c r="E33" s="800" t="s">
        <v>372</v>
      </c>
      <c r="F33" s="815" t="s">
        <v>371</v>
      </c>
      <c r="G33" s="816">
        <v>25</v>
      </c>
      <c r="H33" s="806">
        <v>1</v>
      </c>
      <c r="I33" s="807">
        <v>3</v>
      </c>
      <c r="J33" s="808">
        <v>3.75</v>
      </c>
      <c r="K33" s="809" t="s">
        <v>320</v>
      </c>
      <c r="L33" s="810">
        <v>4</v>
      </c>
      <c r="M33" s="810">
        <v>1</v>
      </c>
      <c r="N33" s="811">
        <v>3</v>
      </c>
      <c r="O33" s="812"/>
      <c r="P33" s="811"/>
      <c r="Q33" s="812"/>
      <c r="R33" s="811"/>
      <c r="S33" s="812"/>
      <c r="T33" s="811"/>
      <c r="U33" s="812"/>
      <c r="V33" s="811"/>
      <c r="W33" s="812"/>
      <c r="X33" s="811"/>
      <c r="Y33" s="812">
        <v>0</v>
      </c>
      <c r="Z33" s="811">
        <v>0</v>
      </c>
      <c r="AA33" s="812">
        <v>0</v>
      </c>
      <c r="AB33" s="811">
        <v>0</v>
      </c>
      <c r="AC33" s="812">
        <v>0</v>
      </c>
      <c r="AD33" s="811">
        <v>0</v>
      </c>
      <c r="AE33" s="807">
        <v>1</v>
      </c>
      <c r="AF33" s="807">
        <v>3</v>
      </c>
      <c r="AL33" s="813">
        <v>1</v>
      </c>
      <c r="AQ33" s="74" t="s">
        <v>320</v>
      </c>
    </row>
    <row r="34" spans="1:43" s="74" customFormat="1">
      <c r="A34" s="802"/>
      <c r="B34" s="797">
        <v>1</v>
      </c>
      <c r="C34" s="798">
        <v>4</v>
      </c>
      <c r="D34" s="803" t="s">
        <v>373</v>
      </c>
      <c r="E34" s="800" t="s">
        <v>374</v>
      </c>
      <c r="F34" s="804" t="s">
        <v>373</v>
      </c>
      <c r="G34" s="805">
        <v>37.5</v>
      </c>
      <c r="H34" s="806">
        <v>1.5</v>
      </c>
      <c r="I34" s="807">
        <v>2.5</v>
      </c>
      <c r="J34" s="808">
        <v>5.625</v>
      </c>
      <c r="K34" s="809" t="s">
        <v>320</v>
      </c>
      <c r="L34" s="810">
        <v>4</v>
      </c>
      <c r="M34" s="810">
        <v>1.5</v>
      </c>
      <c r="N34" s="811">
        <v>2.5</v>
      </c>
      <c r="O34" s="812">
        <v>0</v>
      </c>
      <c r="P34" s="811"/>
      <c r="Q34" s="812"/>
      <c r="R34" s="811"/>
      <c r="S34" s="812"/>
      <c r="T34" s="811"/>
      <c r="U34" s="812"/>
      <c r="V34" s="811"/>
      <c r="W34" s="812"/>
      <c r="X34" s="811"/>
      <c r="Y34" s="812">
        <v>0</v>
      </c>
      <c r="Z34" s="811">
        <v>0</v>
      </c>
      <c r="AA34" s="812">
        <v>0</v>
      </c>
      <c r="AB34" s="811">
        <v>0</v>
      </c>
      <c r="AC34" s="812">
        <v>0</v>
      </c>
      <c r="AD34" s="811">
        <v>0</v>
      </c>
      <c r="AE34" s="807">
        <v>1.5</v>
      </c>
      <c r="AF34" s="807">
        <v>2.5</v>
      </c>
      <c r="AL34" s="813">
        <v>1</v>
      </c>
      <c r="AQ34" s="74" t="s">
        <v>320</v>
      </c>
    </row>
    <row r="35" spans="1:43" s="74" customFormat="1">
      <c r="A35" s="802"/>
      <c r="B35" s="797">
        <v>1</v>
      </c>
      <c r="C35" s="798">
        <v>4.3</v>
      </c>
      <c r="D35" s="814" t="s">
        <v>375</v>
      </c>
      <c r="E35" s="800" t="s">
        <v>376</v>
      </c>
      <c r="F35" s="815" t="s">
        <v>375</v>
      </c>
      <c r="G35" s="816">
        <v>30.232558139534891</v>
      </c>
      <c r="H35" s="806">
        <v>1.3</v>
      </c>
      <c r="I35" s="807">
        <v>3</v>
      </c>
      <c r="J35" s="808">
        <v>4.5348837209302344</v>
      </c>
      <c r="K35" s="809" t="s">
        <v>320</v>
      </c>
      <c r="L35" s="810">
        <v>4.3</v>
      </c>
      <c r="M35" s="810">
        <v>1.3</v>
      </c>
      <c r="N35" s="811">
        <v>3</v>
      </c>
      <c r="O35" s="812">
        <v>0</v>
      </c>
      <c r="P35" s="811"/>
      <c r="Q35" s="812"/>
      <c r="R35" s="811"/>
      <c r="S35" s="812"/>
      <c r="T35" s="811"/>
      <c r="U35" s="812"/>
      <c r="V35" s="811"/>
      <c r="W35" s="812"/>
      <c r="X35" s="811"/>
      <c r="Y35" s="812">
        <v>0</v>
      </c>
      <c r="Z35" s="811">
        <v>0</v>
      </c>
      <c r="AA35" s="812">
        <v>0</v>
      </c>
      <c r="AB35" s="811">
        <v>0</v>
      </c>
      <c r="AC35" s="812">
        <v>0</v>
      </c>
      <c r="AD35" s="811">
        <v>0</v>
      </c>
      <c r="AE35" s="807">
        <v>1.3</v>
      </c>
      <c r="AF35" s="807">
        <v>3</v>
      </c>
      <c r="AL35" s="813">
        <v>1</v>
      </c>
      <c r="AQ35" s="74" t="s">
        <v>320</v>
      </c>
    </row>
    <row r="36" spans="1:43" s="74" customFormat="1">
      <c r="A36" s="802"/>
      <c r="B36" s="797">
        <v>1</v>
      </c>
      <c r="C36" s="798">
        <v>5</v>
      </c>
      <c r="D36" s="803" t="s">
        <v>377</v>
      </c>
      <c r="E36" s="800" t="s">
        <v>378</v>
      </c>
      <c r="F36" s="804" t="s">
        <v>377</v>
      </c>
      <c r="G36" s="805">
        <v>4</v>
      </c>
      <c r="H36" s="806">
        <v>0.2</v>
      </c>
      <c r="I36" s="807">
        <v>4.8</v>
      </c>
      <c r="J36" s="808">
        <v>0.6</v>
      </c>
      <c r="K36" s="809" t="s">
        <v>320</v>
      </c>
      <c r="L36" s="810">
        <v>5</v>
      </c>
      <c r="M36" s="810">
        <v>0.2</v>
      </c>
      <c r="N36" s="811">
        <v>4.8</v>
      </c>
      <c r="O36" s="812">
        <v>0</v>
      </c>
      <c r="P36" s="811"/>
      <c r="Q36" s="812"/>
      <c r="R36" s="811"/>
      <c r="S36" s="812"/>
      <c r="T36" s="811"/>
      <c r="U36" s="812"/>
      <c r="V36" s="811"/>
      <c r="W36" s="812"/>
      <c r="X36" s="811"/>
      <c r="Y36" s="812">
        <v>0</v>
      </c>
      <c r="Z36" s="811">
        <v>0</v>
      </c>
      <c r="AA36" s="812">
        <v>0</v>
      </c>
      <c r="AB36" s="811">
        <v>0</v>
      </c>
      <c r="AC36" s="812">
        <v>0</v>
      </c>
      <c r="AD36" s="811">
        <v>0</v>
      </c>
      <c r="AE36" s="807">
        <v>0.2</v>
      </c>
      <c r="AF36" s="807">
        <v>4.8</v>
      </c>
      <c r="AL36" s="813">
        <v>1</v>
      </c>
      <c r="AQ36" s="74" t="s">
        <v>320</v>
      </c>
    </row>
    <row r="37" spans="1:43" s="74" customFormat="1">
      <c r="A37" s="802"/>
      <c r="B37" s="797">
        <v>1</v>
      </c>
      <c r="C37" s="798">
        <v>5</v>
      </c>
      <c r="D37" s="814" t="s">
        <v>379</v>
      </c>
      <c r="E37" s="800" t="s">
        <v>380</v>
      </c>
      <c r="F37" s="815" t="s">
        <v>379</v>
      </c>
      <c r="G37" s="816">
        <v>6</v>
      </c>
      <c r="H37" s="806">
        <v>0.3</v>
      </c>
      <c r="I37" s="807">
        <v>4.7</v>
      </c>
      <c r="J37" s="808">
        <v>0.89999999999999991</v>
      </c>
      <c r="K37" s="809" t="s">
        <v>320</v>
      </c>
      <c r="L37" s="810">
        <v>5</v>
      </c>
      <c r="M37" s="810">
        <v>0.3</v>
      </c>
      <c r="N37" s="811">
        <v>4.7</v>
      </c>
      <c r="O37" s="812">
        <v>0</v>
      </c>
      <c r="P37" s="811"/>
      <c r="Q37" s="812"/>
      <c r="R37" s="811"/>
      <c r="S37" s="812"/>
      <c r="T37" s="811"/>
      <c r="U37" s="812"/>
      <c r="V37" s="811"/>
      <c r="W37" s="812"/>
      <c r="X37" s="811"/>
      <c r="Y37" s="812">
        <v>0</v>
      </c>
      <c r="Z37" s="811">
        <v>0</v>
      </c>
      <c r="AA37" s="812">
        <v>0</v>
      </c>
      <c r="AB37" s="811">
        <v>0</v>
      </c>
      <c r="AC37" s="812">
        <v>0</v>
      </c>
      <c r="AD37" s="811">
        <v>0</v>
      </c>
      <c r="AE37" s="807">
        <v>0.3</v>
      </c>
      <c r="AF37" s="807">
        <v>4.7</v>
      </c>
      <c r="AL37" s="813">
        <v>1</v>
      </c>
      <c r="AQ37" s="74" t="s">
        <v>320</v>
      </c>
    </row>
    <row r="38" spans="1:43" s="74" customFormat="1">
      <c r="A38" s="802"/>
      <c r="B38" s="797">
        <v>1</v>
      </c>
      <c r="C38" s="798">
        <v>5</v>
      </c>
      <c r="D38" s="803" t="s">
        <v>381</v>
      </c>
      <c r="E38" s="800" t="s">
        <v>382</v>
      </c>
      <c r="F38" s="804" t="s">
        <v>381</v>
      </c>
      <c r="G38" s="805">
        <v>10</v>
      </c>
      <c r="H38" s="806">
        <v>0.5</v>
      </c>
      <c r="I38" s="807">
        <v>4.5</v>
      </c>
      <c r="J38" s="808">
        <v>1.5</v>
      </c>
      <c r="K38" s="809" t="s">
        <v>320</v>
      </c>
      <c r="L38" s="810">
        <v>5</v>
      </c>
      <c r="M38" s="810">
        <v>0.5</v>
      </c>
      <c r="N38" s="811">
        <v>4.5</v>
      </c>
      <c r="O38" s="812">
        <v>0</v>
      </c>
      <c r="P38" s="811"/>
      <c r="Q38" s="812"/>
      <c r="R38" s="811"/>
      <c r="S38" s="812"/>
      <c r="T38" s="811"/>
      <c r="U38" s="812"/>
      <c r="V38" s="811"/>
      <c r="W38" s="812"/>
      <c r="X38" s="811"/>
      <c r="Y38" s="812">
        <v>0</v>
      </c>
      <c r="Z38" s="811">
        <v>0</v>
      </c>
      <c r="AA38" s="812">
        <v>0</v>
      </c>
      <c r="AB38" s="811">
        <v>0</v>
      </c>
      <c r="AC38" s="812">
        <v>0</v>
      </c>
      <c r="AD38" s="811">
        <v>0</v>
      </c>
      <c r="AE38" s="807">
        <v>0.5</v>
      </c>
      <c r="AF38" s="807">
        <v>4.5</v>
      </c>
      <c r="AL38" s="813">
        <v>1</v>
      </c>
      <c r="AQ38" s="74" t="s">
        <v>320</v>
      </c>
    </row>
    <row r="39" spans="1:43" s="74" customFormat="1">
      <c r="A39" s="802"/>
      <c r="B39" s="797">
        <v>1</v>
      </c>
      <c r="C39" s="798">
        <v>5</v>
      </c>
      <c r="D39" s="814" t="s">
        <v>383</v>
      </c>
      <c r="E39" s="800" t="s">
        <v>384</v>
      </c>
      <c r="F39" s="815" t="s">
        <v>383</v>
      </c>
      <c r="G39" s="816">
        <v>12</v>
      </c>
      <c r="H39" s="806">
        <v>0.6</v>
      </c>
      <c r="I39" s="807">
        <v>4.4000000000000004</v>
      </c>
      <c r="J39" s="808">
        <v>1.8</v>
      </c>
      <c r="K39" s="809" t="s">
        <v>320</v>
      </c>
      <c r="L39" s="810">
        <v>5</v>
      </c>
      <c r="M39" s="810">
        <v>0.6</v>
      </c>
      <c r="N39" s="811">
        <v>4.4000000000000004</v>
      </c>
      <c r="O39" s="812">
        <v>0</v>
      </c>
      <c r="P39" s="811"/>
      <c r="Q39" s="812"/>
      <c r="R39" s="811"/>
      <c r="S39" s="812"/>
      <c r="T39" s="811"/>
      <c r="U39" s="812"/>
      <c r="V39" s="811"/>
      <c r="W39" s="812"/>
      <c r="X39" s="811"/>
      <c r="Y39" s="812">
        <v>0</v>
      </c>
      <c r="Z39" s="811">
        <v>0</v>
      </c>
      <c r="AA39" s="812">
        <v>0</v>
      </c>
      <c r="AB39" s="811">
        <v>0</v>
      </c>
      <c r="AC39" s="812">
        <v>0</v>
      </c>
      <c r="AD39" s="811">
        <v>0</v>
      </c>
      <c r="AE39" s="807">
        <v>0.6</v>
      </c>
      <c r="AF39" s="807">
        <v>4.4000000000000004</v>
      </c>
      <c r="AL39" s="813">
        <v>1</v>
      </c>
      <c r="AQ39" s="74" t="s">
        <v>320</v>
      </c>
    </row>
    <row r="40" spans="1:43" s="74" customFormat="1">
      <c r="A40" s="802"/>
      <c r="B40" s="797">
        <v>1</v>
      </c>
      <c r="C40" s="798">
        <v>5</v>
      </c>
      <c r="D40" s="803" t="s">
        <v>385</v>
      </c>
      <c r="E40" s="800" t="s">
        <v>386</v>
      </c>
      <c r="F40" s="804" t="s">
        <v>385</v>
      </c>
      <c r="G40" s="805">
        <v>18</v>
      </c>
      <c r="H40" s="806">
        <v>0.9</v>
      </c>
      <c r="I40" s="807">
        <v>4.0999999999999996</v>
      </c>
      <c r="J40" s="808">
        <v>2.7</v>
      </c>
      <c r="K40" s="809" t="s">
        <v>320</v>
      </c>
      <c r="L40" s="810">
        <v>5</v>
      </c>
      <c r="M40" s="810">
        <v>0.9</v>
      </c>
      <c r="N40" s="811">
        <v>4.0999999999999996</v>
      </c>
      <c r="O40" s="812">
        <v>0</v>
      </c>
      <c r="P40" s="811"/>
      <c r="Q40" s="812"/>
      <c r="R40" s="811"/>
      <c r="S40" s="812"/>
      <c r="T40" s="811"/>
      <c r="U40" s="812"/>
      <c r="V40" s="811"/>
      <c r="W40" s="812"/>
      <c r="X40" s="811"/>
      <c r="Y40" s="812">
        <v>0</v>
      </c>
      <c r="Z40" s="811">
        <v>0</v>
      </c>
      <c r="AA40" s="812">
        <v>0</v>
      </c>
      <c r="AB40" s="811">
        <v>0</v>
      </c>
      <c r="AC40" s="812">
        <v>0</v>
      </c>
      <c r="AD40" s="811">
        <v>0</v>
      </c>
      <c r="AE40" s="807">
        <v>0.9</v>
      </c>
      <c r="AF40" s="807">
        <v>4.0999999999999996</v>
      </c>
      <c r="AL40" s="813">
        <v>1</v>
      </c>
      <c r="AQ40" s="74" t="s">
        <v>320</v>
      </c>
    </row>
    <row r="41" spans="1:43" s="74" customFormat="1">
      <c r="A41" s="802"/>
      <c r="B41" s="797">
        <v>1</v>
      </c>
      <c r="C41" s="798">
        <v>5</v>
      </c>
      <c r="D41" s="814" t="s">
        <v>387</v>
      </c>
      <c r="E41" s="800" t="s">
        <v>388</v>
      </c>
      <c r="F41" s="815" t="s">
        <v>387</v>
      </c>
      <c r="G41" s="816">
        <v>20</v>
      </c>
      <c r="H41" s="806">
        <v>1</v>
      </c>
      <c r="I41" s="807">
        <v>4</v>
      </c>
      <c r="J41" s="808">
        <v>3</v>
      </c>
      <c r="K41" s="809" t="s">
        <v>320</v>
      </c>
      <c r="L41" s="810">
        <v>5</v>
      </c>
      <c r="M41" s="810">
        <v>1</v>
      </c>
      <c r="N41" s="811">
        <v>4</v>
      </c>
      <c r="O41" s="812">
        <v>0</v>
      </c>
      <c r="P41" s="811">
        <v>0</v>
      </c>
      <c r="Q41" s="812">
        <v>0</v>
      </c>
      <c r="R41" s="811">
        <v>0</v>
      </c>
      <c r="S41" s="812">
        <v>0</v>
      </c>
      <c r="T41" s="811">
        <v>0</v>
      </c>
      <c r="U41" s="812">
        <v>0</v>
      </c>
      <c r="V41" s="811">
        <v>0</v>
      </c>
      <c r="W41" s="812">
        <v>0</v>
      </c>
      <c r="X41" s="811">
        <v>0</v>
      </c>
      <c r="Y41" s="812">
        <v>0</v>
      </c>
      <c r="Z41" s="811">
        <v>0</v>
      </c>
      <c r="AA41" s="812">
        <v>0</v>
      </c>
      <c r="AB41" s="811">
        <v>0</v>
      </c>
      <c r="AC41" s="812">
        <v>0</v>
      </c>
      <c r="AD41" s="811">
        <v>0</v>
      </c>
      <c r="AE41" s="807">
        <v>1</v>
      </c>
      <c r="AF41" s="807">
        <v>4</v>
      </c>
      <c r="AL41" s="813">
        <v>1</v>
      </c>
      <c r="AQ41" s="74" t="s">
        <v>320</v>
      </c>
    </row>
    <row r="42" spans="1:43" s="74" customFormat="1">
      <c r="A42" s="802"/>
      <c r="B42" s="797">
        <v>1</v>
      </c>
      <c r="C42" s="798">
        <v>5</v>
      </c>
      <c r="D42" s="803" t="s">
        <v>389</v>
      </c>
      <c r="E42" s="800" t="s">
        <v>390</v>
      </c>
      <c r="F42" s="804" t="s">
        <v>389</v>
      </c>
      <c r="G42" s="805">
        <v>30</v>
      </c>
      <c r="H42" s="806">
        <v>1.5</v>
      </c>
      <c r="I42" s="807">
        <v>3.5</v>
      </c>
      <c r="J42" s="808">
        <v>4.5</v>
      </c>
      <c r="K42" s="809" t="s">
        <v>320</v>
      </c>
      <c r="L42" s="810">
        <v>5</v>
      </c>
      <c r="M42" s="810">
        <v>1.5</v>
      </c>
      <c r="N42" s="811">
        <v>3.5</v>
      </c>
      <c r="O42" s="812">
        <v>0</v>
      </c>
      <c r="P42" s="811">
        <v>0</v>
      </c>
      <c r="Q42" s="812">
        <v>0</v>
      </c>
      <c r="R42" s="811">
        <v>0</v>
      </c>
      <c r="S42" s="812">
        <v>0</v>
      </c>
      <c r="T42" s="811">
        <v>0</v>
      </c>
      <c r="U42" s="812">
        <v>0</v>
      </c>
      <c r="V42" s="811">
        <v>0</v>
      </c>
      <c r="W42" s="812">
        <v>0</v>
      </c>
      <c r="X42" s="811">
        <v>0</v>
      </c>
      <c r="Y42" s="812">
        <v>0</v>
      </c>
      <c r="Z42" s="811">
        <v>0</v>
      </c>
      <c r="AA42" s="812">
        <v>0</v>
      </c>
      <c r="AB42" s="811">
        <v>0</v>
      </c>
      <c r="AC42" s="812">
        <v>0</v>
      </c>
      <c r="AD42" s="811">
        <v>0</v>
      </c>
      <c r="AE42" s="807">
        <v>1.5</v>
      </c>
      <c r="AF42" s="807">
        <v>3.5</v>
      </c>
      <c r="AL42" s="813">
        <v>1</v>
      </c>
      <c r="AQ42" s="74" t="s">
        <v>320</v>
      </c>
    </row>
    <row r="43" spans="1:43" s="74" customFormat="1">
      <c r="A43" s="802"/>
      <c r="B43" s="797">
        <v>1</v>
      </c>
      <c r="C43" s="798">
        <v>6</v>
      </c>
      <c r="D43" s="814" t="s">
        <v>391</v>
      </c>
      <c r="E43" s="800" t="s">
        <v>392</v>
      </c>
      <c r="F43" s="815" t="s">
        <v>391</v>
      </c>
      <c r="G43" s="816">
        <v>3.333333333333333</v>
      </c>
      <c r="H43" s="806">
        <v>0.2</v>
      </c>
      <c r="I43" s="807">
        <v>5.8</v>
      </c>
      <c r="J43" s="808">
        <v>0.5</v>
      </c>
      <c r="K43" s="809" t="s">
        <v>320</v>
      </c>
      <c r="L43" s="810">
        <v>6</v>
      </c>
      <c r="M43" s="810">
        <v>0.2</v>
      </c>
      <c r="N43" s="811">
        <v>5.8</v>
      </c>
      <c r="O43" s="812">
        <v>0</v>
      </c>
      <c r="P43" s="811">
        <v>0</v>
      </c>
      <c r="Q43" s="812">
        <v>0</v>
      </c>
      <c r="R43" s="811">
        <v>0</v>
      </c>
      <c r="S43" s="812">
        <v>0</v>
      </c>
      <c r="T43" s="811">
        <v>0</v>
      </c>
      <c r="U43" s="812">
        <v>0</v>
      </c>
      <c r="V43" s="811">
        <v>0</v>
      </c>
      <c r="W43" s="812">
        <v>0</v>
      </c>
      <c r="X43" s="811">
        <v>0</v>
      </c>
      <c r="Y43" s="812">
        <v>0</v>
      </c>
      <c r="Z43" s="811">
        <v>0</v>
      </c>
      <c r="AA43" s="812">
        <v>0</v>
      </c>
      <c r="AB43" s="811">
        <v>0</v>
      </c>
      <c r="AC43" s="812">
        <v>0</v>
      </c>
      <c r="AD43" s="811">
        <v>0</v>
      </c>
      <c r="AE43" s="807">
        <v>0.2</v>
      </c>
      <c r="AF43" s="807">
        <v>5.8</v>
      </c>
      <c r="AL43" s="813">
        <v>1</v>
      </c>
      <c r="AQ43" s="74" t="s">
        <v>320</v>
      </c>
    </row>
    <row r="44" spans="1:43" s="74" customFormat="1">
      <c r="A44" s="802"/>
      <c r="B44" s="797">
        <v>1</v>
      </c>
      <c r="C44" s="798">
        <v>6</v>
      </c>
      <c r="D44" s="803" t="s">
        <v>393</v>
      </c>
      <c r="E44" s="800" t="s">
        <v>394</v>
      </c>
      <c r="F44" s="804" t="s">
        <v>393</v>
      </c>
      <c r="G44" s="805">
        <v>5</v>
      </c>
      <c r="H44" s="806">
        <v>0.3</v>
      </c>
      <c r="I44" s="807">
        <v>5.7</v>
      </c>
      <c r="J44" s="808">
        <v>0.75</v>
      </c>
      <c r="K44" s="809" t="s">
        <v>320</v>
      </c>
      <c r="L44" s="810">
        <v>6</v>
      </c>
      <c r="M44" s="810">
        <v>0.3</v>
      </c>
      <c r="N44" s="811">
        <v>5.7</v>
      </c>
      <c r="O44" s="812">
        <v>0</v>
      </c>
      <c r="P44" s="811">
        <v>0</v>
      </c>
      <c r="Q44" s="812">
        <v>0</v>
      </c>
      <c r="R44" s="811">
        <v>0</v>
      </c>
      <c r="S44" s="812">
        <v>0</v>
      </c>
      <c r="T44" s="811">
        <v>0</v>
      </c>
      <c r="U44" s="812">
        <v>0</v>
      </c>
      <c r="V44" s="811">
        <v>0</v>
      </c>
      <c r="W44" s="812">
        <v>0</v>
      </c>
      <c r="X44" s="811">
        <v>0</v>
      </c>
      <c r="Y44" s="812">
        <v>0</v>
      </c>
      <c r="Z44" s="811">
        <v>0</v>
      </c>
      <c r="AA44" s="812">
        <v>0</v>
      </c>
      <c r="AB44" s="811">
        <v>0</v>
      </c>
      <c r="AC44" s="812">
        <v>0</v>
      </c>
      <c r="AD44" s="811">
        <v>0</v>
      </c>
      <c r="AE44" s="807">
        <v>0.3</v>
      </c>
      <c r="AF44" s="807">
        <v>5.7</v>
      </c>
      <c r="AL44" s="813">
        <v>1</v>
      </c>
      <c r="AQ44" s="74" t="s">
        <v>320</v>
      </c>
    </row>
    <row r="45" spans="1:43" s="74" customFormat="1">
      <c r="A45" s="802"/>
      <c r="B45" s="797">
        <v>1</v>
      </c>
      <c r="C45" s="798">
        <v>6</v>
      </c>
      <c r="D45" s="814" t="s">
        <v>395</v>
      </c>
      <c r="E45" s="800" t="s">
        <v>396</v>
      </c>
      <c r="F45" s="815" t="s">
        <v>395</v>
      </c>
      <c r="G45" s="816">
        <v>6.666666666666667</v>
      </c>
      <c r="H45" s="806">
        <v>0.4</v>
      </c>
      <c r="I45" s="807">
        <v>5.6</v>
      </c>
      <c r="J45" s="808">
        <v>1</v>
      </c>
      <c r="K45" s="809" t="s">
        <v>320</v>
      </c>
      <c r="L45" s="810">
        <v>6</v>
      </c>
      <c r="M45" s="810">
        <v>0.4</v>
      </c>
      <c r="N45" s="811">
        <v>5.6</v>
      </c>
      <c r="O45" s="812">
        <v>0</v>
      </c>
      <c r="P45" s="811">
        <v>0</v>
      </c>
      <c r="Q45" s="812">
        <v>0</v>
      </c>
      <c r="R45" s="811">
        <v>0</v>
      </c>
      <c r="S45" s="812">
        <v>0</v>
      </c>
      <c r="T45" s="811">
        <v>0</v>
      </c>
      <c r="U45" s="812">
        <v>0</v>
      </c>
      <c r="V45" s="811">
        <v>0</v>
      </c>
      <c r="W45" s="812">
        <v>0</v>
      </c>
      <c r="X45" s="811">
        <v>0</v>
      </c>
      <c r="Y45" s="812">
        <v>0</v>
      </c>
      <c r="Z45" s="811">
        <v>0</v>
      </c>
      <c r="AA45" s="812">
        <v>0</v>
      </c>
      <c r="AB45" s="811">
        <v>0</v>
      </c>
      <c r="AC45" s="812">
        <v>0</v>
      </c>
      <c r="AD45" s="811">
        <v>0</v>
      </c>
      <c r="AE45" s="807">
        <v>0.4</v>
      </c>
      <c r="AF45" s="807">
        <v>5.6</v>
      </c>
      <c r="AL45" s="813">
        <v>1</v>
      </c>
      <c r="AQ45" s="74" t="s">
        <v>320</v>
      </c>
    </row>
    <row r="46" spans="1:43" s="74" customFormat="1">
      <c r="A46" s="802"/>
      <c r="B46" s="797">
        <v>1</v>
      </c>
      <c r="C46" s="798">
        <v>6</v>
      </c>
      <c r="D46" s="803" t="s">
        <v>397</v>
      </c>
      <c r="E46" s="800" t="s">
        <v>398</v>
      </c>
      <c r="F46" s="804" t="s">
        <v>397</v>
      </c>
      <c r="G46" s="805">
        <v>8.3333333333333321</v>
      </c>
      <c r="H46" s="806">
        <v>0.5</v>
      </c>
      <c r="I46" s="807">
        <v>5.5</v>
      </c>
      <c r="J46" s="808">
        <v>1.25</v>
      </c>
      <c r="K46" s="809" t="s">
        <v>320</v>
      </c>
      <c r="L46" s="810">
        <v>6</v>
      </c>
      <c r="M46" s="810">
        <v>0.5</v>
      </c>
      <c r="N46" s="811">
        <v>5.5</v>
      </c>
      <c r="O46" s="812">
        <v>0</v>
      </c>
      <c r="P46" s="811">
        <v>0</v>
      </c>
      <c r="Q46" s="812">
        <v>0</v>
      </c>
      <c r="R46" s="811">
        <v>0</v>
      </c>
      <c r="S46" s="812">
        <v>0</v>
      </c>
      <c r="T46" s="811">
        <v>0</v>
      </c>
      <c r="U46" s="812">
        <v>0</v>
      </c>
      <c r="V46" s="811">
        <v>0</v>
      </c>
      <c r="W46" s="812">
        <v>0</v>
      </c>
      <c r="X46" s="811">
        <v>0</v>
      </c>
      <c r="Y46" s="812">
        <v>0</v>
      </c>
      <c r="Z46" s="811">
        <v>0</v>
      </c>
      <c r="AA46" s="812">
        <v>0</v>
      </c>
      <c r="AB46" s="811">
        <v>0</v>
      </c>
      <c r="AC46" s="812">
        <v>0</v>
      </c>
      <c r="AD46" s="811">
        <v>0</v>
      </c>
      <c r="AE46" s="807">
        <v>0.5</v>
      </c>
      <c r="AF46" s="807">
        <v>5.5</v>
      </c>
      <c r="AL46" s="813">
        <v>1</v>
      </c>
      <c r="AQ46" s="74" t="s">
        <v>320</v>
      </c>
    </row>
    <row r="47" spans="1:43" s="74" customFormat="1">
      <c r="A47" s="802"/>
      <c r="B47" s="797">
        <v>1</v>
      </c>
      <c r="C47" s="798">
        <v>6</v>
      </c>
      <c r="D47" s="814" t="s">
        <v>399</v>
      </c>
      <c r="E47" s="800" t="s">
        <v>400</v>
      </c>
      <c r="F47" s="815" t="s">
        <v>399</v>
      </c>
      <c r="G47" s="816">
        <v>10</v>
      </c>
      <c r="H47" s="806">
        <v>0.6</v>
      </c>
      <c r="I47" s="807">
        <v>5.4</v>
      </c>
      <c r="J47" s="808">
        <v>1.5</v>
      </c>
      <c r="K47" s="809" t="s">
        <v>320</v>
      </c>
      <c r="L47" s="810">
        <v>6</v>
      </c>
      <c r="M47" s="810">
        <v>0.6</v>
      </c>
      <c r="N47" s="811">
        <v>5.4</v>
      </c>
      <c r="O47" s="812">
        <v>0</v>
      </c>
      <c r="P47" s="811">
        <v>0</v>
      </c>
      <c r="Q47" s="812">
        <v>0</v>
      </c>
      <c r="R47" s="811">
        <v>0</v>
      </c>
      <c r="S47" s="812">
        <v>0</v>
      </c>
      <c r="T47" s="811">
        <v>0</v>
      </c>
      <c r="U47" s="812">
        <v>0</v>
      </c>
      <c r="V47" s="811">
        <v>0</v>
      </c>
      <c r="W47" s="812">
        <v>0</v>
      </c>
      <c r="X47" s="811">
        <v>0</v>
      </c>
      <c r="Y47" s="812">
        <v>0</v>
      </c>
      <c r="Z47" s="811">
        <v>0</v>
      </c>
      <c r="AA47" s="812">
        <v>0</v>
      </c>
      <c r="AB47" s="811">
        <v>0</v>
      </c>
      <c r="AC47" s="812">
        <v>0</v>
      </c>
      <c r="AD47" s="811">
        <v>0</v>
      </c>
      <c r="AE47" s="807">
        <v>0.6</v>
      </c>
      <c r="AF47" s="807">
        <v>5.4</v>
      </c>
      <c r="AL47" s="813">
        <v>1</v>
      </c>
      <c r="AQ47" s="74" t="s">
        <v>320</v>
      </c>
    </row>
    <row r="48" spans="1:43" s="74" customFormat="1">
      <c r="A48" s="802"/>
      <c r="B48" s="797">
        <v>1</v>
      </c>
      <c r="C48" s="798">
        <v>6</v>
      </c>
      <c r="D48" s="803" t="s">
        <v>401</v>
      </c>
      <c r="E48" s="800" t="s">
        <v>402</v>
      </c>
      <c r="F48" s="804" t="s">
        <v>401</v>
      </c>
      <c r="G48" s="805">
        <v>16.666666666666661</v>
      </c>
      <c r="H48" s="806">
        <v>1</v>
      </c>
      <c r="I48" s="807">
        <v>5</v>
      </c>
      <c r="J48" s="808">
        <v>2.5</v>
      </c>
      <c r="K48" s="809" t="s">
        <v>320</v>
      </c>
      <c r="L48" s="810">
        <v>6</v>
      </c>
      <c r="M48" s="810">
        <v>1</v>
      </c>
      <c r="N48" s="811">
        <v>5</v>
      </c>
      <c r="O48" s="812">
        <v>0</v>
      </c>
      <c r="P48" s="811">
        <v>0</v>
      </c>
      <c r="Q48" s="812">
        <v>0</v>
      </c>
      <c r="R48" s="811">
        <v>0</v>
      </c>
      <c r="S48" s="812">
        <v>0</v>
      </c>
      <c r="T48" s="811">
        <v>0</v>
      </c>
      <c r="U48" s="812">
        <v>0</v>
      </c>
      <c r="V48" s="811">
        <v>0</v>
      </c>
      <c r="W48" s="812">
        <v>0</v>
      </c>
      <c r="X48" s="811">
        <v>0</v>
      </c>
      <c r="Y48" s="812">
        <v>0</v>
      </c>
      <c r="Z48" s="811">
        <v>0</v>
      </c>
      <c r="AA48" s="812">
        <v>0</v>
      </c>
      <c r="AB48" s="811">
        <v>0</v>
      </c>
      <c r="AC48" s="812">
        <v>0</v>
      </c>
      <c r="AD48" s="811">
        <v>0</v>
      </c>
      <c r="AE48" s="807">
        <v>1</v>
      </c>
      <c r="AF48" s="807">
        <v>5</v>
      </c>
      <c r="AL48" s="813">
        <v>1</v>
      </c>
      <c r="AQ48" s="74" t="s">
        <v>320</v>
      </c>
    </row>
    <row r="49" spans="1:43" s="74" customFormat="1">
      <c r="A49" s="802"/>
      <c r="B49" s="797">
        <v>1</v>
      </c>
      <c r="C49" s="798">
        <v>6</v>
      </c>
      <c r="D49" s="814" t="s">
        <v>403</v>
      </c>
      <c r="E49" s="800" t="s">
        <v>404</v>
      </c>
      <c r="F49" s="815" t="s">
        <v>403</v>
      </c>
      <c r="G49" s="816">
        <v>20</v>
      </c>
      <c r="H49" s="806">
        <v>1.2</v>
      </c>
      <c r="I49" s="807">
        <v>4.8</v>
      </c>
      <c r="J49" s="808">
        <v>3</v>
      </c>
      <c r="K49" s="809" t="s">
        <v>320</v>
      </c>
      <c r="L49" s="810">
        <v>6</v>
      </c>
      <c r="M49" s="810">
        <v>1.2</v>
      </c>
      <c r="N49" s="811">
        <v>4.8</v>
      </c>
      <c r="O49" s="812"/>
      <c r="P49" s="811"/>
      <c r="Q49" s="812"/>
      <c r="R49" s="811"/>
      <c r="S49" s="812"/>
      <c r="T49" s="811"/>
      <c r="U49" s="812"/>
      <c r="V49" s="811"/>
      <c r="W49" s="812"/>
      <c r="X49" s="811"/>
      <c r="Y49" s="812"/>
      <c r="Z49" s="811"/>
      <c r="AA49" s="812"/>
      <c r="AB49" s="811"/>
      <c r="AC49" s="812"/>
      <c r="AD49" s="811"/>
      <c r="AE49" s="807">
        <v>1.2</v>
      </c>
      <c r="AF49" s="807">
        <v>4.8</v>
      </c>
      <c r="AL49" s="813">
        <v>1</v>
      </c>
      <c r="AQ49" s="74" t="s">
        <v>320</v>
      </c>
    </row>
    <row r="50" spans="1:43" s="74" customFormat="1">
      <c r="A50" s="802"/>
      <c r="B50" s="797">
        <v>1</v>
      </c>
      <c r="C50" s="798">
        <v>6</v>
      </c>
      <c r="D50" s="803" t="s">
        <v>405</v>
      </c>
      <c r="E50" s="800" t="s">
        <v>406</v>
      </c>
      <c r="F50" s="804" t="s">
        <v>405</v>
      </c>
      <c r="G50" s="805">
        <v>25</v>
      </c>
      <c r="H50" s="806">
        <v>1.5</v>
      </c>
      <c r="I50" s="807">
        <v>4.5</v>
      </c>
      <c r="J50" s="808">
        <v>3.75</v>
      </c>
      <c r="K50" s="809" t="s">
        <v>320</v>
      </c>
      <c r="L50" s="810">
        <v>6</v>
      </c>
      <c r="M50" s="810">
        <v>1.5</v>
      </c>
      <c r="N50" s="811">
        <v>4.5</v>
      </c>
      <c r="O50" s="812">
        <v>0</v>
      </c>
      <c r="P50" s="811">
        <v>0</v>
      </c>
      <c r="Q50" s="812">
        <v>0</v>
      </c>
      <c r="R50" s="811">
        <v>0</v>
      </c>
      <c r="S50" s="812">
        <v>0</v>
      </c>
      <c r="T50" s="811">
        <v>0</v>
      </c>
      <c r="U50" s="812">
        <v>0</v>
      </c>
      <c r="V50" s="811">
        <v>0</v>
      </c>
      <c r="W50" s="812">
        <v>0</v>
      </c>
      <c r="X50" s="811">
        <v>0</v>
      </c>
      <c r="Y50" s="812">
        <v>0</v>
      </c>
      <c r="Z50" s="811">
        <v>0</v>
      </c>
      <c r="AA50" s="812">
        <v>0</v>
      </c>
      <c r="AB50" s="811">
        <v>0</v>
      </c>
      <c r="AC50" s="812">
        <v>0</v>
      </c>
      <c r="AD50" s="811">
        <v>0</v>
      </c>
      <c r="AE50" s="807">
        <v>1.5</v>
      </c>
      <c r="AF50" s="807">
        <v>4.5</v>
      </c>
      <c r="AL50" s="813">
        <v>1</v>
      </c>
      <c r="AQ50" s="74" t="s">
        <v>320</v>
      </c>
    </row>
    <row r="51" spans="1:43" s="74" customFormat="1">
      <c r="A51" s="802"/>
      <c r="B51" s="797">
        <v>1</v>
      </c>
      <c r="C51" s="798">
        <v>7</v>
      </c>
      <c r="D51" s="814" t="s">
        <v>407</v>
      </c>
      <c r="E51" s="800" t="s">
        <v>408</v>
      </c>
      <c r="F51" s="815" t="s">
        <v>407</v>
      </c>
      <c r="G51" s="816">
        <v>14.285714285714279</v>
      </c>
      <c r="H51" s="806">
        <v>1</v>
      </c>
      <c r="I51" s="807">
        <v>6</v>
      </c>
      <c r="J51" s="808">
        <v>2.1428571428571428</v>
      </c>
      <c r="K51" s="809" t="s">
        <v>320</v>
      </c>
      <c r="L51" s="810">
        <v>7</v>
      </c>
      <c r="M51" s="810">
        <v>1</v>
      </c>
      <c r="N51" s="811">
        <v>6</v>
      </c>
      <c r="O51" s="812">
        <v>0</v>
      </c>
      <c r="P51" s="811">
        <v>0</v>
      </c>
      <c r="Q51" s="812">
        <v>0</v>
      </c>
      <c r="R51" s="811">
        <v>0</v>
      </c>
      <c r="S51" s="812">
        <v>0</v>
      </c>
      <c r="T51" s="811">
        <v>0</v>
      </c>
      <c r="U51" s="812">
        <v>0</v>
      </c>
      <c r="V51" s="811">
        <v>0</v>
      </c>
      <c r="W51" s="812">
        <v>0</v>
      </c>
      <c r="X51" s="811">
        <v>0</v>
      </c>
      <c r="Y51" s="812">
        <v>0</v>
      </c>
      <c r="Z51" s="811">
        <v>0</v>
      </c>
      <c r="AA51" s="812">
        <v>0</v>
      </c>
      <c r="AB51" s="811">
        <v>0</v>
      </c>
      <c r="AC51" s="812">
        <v>0</v>
      </c>
      <c r="AD51" s="811">
        <v>0</v>
      </c>
      <c r="AE51" s="807">
        <v>1</v>
      </c>
      <c r="AF51" s="807">
        <v>6</v>
      </c>
      <c r="AL51" s="813">
        <v>1</v>
      </c>
      <c r="AQ51" s="74" t="s">
        <v>320</v>
      </c>
    </row>
    <row r="52" spans="1:43" s="74" customFormat="1">
      <c r="A52" s="802"/>
      <c r="B52" s="797">
        <v>1</v>
      </c>
      <c r="C52" s="798">
        <v>7</v>
      </c>
      <c r="D52" s="803" t="s">
        <v>409</v>
      </c>
      <c r="E52" s="800" t="s">
        <v>410</v>
      </c>
      <c r="F52" s="804" t="s">
        <v>409</v>
      </c>
      <c r="G52" s="805">
        <v>28.571428571428569</v>
      </c>
      <c r="H52" s="806">
        <v>2</v>
      </c>
      <c r="I52" s="807">
        <v>5</v>
      </c>
      <c r="J52" s="808">
        <v>4.2857142857142856</v>
      </c>
      <c r="K52" s="809" t="s">
        <v>320</v>
      </c>
      <c r="L52" s="810">
        <v>7</v>
      </c>
      <c r="M52" s="810">
        <v>2</v>
      </c>
      <c r="N52" s="811">
        <v>5</v>
      </c>
      <c r="O52" s="812">
        <v>0</v>
      </c>
      <c r="P52" s="811">
        <v>0</v>
      </c>
      <c r="Q52" s="812">
        <v>0</v>
      </c>
      <c r="R52" s="811">
        <v>0</v>
      </c>
      <c r="S52" s="812">
        <v>0</v>
      </c>
      <c r="T52" s="811">
        <v>0</v>
      </c>
      <c r="U52" s="812">
        <v>0</v>
      </c>
      <c r="V52" s="811">
        <v>0</v>
      </c>
      <c r="W52" s="812">
        <v>0</v>
      </c>
      <c r="X52" s="811">
        <v>0</v>
      </c>
      <c r="Y52" s="812">
        <v>0</v>
      </c>
      <c r="Z52" s="811">
        <v>0</v>
      </c>
      <c r="AA52" s="812">
        <v>0</v>
      </c>
      <c r="AB52" s="811">
        <v>0</v>
      </c>
      <c r="AC52" s="812">
        <v>0</v>
      </c>
      <c r="AD52" s="811">
        <v>0</v>
      </c>
      <c r="AE52" s="807">
        <v>2</v>
      </c>
      <c r="AF52" s="807">
        <v>5</v>
      </c>
      <c r="AL52" s="813">
        <v>1</v>
      </c>
      <c r="AQ52" s="74" t="s">
        <v>320</v>
      </c>
    </row>
    <row r="53" spans="1:43" s="74" customFormat="1">
      <c r="A53" s="802"/>
      <c r="B53" s="797">
        <v>1</v>
      </c>
      <c r="C53" s="798">
        <v>7.5</v>
      </c>
      <c r="D53" s="814" t="s">
        <v>411</v>
      </c>
      <c r="E53" s="800" t="s">
        <v>412</v>
      </c>
      <c r="F53" s="815" t="s">
        <v>411</v>
      </c>
      <c r="G53" s="816">
        <v>6.666666666666667</v>
      </c>
      <c r="H53" s="806">
        <v>0.5</v>
      </c>
      <c r="I53" s="807">
        <v>7</v>
      </c>
      <c r="J53" s="808">
        <v>1</v>
      </c>
      <c r="K53" s="809" t="s">
        <v>320</v>
      </c>
      <c r="L53" s="810">
        <v>7.5</v>
      </c>
      <c r="M53" s="810">
        <v>0.5</v>
      </c>
      <c r="N53" s="811">
        <v>7</v>
      </c>
      <c r="O53" s="812">
        <v>0</v>
      </c>
      <c r="P53" s="811">
        <v>0</v>
      </c>
      <c r="Q53" s="812">
        <v>0</v>
      </c>
      <c r="R53" s="811">
        <v>0</v>
      </c>
      <c r="S53" s="812">
        <v>0</v>
      </c>
      <c r="T53" s="811">
        <v>0</v>
      </c>
      <c r="U53" s="812">
        <v>0</v>
      </c>
      <c r="V53" s="811">
        <v>0</v>
      </c>
      <c r="W53" s="812">
        <v>0</v>
      </c>
      <c r="X53" s="811">
        <v>0</v>
      </c>
      <c r="Y53" s="812">
        <v>0</v>
      </c>
      <c r="Z53" s="811">
        <v>0</v>
      </c>
      <c r="AA53" s="812">
        <v>0</v>
      </c>
      <c r="AB53" s="811">
        <v>0</v>
      </c>
      <c r="AC53" s="812">
        <v>0</v>
      </c>
      <c r="AD53" s="811">
        <v>0</v>
      </c>
      <c r="AE53" s="807">
        <v>0.5</v>
      </c>
      <c r="AF53" s="807">
        <v>7</v>
      </c>
      <c r="AL53" s="813">
        <v>1</v>
      </c>
      <c r="AQ53" s="74" t="s">
        <v>320</v>
      </c>
    </row>
    <row r="54" spans="1:43" s="74" customFormat="1">
      <c r="A54" s="802"/>
      <c r="B54" s="797">
        <v>1</v>
      </c>
      <c r="C54" s="798">
        <v>7.5</v>
      </c>
      <c r="D54" s="803" t="s">
        <v>413</v>
      </c>
      <c r="E54" s="800" t="s">
        <v>414</v>
      </c>
      <c r="F54" s="804" t="s">
        <v>413</v>
      </c>
      <c r="G54" s="805">
        <v>10.66666666666667</v>
      </c>
      <c r="H54" s="806">
        <v>0.8</v>
      </c>
      <c r="I54" s="807">
        <v>6.7</v>
      </c>
      <c r="J54" s="808">
        <v>1.6</v>
      </c>
      <c r="K54" s="809" t="s">
        <v>320</v>
      </c>
      <c r="L54" s="810">
        <v>7.5</v>
      </c>
      <c r="M54" s="810">
        <v>0.8</v>
      </c>
      <c r="N54" s="811">
        <v>6.7</v>
      </c>
      <c r="O54" s="812">
        <v>0</v>
      </c>
      <c r="P54" s="811">
        <v>0</v>
      </c>
      <c r="Q54" s="812">
        <v>0</v>
      </c>
      <c r="R54" s="811">
        <v>0</v>
      </c>
      <c r="S54" s="812">
        <v>0</v>
      </c>
      <c r="T54" s="811">
        <v>0</v>
      </c>
      <c r="U54" s="812">
        <v>0</v>
      </c>
      <c r="V54" s="811">
        <v>0</v>
      </c>
      <c r="W54" s="812">
        <v>0</v>
      </c>
      <c r="X54" s="811">
        <v>0</v>
      </c>
      <c r="Y54" s="812">
        <v>0</v>
      </c>
      <c r="Z54" s="811">
        <v>0</v>
      </c>
      <c r="AA54" s="812">
        <v>0</v>
      </c>
      <c r="AB54" s="811">
        <v>0</v>
      </c>
      <c r="AC54" s="812">
        <v>0</v>
      </c>
      <c r="AD54" s="811">
        <v>0</v>
      </c>
      <c r="AE54" s="807">
        <v>0.8</v>
      </c>
      <c r="AF54" s="807">
        <v>6.7</v>
      </c>
      <c r="AL54" s="813">
        <v>1</v>
      </c>
      <c r="AQ54" s="74" t="s">
        <v>320</v>
      </c>
    </row>
    <row r="55" spans="1:43" s="74" customFormat="1">
      <c r="A55" s="802"/>
      <c r="B55" s="797">
        <v>1</v>
      </c>
      <c r="C55" s="798">
        <v>8</v>
      </c>
      <c r="D55" s="814" t="s">
        <v>415</v>
      </c>
      <c r="E55" s="800" t="s">
        <v>416</v>
      </c>
      <c r="F55" s="815" t="s">
        <v>415</v>
      </c>
      <c r="G55" s="816">
        <v>6.25</v>
      </c>
      <c r="H55" s="806">
        <v>0.5</v>
      </c>
      <c r="I55" s="807">
        <v>7.5</v>
      </c>
      <c r="J55" s="808">
        <v>0.9375</v>
      </c>
      <c r="K55" s="809" t="s">
        <v>320</v>
      </c>
      <c r="L55" s="810">
        <v>8</v>
      </c>
      <c r="M55" s="810">
        <v>0.5</v>
      </c>
      <c r="N55" s="811">
        <v>7.5</v>
      </c>
      <c r="O55" s="812">
        <v>0</v>
      </c>
      <c r="P55" s="811">
        <v>0</v>
      </c>
      <c r="Q55" s="812">
        <v>0</v>
      </c>
      <c r="R55" s="811">
        <v>0</v>
      </c>
      <c r="S55" s="812">
        <v>0</v>
      </c>
      <c r="T55" s="811">
        <v>0</v>
      </c>
      <c r="U55" s="812">
        <v>0</v>
      </c>
      <c r="V55" s="811">
        <v>0</v>
      </c>
      <c r="W55" s="812">
        <v>0</v>
      </c>
      <c r="X55" s="811">
        <v>0</v>
      </c>
      <c r="Y55" s="812">
        <v>0</v>
      </c>
      <c r="Z55" s="811">
        <v>0</v>
      </c>
      <c r="AA55" s="812">
        <v>0</v>
      </c>
      <c r="AB55" s="811">
        <v>0</v>
      </c>
      <c r="AC55" s="812">
        <v>0</v>
      </c>
      <c r="AD55" s="811">
        <v>0</v>
      </c>
      <c r="AE55" s="807">
        <v>0.5</v>
      </c>
      <c r="AF55" s="807">
        <v>7.5</v>
      </c>
      <c r="AL55" s="813">
        <v>1</v>
      </c>
      <c r="AQ55" s="74" t="s">
        <v>320</v>
      </c>
    </row>
    <row r="56" spans="1:43" s="74" customFormat="1">
      <c r="A56" s="802"/>
      <c r="B56" s="797">
        <v>1</v>
      </c>
      <c r="C56" s="798">
        <v>9</v>
      </c>
      <c r="D56" s="803" t="s">
        <v>417</v>
      </c>
      <c r="E56" s="800" t="s">
        <v>418</v>
      </c>
      <c r="F56" s="804" t="s">
        <v>417</v>
      </c>
      <c r="G56" s="805">
        <v>10</v>
      </c>
      <c r="H56" s="806">
        <v>0.9</v>
      </c>
      <c r="I56" s="807">
        <v>8.1</v>
      </c>
      <c r="J56" s="808">
        <v>1.5</v>
      </c>
      <c r="K56" s="809" t="s">
        <v>320</v>
      </c>
      <c r="L56" s="810">
        <v>9</v>
      </c>
      <c r="M56" s="810">
        <v>0.9</v>
      </c>
      <c r="N56" s="811">
        <v>8.1</v>
      </c>
      <c r="O56" s="812">
        <v>0</v>
      </c>
      <c r="P56" s="811">
        <v>0</v>
      </c>
      <c r="Q56" s="812">
        <v>0</v>
      </c>
      <c r="R56" s="811">
        <v>0</v>
      </c>
      <c r="S56" s="812">
        <v>0</v>
      </c>
      <c r="T56" s="811">
        <v>0</v>
      </c>
      <c r="U56" s="812">
        <v>0</v>
      </c>
      <c r="V56" s="811">
        <v>0</v>
      </c>
      <c r="W56" s="812">
        <v>0</v>
      </c>
      <c r="X56" s="811">
        <v>0</v>
      </c>
      <c r="Y56" s="812">
        <v>0</v>
      </c>
      <c r="Z56" s="811">
        <v>0</v>
      </c>
      <c r="AA56" s="812">
        <v>0</v>
      </c>
      <c r="AB56" s="811">
        <v>0</v>
      </c>
      <c r="AC56" s="812">
        <v>0</v>
      </c>
      <c r="AD56" s="811">
        <v>0</v>
      </c>
      <c r="AE56" s="807">
        <v>0.9</v>
      </c>
      <c r="AF56" s="807">
        <v>8.1</v>
      </c>
      <c r="AL56" s="813">
        <v>1</v>
      </c>
      <c r="AQ56" s="74" t="s">
        <v>320</v>
      </c>
    </row>
    <row r="57" spans="1:43" s="74" customFormat="1">
      <c r="A57" s="802"/>
      <c r="B57" s="797">
        <v>1</v>
      </c>
      <c r="C57" s="798">
        <v>10</v>
      </c>
      <c r="D57" s="814" t="s">
        <v>419</v>
      </c>
      <c r="E57" s="800" t="s">
        <v>420</v>
      </c>
      <c r="F57" s="815" t="s">
        <v>419</v>
      </c>
      <c r="G57" s="816">
        <v>2</v>
      </c>
      <c r="H57" s="806">
        <v>0.2</v>
      </c>
      <c r="I57" s="807">
        <v>9.8000000000000007</v>
      </c>
      <c r="J57" s="808">
        <v>0.3</v>
      </c>
      <c r="K57" s="809" t="s">
        <v>320</v>
      </c>
      <c r="L57" s="810">
        <v>10</v>
      </c>
      <c r="M57" s="810">
        <v>0.2</v>
      </c>
      <c r="N57" s="811">
        <v>9.8000000000000007</v>
      </c>
      <c r="O57" s="812">
        <v>0</v>
      </c>
      <c r="P57" s="811">
        <v>0</v>
      </c>
      <c r="Q57" s="812">
        <v>0</v>
      </c>
      <c r="R57" s="811">
        <v>0</v>
      </c>
      <c r="S57" s="812">
        <v>0</v>
      </c>
      <c r="T57" s="811">
        <v>0</v>
      </c>
      <c r="U57" s="812">
        <v>0</v>
      </c>
      <c r="V57" s="811">
        <v>0</v>
      </c>
      <c r="W57" s="812">
        <v>0</v>
      </c>
      <c r="X57" s="811">
        <v>0</v>
      </c>
      <c r="Y57" s="812">
        <v>0</v>
      </c>
      <c r="Z57" s="811">
        <v>0</v>
      </c>
      <c r="AA57" s="812">
        <v>0</v>
      </c>
      <c r="AB57" s="811">
        <v>0</v>
      </c>
      <c r="AC57" s="812">
        <v>0</v>
      </c>
      <c r="AD57" s="811">
        <v>0</v>
      </c>
      <c r="AE57" s="807">
        <v>0.2</v>
      </c>
      <c r="AF57" s="807">
        <v>9.8000000000000007</v>
      </c>
      <c r="AL57" s="813">
        <v>1</v>
      </c>
      <c r="AQ57" s="74" t="s">
        <v>320</v>
      </c>
    </row>
    <row r="58" spans="1:43" s="74" customFormat="1">
      <c r="A58" s="802"/>
      <c r="B58" s="797">
        <v>1</v>
      </c>
      <c r="C58" s="798">
        <v>10</v>
      </c>
      <c r="D58" s="803" t="s">
        <v>421</v>
      </c>
      <c r="E58" s="800" t="s">
        <v>422</v>
      </c>
      <c r="F58" s="804" t="s">
        <v>421</v>
      </c>
      <c r="G58" s="805">
        <v>3</v>
      </c>
      <c r="H58" s="806">
        <v>0.3</v>
      </c>
      <c r="I58" s="807">
        <v>9.6999999999999993</v>
      </c>
      <c r="J58" s="808">
        <v>0.45</v>
      </c>
      <c r="K58" s="809" t="s">
        <v>320</v>
      </c>
      <c r="L58" s="810">
        <v>10</v>
      </c>
      <c r="M58" s="810">
        <v>0.3</v>
      </c>
      <c r="N58" s="811">
        <v>9.6999999999999993</v>
      </c>
      <c r="O58" s="812">
        <v>0</v>
      </c>
      <c r="P58" s="811">
        <v>0</v>
      </c>
      <c r="Q58" s="812">
        <v>0</v>
      </c>
      <c r="R58" s="811">
        <v>0</v>
      </c>
      <c r="S58" s="812">
        <v>0</v>
      </c>
      <c r="T58" s="811">
        <v>0</v>
      </c>
      <c r="U58" s="812">
        <v>0</v>
      </c>
      <c r="V58" s="811">
        <v>0</v>
      </c>
      <c r="W58" s="812">
        <v>0</v>
      </c>
      <c r="X58" s="811">
        <v>0</v>
      </c>
      <c r="Y58" s="812">
        <v>0</v>
      </c>
      <c r="Z58" s="811">
        <v>0</v>
      </c>
      <c r="AA58" s="812">
        <v>0</v>
      </c>
      <c r="AB58" s="811">
        <v>0</v>
      </c>
      <c r="AC58" s="812">
        <v>0</v>
      </c>
      <c r="AD58" s="811">
        <v>0</v>
      </c>
      <c r="AE58" s="807">
        <v>0.3</v>
      </c>
      <c r="AF58" s="807">
        <v>9.6999999999999993</v>
      </c>
      <c r="AL58" s="813">
        <v>1</v>
      </c>
      <c r="AQ58" s="74" t="s">
        <v>320</v>
      </c>
    </row>
    <row r="59" spans="1:43" s="74" customFormat="1">
      <c r="A59" s="802"/>
      <c r="B59" s="797">
        <v>1</v>
      </c>
      <c r="C59" s="798">
        <v>10</v>
      </c>
      <c r="D59" s="814" t="s">
        <v>423</v>
      </c>
      <c r="E59" s="800" t="s">
        <v>424</v>
      </c>
      <c r="F59" s="815" t="s">
        <v>423</v>
      </c>
      <c r="G59" s="816">
        <v>5</v>
      </c>
      <c r="H59" s="806">
        <v>0.5</v>
      </c>
      <c r="I59" s="807">
        <v>9.5</v>
      </c>
      <c r="J59" s="808">
        <v>0.75</v>
      </c>
      <c r="K59" s="809" t="s">
        <v>320</v>
      </c>
      <c r="L59" s="810">
        <v>10</v>
      </c>
      <c r="M59" s="810">
        <v>0.5</v>
      </c>
      <c r="N59" s="811">
        <v>9.5</v>
      </c>
      <c r="O59" s="812">
        <v>0</v>
      </c>
      <c r="P59" s="811">
        <v>0</v>
      </c>
      <c r="Q59" s="812">
        <v>0</v>
      </c>
      <c r="R59" s="811">
        <v>0</v>
      </c>
      <c r="S59" s="812">
        <v>0</v>
      </c>
      <c r="T59" s="811">
        <v>0</v>
      </c>
      <c r="U59" s="812">
        <v>0</v>
      </c>
      <c r="V59" s="811">
        <v>0</v>
      </c>
      <c r="W59" s="812">
        <v>0</v>
      </c>
      <c r="X59" s="811">
        <v>0</v>
      </c>
      <c r="Y59" s="812">
        <v>0</v>
      </c>
      <c r="Z59" s="811">
        <v>0</v>
      </c>
      <c r="AA59" s="812">
        <v>0</v>
      </c>
      <c r="AB59" s="811">
        <v>0</v>
      </c>
      <c r="AC59" s="812">
        <v>0</v>
      </c>
      <c r="AD59" s="811">
        <v>0</v>
      </c>
      <c r="AE59" s="807">
        <v>0.5</v>
      </c>
      <c r="AF59" s="807">
        <v>9.5</v>
      </c>
      <c r="AL59" s="813">
        <v>1</v>
      </c>
      <c r="AQ59" s="74" t="s">
        <v>320</v>
      </c>
    </row>
    <row r="60" spans="1:43" s="74" customFormat="1">
      <c r="A60" s="802"/>
      <c r="B60" s="797">
        <v>1</v>
      </c>
      <c r="C60" s="798">
        <v>10</v>
      </c>
      <c r="D60" s="803" t="s">
        <v>425</v>
      </c>
      <c r="E60" s="800" t="s">
        <v>426</v>
      </c>
      <c r="F60" s="804" t="s">
        <v>425</v>
      </c>
      <c r="G60" s="805">
        <v>10</v>
      </c>
      <c r="H60" s="806">
        <v>1</v>
      </c>
      <c r="I60" s="807">
        <v>9</v>
      </c>
      <c r="J60" s="808">
        <v>1.5</v>
      </c>
      <c r="K60" s="809" t="s">
        <v>320</v>
      </c>
      <c r="L60" s="810">
        <v>10</v>
      </c>
      <c r="M60" s="810">
        <v>1</v>
      </c>
      <c r="N60" s="811">
        <v>9</v>
      </c>
      <c r="O60" s="812">
        <v>0</v>
      </c>
      <c r="P60" s="811">
        <v>0</v>
      </c>
      <c r="Q60" s="812">
        <v>0</v>
      </c>
      <c r="R60" s="811">
        <v>0</v>
      </c>
      <c r="S60" s="812">
        <v>0</v>
      </c>
      <c r="T60" s="811">
        <v>0</v>
      </c>
      <c r="U60" s="812">
        <v>0</v>
      </c>
      <c r="V60" s="811">
        <v>0</v>
      </c>
      <c r="W60" s="812">
        <v>0</v>
      </c>
      <c r="X60" s="811">
        <v>0</v>
      </c>
      <c r="Y60" s="812">
        <v>0</v>
      </c>
      <c r="Z60" s="811">
        <v>0</v>
      </c>
      <c r="AA60" s="812">
        <v>0</v>
      </c>
      <c r="AB60" s="811">
        <v>0</v>
      </c>
      <c r="AC60" s="812">
        <v>0</v>
      </c>
      <c r="AD60" s="811">
        <v>0</v>
      </c>
      <c r="AE60" s="807">
        <v>1</v>
      </c>
      <c r="AF60" s="807">
        <v>9</v>
      </c>
      <c r="AL60" s="813">
        <v>1</v>
      </c>
      <c r="AQ60" s="74" t="s">
        <v>320</v>
      </c>
    </row>
    <row r="61" spans="1:43" s="74" customFormat="1">
      <c r="A61" s="802"/>
      <c r="B61" s="797">
        <v>1</v>
      </c>
      <c r="C61" s="798">
        <v>10</v>
      </c>
      <c r="D61" s="814" t="s">
        <v>427</v>
      </c>
      <c r="E61" s="800" t="s">
        <v>428</v>
      </c>
      <c r="F61" s="815" t="s">
        <v>427</v>
      </c>
      <c r="G61" s="816">
        <v>15</v>
      </c>
      <c r="H61" s="806">
        <v>1.5</v>
      </c>
      <c r="I61" s="807">
        <v>8.5</v>
      </c>
      <c r="J61" s="808">
        <v>2.25</v>
      </c>
      <c r="K61" s="809" t="s">
        <v>320</v>
      </c>
      <c r="L61" s="810">
        <v>10</v>
      </c>
      <c r="M61" s="810">
        <v>1.5</v>
      </c>
      <c r="N61" s="811">
        <v>8.5</v>
      </c>
      <c r="O61" s="812">
        <v>0</v>
      </c>
      <c r="P61" s="811">
        <v>0</v>
      </c>
      <c r="Q61" s="812">
        <v>0</v>
      </c>
      <c r="R61" s="811">
        <v>0</v>
      </c>
      <c r="S61" s="812">
        <v>0</v>
      </c>
      <c r="T61" s="811">
        <v>0</v>
      </c>
      <c r="U61" s="812">
        <v>0</v>
      </c>
      <c r="V61" s="811">
        <v>0</v>
      </c>
      <c r="W61" s="812">
        <v>0</v>
      </c>
      <c r="X61" s="811">
        <v>0</v>
      </c>
      <c r="Y61" s="812">
        <v>0</v>
      </c>
      <c r="Z61" s="811">
        <v>0</v>
      </c>
      <c r="AA61" s="812">
        <v>0</v>
      </c>
      <c r="AB61" s="811">
        <v>0</v>
      </c>
      <c r="AC61" s="812">
        <v>0</v>
      </c>
      <c r="AD61" s="811">
        <v>0</v>
      </c>
      <c r="AE61" s="807">
        <v>1.5</v>
      </c>
      <c r="AF61" s="807">
        <v>8.5</v>
      </c>
      <c r="AL61" s="813">
        <v>1</v>
      </c>
      <c r="AQ61" s="74" t="s">
        <v>320</v>
      </c>
    </row>
    <row r="62" spans="1:43" s="74" customFormat="1">
      <c r="A62" s="802"/>
      <c r="B62" s="797">
        <v>1</v>
      </c>
      <c r="C62" s="798">
        <v>12</v>
      </c>
      <c r="D62" s="803" t="s">
        <v>429</v>
      </c>
      <c r="E62" s="800" t="s">
        <v>430</v>
      </c>
      <c r="F62" s="804" t="s">
        <v>429</v>
      </c>
      <c r="G62" s="805">
        <v>10</v>
      </c>
      <c r="H62" s="806">
        <v>1.2</v>
      </c>
      <c r="I62" s="807">
        <v>10.8</v>
      </c>
      <c r="J62" s="808">
        <v>1.5</v>
      </c>
      <c r="K62" s="809" t="s">
        <v>320</v>
      </c>
      <c r="L62" s="810">
        <v>12</v>
      </c>
      <c r="M62" s="810">
        <v>1.2</v>
      </c>
      <c r="N62" s="811">
        <v>10.8</v>
      </c>
      <c r="O62" s="812">
        <v>0</v>
      </c>
      <c r="P62" s="811">
        <v>0</v>
      </c>
      <c r="Q62" s="812">
        <v>0</v>
      </c>
      <c r="R62" s="811">
        <v>0</v>
      </c>
      <c r="S62" s="812">
        <v>0</v>
      </c>
      <c r="T62" s="811">
        <v>0</v>
      </c>
      <c r="U62" s="812">
        <v>0</v>
      </c>
      <c r="V62" s="811">
        <v>0</v>
      </c>
      <c r="W62" s="812">
        <v>0</v>
      </c>
      <c r="X62" s="811">
        <v>0</v>
      </c>
      <c r="Y62" s="812">
        <v>0</v>
      </c>
      <c r="Z62" s="811">
        <v>0</v>
      </c>
      <c r="AA62" s="812">
        <v>0</v>
      </c>
      <c r="AB62" s="811">
        <v>0</v>
      </c>
      <c r="AC62" s="812">
        <v>0</v>
      </c>
      <c r="AD62" s="811">
        <v>0</v>
      </c>
      <c r="AE62" s="807">
        <v>1.2</v>
      </c>
      <c r="AF62" s="807">
        <v>10.8</v>
      </c>
      <c r="AL62" s="813">
        <v>1</v>
      </c>
      <c r="AQ62" s="74" t="s">
        <v>320</v>
      </c>
    </row>
    <row r="63" spans="1:43" s="74" customFormat="1">
      <c r="A63" s="802"/>
      <c r="B63" s="797">
        <v>1</v>
      </c>
      <c r="C63" s="798">
        <v>12</v>
      </c>
      <c r="D63" s="814" t="s">
        <v>431</v>
      </c>
      <c r="E63" s="800" t="s">
        <v>432</v>
      </c>
      <c r="F63" s="815" t="s">
        <v>431</v>
      </c>
      <c r="G63" s="816">
        <v>20.833333333333339</v>
      </c>
      <c r="H63" s="806">
        <v>2.5</v>
      </c>
      <c r="I63" s="807">
        <v>9.5</v>
      </c>
      <c r="J63" s="808">
        <v>3.125</v>
      </c>
      <c r="K63" s="809" t="s">
        <v>320</v>
      </c>
      <c r="L63" s="810">
        <v>12</v>
      </c>
      <c r="M63" s="810">
        <v>2.5</v>
      </c>
      <c r="N63" s="811">
        <v>9.5</v>
      </c>
      <c r="O63" s="812">
        <v>0</v>
      </c>
      <c r="P63" s="811">
        <v>0</v>
      </c>
      <c r="Q63" s="812">
        <v>0</v>
      </c>
      <c r="R63" s="811">
        <v>0</v>
      </c>
      <c r="S63" s="812">
        <v>0</v>
      </c>
      <c r="T63" s="811">
        <v>0</v>
      </c>
      <c r="U63" s="812">
        <v>0</v>
      </c>
      <c r="V63" s="811">
        <v>0</v>
      </c>
      <c r="W63" s="812">
        <v>0</v>
      </c>
      <c r="X63" s="811">
        <v>0</v>
      </c>
      <c r="Y63" s="812">
        <v>0</v>
      </c>
      <c r="Z63" s="811">
        <v>0</v>
      </c>
      <c r="AA63" s="812">
        <v>0</v>
      </c>
      <c r="AB63" s="811">
        <v>0</v>
      </c>
      <c r="AC63" s="812">
        <v>0</v>
      </c>
      <c r="AD63" s="811">
        <v>0</v>
      </c>
      <c r="AE63" s="807">
        <v>2.5</v>
      </c>
      <c r="AF63" s="807">
        <v>9.5</v>
      </c>
      <c r="AL63" s="813">
        <v>1</v>
      </c>
      <c r="AQ63" s="74" t="s">
        <v>320</v>
      </c>
    </row>
    <row r="64" spans="1:43" s="74" customFormat="1">
      <c r="A64" s="802"/>
      <c r="B64" s="797">
        <v>1</v>
      </c>
      <c r="C64" s="798">
        <v>15</v>
      </c>
      <c r="D64" s="803" t="s">
        <v>433</v>
      </c>
      <c r="E64" s="800" t="s">
        <v>434</v>
      </c>
      <c r="F64" s="804" t="s">
        <v>433</v>
      </c>
      <c r="G64" s="805">
        <v>6.666666666666667</v>
      </c>
      <c r="H64" s="806">
        <v>1</v>
      </c>
      <c r="I64" s="807">
        <v>14</v>
      </c>
      <c r="J64" s="808">
        <v>1</v>
      </c>
      <c r="K64" s="809" t="s">
        <v>320</v>
      </c>
      <c r="L64" s="810">
        <v>15</v>
      </c>
      <c r="M64" s="810">
        <v>1</v>
      </c>
      <c r="N64" s="811">
        <v>14</v>
      </c>
      <c r="O64" s="812">
        <v>0</v>
      </c>
      <c r="P64" s="811">
        <v>0</v>
      </c>
      <c r="Q64" s="812">
        <v>0</v>
      </c>
      <c r="R64" s="811">
        <v>0</v>
      </c>
      <c r="S64" s="812">
        <v>0</v>
      </c>
      <c r="T64" s="811">
        <v>0</v>
      </c>
      <c r="U64" s="812">
        <v>0</v>
      </c>
      <c r="V64" s="811">
        <v>0</v>
      </c>
      <c r="W64" s="812">
        <v>0</v>
      </c>
      <c r="X64" s="811">
        <v>0</v>
      </c>
      <c r="Y64" s="812">
        <v>0</v>
      </c>
      <c r="Z64" s="811">
        <v>0</v>
      </c>
      <c r="AA64" s="812">
        <v>0</v>
      </c>
      <c r="AB64" s="811">
        <v>0</v>
      </c>
      <c r="AC64" s="812">
        <v>0</v>
      </c>
      <c r="AD64" s="811">
        <v>0</v>
      </c>
      <c r="AE64" s="807">
        <v>1</v>
      </c>
      <c r="AF64" s="807">
        <v>14</v>
      </c>
      <c r="AL64" s="813">
        <v>1</v>
      </c>
      <c r="AQ64" s="74" t="s">
        <v>320</v>
      </c>
    </row>
    <row r="65" spans="1:43" s="74" customFormat="1">
      <c r="A65" s="802"/>
      <c r="B65" s="797">
        <v>1</v>
      </c>
      <c r="C65" s="798">
        <v>8</v>
      </c>
      <c r="D65" s="814" t="s">
        <v>435</v>
      </c>
      <c r="E65" s="800" t="s">
        <v>436</v>
      </c>
      <c r="F65" s="815" t="s">
        <v>435</v>
      </c>
      <c r="G65" s="816">
        <v>18.75</v>
      </c>
      <c r="H65" s="806">
        <v>1.5</v>
      </c>
      <c r="I65" s="807">
        <v>6.5</v>
      </c>
      <c r="J65" s="808">
        <v>2.8125</v>
      </c>
      <c r="K65" s="809" t="s">
        <v>320</v>
      </c>
      <c r="L65" s="810">
        <v>8</v>
      </c>
      <c r="M65" s="810">
        <v>1.5</v>
      </c>
      <c r="N65" s="811">
        <v>6.5</v>
      </c>
      <c r="O65" s="812">
        <v>0</v>
      </c>
      <c r="P65" s="811">
        <v>0</v>
      </c>
      <c r="Q65" s="812">
        <v>0</v>
      </c>
      <c r="R65" s="811">
        <v>0</v>
      </c>
      <c r="S65" s="812">
        <v>0</v>
      </c>
      <c r="T65" s="811">
        <v>0</v>
      </c>
      <c r="U65" s="812">
        <v>0</v>
      </c>
      <c r="V65" s="811">
        <v>0</v>
      </c>
      <c r="W65" s="812">
        <v>0</v>
      </c>
      <c r="X65" s="811">
        <v>0</v>
      </c>
      <c r="Y65" s="812">
        <v>0</v>
      </c>
      <c r="Z65" s="811">
        <v>0</v>
      </c>
      <c r="AA65" s="812">
        <v>0</v>
      </c>
      <c r="AB65" s="811">
        <v>0</v>
      </c>
      <c r="AC65" s="812">
        <v>0</v>
      </c>
      <c r="AD65" s="811">
        <v>0</v>
      </c>
      <c r="AE65" s="807">
        <v>1.5</v>
      </c>
      <c r="AF65" s="807">
        <v>6.5</v>
      </c>
      <c r="AL65" s="813">
        <v>1</v>
      </c>
      <c r="AQ65" s="74" t="s">
        <v>320</v>
      </c>
    </row>
    <row r="66" spans="1:43" s="74" customFormat="1">
      <c r="A66" s="802"/>
      <c r="B66" s="797">
        <v>2</v>
      </c>
      <c r="C66" s="798">
        <v>4</v>
      </c>
      <c r="D66" s="797" t="s">
        <v>437</v>
      </c>
      <c r="E66" s="800" t="s">
        <v>438</v>
      </c>
      <c r="F66" s="817" t="s">
        <v>437</v>
      </c>
      <c r="G66" s="805">
        <v>25</v>
      </c>
      <c r="H66" s="806">
        <v>1</v>
      </c>
      <c r="I66" s="807">
        <v>3</v>
      </c>
      <c r="J66" s="808">
        <v>3.75</v>
      </c>
      <c r="K66" s="809" t="s">
        <v>439</v>
      </c>
      <c r="L66" s="810">
        <v>4</v>
      </c>
      <c r="M66" s="810">
        <v>0.5</v>
      </c>
      <c r="N66" s="811">
        <v>1</v>
      </c>
      <c r="O66" s="812">
        <v>0.5</v>
      </c>
      <c r="P66" s="811">
        <v>2</v>
      </c>
      <c r="Q66" s="812">
        <v>0</v>
      </c>
      <c r="R66" s="811">
        <v>0</v>
      </c>
      <c r="S66" s="812">
        <v>0</v>
      </c>
      <c r="T66" s="811">
        <v>0</v>
      </c>
      <c r="U66" s="812">
        <v>0</v>
      </c>
      <c r="V66" s="811">
        <v>0</v>
      </c>
      <c r="W66" s="812">
        <v>0</v>
      </c>
      <c r="X66" s="811">
        <v>0</v>
      </c>
      <c r="Y66" s="812">
        <v>0</v>
      </c>
      <c r="Z66" s="811">
        <v>0</v>
      </c>
      <c r="AA66" s="812">
        <v>0</v>
      </c>
      <c r="AB66" s="811">
        <v>0</v>
      </c>
      <c r="AC66" s="812">
        <v>0</v>
      </c>
      <c r="AD66" s="811">
        <v>0</v>
      </c>
      <c r="AE66" s="807">
        <v>1</v>
      </c>
      <c r="AF66" s="807">
        <v>3</v>
      </c>
      <c r="AL66" s="813">
        <v>2</v>
      </c>
      <c r="AQ66" s="74" t="s">
        <v>439</v>
      </c>
    </row>
    <row r="67" spans="1:43" s="74" customFormat="1">
      <c r="A67" s="802"/>
      <c r="B67" s="797">
        <v>2</v>
      </c>
      <c r="C67" s="798">
        <v>4.5</v>
      </c>
      <c r="D67" s="818" t="s">
        <v>440</v>
      </c>
      <c r="E67" s="800" t="s">
        <v>441</v>
      </c>
      <c r="F67" s="819" t="s">
        <v>440</v>
      </c>
      <c r="G67" s="816">
        <v>13.33333333333333</v>
      </c>
      <c r="H67" s="806">
        <v>0.6</v>
      </c>
      <c r="I67" s="807">
        <v>3.9</v>
      </c>
      <c r="J67" s="808">
        <v>2</v>
      </c>
      <c r="K67" s="809" t="s">
        <v>439</v>
      </c>
      <c r="L67" s="810">
        <v>4.5</v>
      </c>
      <c r="M67" s="810">
        <v>0.3</v>
      </c>
      <c r="N67" s="811">
        <v>1</v>
      </c>
      <c r="O67" s="812">
        <v>0.3</v>
      </c>
      <c r="P67" s="811">
        <v>2.9</v>
      </c>
      <c r="Q67" s="812">
        <v>0</v>
      </c>
      <c r="R67" s="811">
        <v>0</v>
      </c>
      <c r="S67" s="812">
        <v>0</v>
      </c>
      <c r="T67" s="811">
        <v>0</v>
      </c>
      <c r="U67" s="812">
        <v>0</v>
      </c>
      <c r="V67" s="811">
        <v>0</v>
      </c>
      <c r="W67" s="812">
        <v>0</v>
      </c>
      <c r="X67" s="811">
        <v>0</v>
      </c>
      <c r="Y67" s="812">
        <v>0</v>
      </c>
      <c r="Z67" s="811">
        <v>0</v>
      </c>
      <c r="AA67" s="812">
        <v>0</v>
      </c>
      <c r="AB67" s="811">
        <v>0</v>
      </c>
      <c r="AC67" s="812">
        <v>0</v>
      </c>
      <c r="AD67" s="811">
        <v>0</v>
      </c>
      <c r="AE67" s="807">
        <v>0.6</v>
      </c>
      <c r="AF67" s="807">
        <v>3.9</v>
      </c>
      <c r="AL67" s="813">
        <v>2</v>
      </c>
      <c r="AQ67" s="74" t="s">
        <v>439</v>
      </c>
    </row>
    <row r="68" spans="1:43" s="74" customFormat="1">
      <c r="A68" s="802"/>
      <c r="B68" s="797">
        <v>2</v>
      </c>
      <c r="C68" s="798">
        <v>4.5</v>
      </c>
      <c r="D68" s="797" t="s">
        <v>442</v>
      </c>
      <c r="E68" s="800" t="s">
        <v>443</v>
      </c>
      <c r="F68" s="817" t="s">
        <v>442</v>
      </c>
      <c r="G68" s="805">
        <v>17.777777777777779</v>
      </c>
      <c r="H68" s="806">
        <v>0.8</v>
      </c>
      <c r="I68" s="807">
        <v>3.7</v>
      </c>
      <c r="J68" s="808">
        <v>2.666666666666667</v>
      </c>
      <c r="K68" s="809" t="s">
        <v>439</v>
      </c>
      <c r="L68" s="810">
        <v>4.5</v>
      </c>
      <c r="M68" s="810">
        <v>0.4</v>
      </c>
      <c r="N68" s="811">
        <v>1</v>
      </c>
      <c r="O68" s="812">
        <v>0.4</v>
      </c>
      <c r="P68" s="811">
        <v>2.7</v>
      </c>
      <c r="Q68" s="812"/>
      <c r="R68" s="811"/>
      <c r="S68" s="812"/>
      <c r="T68" s="811"/>
      <c r="U68" s="812"/>
      <c r="V68" s="811"/>
      <c r="W68" s="812"/>
      <c r="X68" s="811"/>
      <c r="Y68" s="812"/>
      <c r="Z68" s="811"/>
      <c r="AA68" s="812"/>
      <c r="AB68" s="811"/>
      <c r="AC68" s="812"/>
      <c r="AD68" s="811"/>
      <c r="AE68" s="807">
        <v>0.8</v>
      </c>
      <c r="AF68" s="807">
        <v>3.7</v>
      </c>
      <c r="AL68" s="813">
        <v>2</v>
      </c>
      <c r="AQ68" s="74" t="s">
        <v>439</v>
      </c>
    </row>
    <row r="69" spans="1:43" s="74" customFormat="1">
      <c r="A69" s="802"/>
      <c r="B69" s="797">
        <v>2</v>
      </c>
      <c r="C69" s="798">
        <v>4.5</v>
      </c>
      <c r="D69" s="818" t="s">
        <v>444</v>
      </c>
      <c r="E69" s="800" t="s">
        <v>445</v>
      </c>
      <c r="F69" s="819" t="s">
        <v>444</v>
      </c>
      <c r="G69" s="816">
        <v>22.222222222222221</v>
      </c>
      <c r="H69" s="806">
        <v>1</v>
      </c>
      <c r="I69" s="807">
        <v>3.5</v>
      </c>
      <c r="J69" s="808">
        <v>3.333333333333333</v>
      </c>
      <c r="K69" s="809" t="s">
        <v>439</v>
      </c>
      <c r="L69" s="810">
        <v>4.5</v>
      </c>
      <c r="M69" s="810">
        <v>0.5</v>
      </c>
      <c r="N69" s="811">
        <v>1</v>
      </c>
      <c r="O69" s="812">
        <v>0.5</v>
      </c>
      <c r="P69" s="811">
        <v>2.5</v>
      </c>
      <c r="Q69" s="812">
        <v>0</v>
      </c>
      <c r="R69" s="811">
        <v>0</v>
      </c>
      <c r="S69" s="812">
        <v>0</v>
      </c>
      <c r="T69" s="811">
        <v>0</v>
      </c>
      <c r="U69" s="812">
        <v>0</v>
      </c>
      <c r="V69" s="811">
        <v>0</v>
      </c>
      <c r="W69" s="812">
        <v>0</v>
      </c>
      <c r="X69" s="811">
        <v>0</v>
      </c>
      <c r="Y69" s="812">
        <v>0</v>
      </c>
      <c r="Z69" s="811">
        <v>0</v>
      </c>
      <c r="AA69" s="812">
        <v>0</v>
      </c>
      <c r="AB69" s="811">
        <v>0</v>
      </c>
      <c r="AC69" s="812">
        <v>0</v>
      </c>
      <c r="AD69" s="811">
        <v>0</v>
      </c>
      <c r="AE69" s="807">
        <v>1</v>
      </c>
      <c r="AF69" s="807">
        <v>3.5</v>
      </c>
      <c r="AL69" s="813">
        <v>2</v>
      </c>
      <c r="AQ69" s="74" t="s">
        <v>439</v>
      </c>
    </row>
    <row r="70" spans="1:43" s="74" customFormat="1">
      <c r="A70" s="802"/>
      <c r="B70" s="797">
        <v>2</v>
      </c>
      <c r="C70" s="798">
        <v>5</v>
      </c>
      <c r="D70" s="797" t="s">
        <v>446</v>
      </c>
      <c r="E70" s="800" t="s">
        <v>447</v>
      </c>
      <c r="F70" s="817" t="s">
        <v>446</v>
      </c>
      <c r="G70" s="805">
        <v>8</v>
      </c>
      <c r="H70" s="806">
        <v>0.4</v>
      </c>
      <c r="I70" s="807">
        <v>4.5999999999999996</v>
      </c>
      <c r="J70" s="808">
        <v>1.2</v>
      </c>
      <c r="K70" s="809" t="s">
        <v>439</v>
      </c>
      <c r="L70" s="810">
        <v>5</v>
      </c>
      <c r="M70" s="810">
        <v>0.2</v>
      </c>
      <c r="N70" s="811">
        <v>0.8</v>
      </c>
      <c r="O70" s="812">
        <v>0.2</v>
      </c>
      <c r="P70" s="811">
        <v>3.8</v>
      </c>
      <c r="Q70" s="812">
        <v>0</v>
      </c>
      <c r="R70" s="811">
        <v>0</v>
      </c>
      <c r="S70" s="812">
        <v>0</v>
      </c>
      <c r="T70" s="811">
        <v>0</v>
      </c>
      <c r="U70" s="812">
        <v>0</v>
      </c>
      <c r="V70" s="811">
        <v>0</v>
      </c>
      <c r="W70" s="812">
        <v>0</v>
      </c>
      <c r="X70" s="811">
        <v>0</v>
      </c>
      <c r="Y70" s="812">
        <v>0</v>
      </c>
      <c r="Z70" s="811">
        <v>0</v>
      </c>
      <c r="AA70" s="812">
        <v>0</v>
      </c>
      <c r="AB70" s="811">
        <v>0</v>
      </c>
      <c r="AC70" s="812">
        <v>0</v>
      </c>
      <c r="AD70" s="811">
        <v>0</v>
      </c>
      <c r="AE70" s="807">
        <v>0.4</v>
      </c>
      <c r="AF70" s="807">
        <v>4.5999999999999996</v>
      </c>
      <c r="AL70" s="813">
        <v>2</v>
      </c>
      <c r="AQ70" s="74" t="s">
        <v>439</v>
      </c>
    </row>
    <row r="71" spans="1:43" s="74" customFormat="1">
      <c r="A71" s="802"/>
      <c r="B71" s="797">
        <v>2</v>
      </c>
      <c r="C71" s="798">
        <v>5</v>
      </c>
      <c r="D71" s="818" t="s">
        <v>448</v>
      </c>
      <c r="E71" s="800" t="s">
        <v>449</v>
      </c>
      <c r="F71" s="819" t="s">
        <v>448</v>
      </c>
      <c r="G71" s="816">
        <v>8</v>
      </c>
      <c r="H71" s="806">
        <v>0.4</v>
      </c>
      <c r="I71" s="807">
        <v>4.5999999999999996</v>
      </c>
      <c r="J71" s="808">
        <v>1.2</v>
      </c>
      <c r="K71" s="809" t="s">
        <v>439</v>
      </c>
      <c r="L71" s="810">
        <v>5</v>
      </c>
      <c r="M71" s="810">
        <v>0.2</v>
      </c>
      <c r="N71" s="811">
        <v>1.2</v>
      </c>
      <c r="O71" s="812">
        <v>0.2</v>
      </c>
      <c r="P71" s="811">
        <v>3.4</v>
      </c>
      <c r="Q71" s="812">
        <v>0</v>
      </c>
      <c r="R71" s="811">
        <v>0</v>
      </c>
      <c r="S71" s="812">
        <v>0</v>
      </c>
      <c r="T71" s="811">
        <v>0</v>
      </c>
      <c r="U71" s="812">
        <v>0</v>
      </c>
      <c r="V71" s="811">
        <v>0</v>
      </c>
      <c r="W71" s="812">
        <v>0</v>
      </c>
      <c r="X71" s="811">
        <v>0</v>
      </c>
      <c r="Y71" s="812">
        <v>0</v>
      </c>
      <c r="Z71" s="811">
        <v>0</v>
      </c>
      <c r="AA71" s="812">
        <v>0</v>
      </c>
      <c r="AB71" s="811">
        <v>0</v>
      </c>
      <c r="AC71" s="812">
        <v>0</v>
      </c>
      <c r="AD71" s="811">
        <v>0</v>
      </c>
      <c r="AE71" s="807">
        <v>0.4</v>
      </c>
      <c r="AF71" s="807">
        <v>4.5999999999999996</v>
      </c>
      <c r="AL71" s="813">
        <v>2</v>
      </c>
      <c r="AQ71" s="74" t="s">
        <v>439</v>
      </c>
    </row>
    <row r="72" spans="1:43" s="74" customFormat="1">
      <c r="A72" s="802"/>
      <c r="B72" s="797">
        <v>2</v>
      </c>
      <c r="C72" s="798">
        <v>5</v>
      </c>
      <c r="D72" s="797" t="s">
        <v>450</v>
      </c>
      <c r="E72" s="800" t="s">
        <v>451</v>
      </c>
      <c r="F72" s="817" t="s">
        <v>450</v>
      </c>
      <c r="G72" s="805">
        <v>16</v>
      </c>
      <c r="H72" s="806">
        <v>0.8</v>
      </c>
      <c r="I72" s="807">
        <v>4.2</v>
      </c>
      <c r="J72" s="808">
        <v>2.4</v>
      </c>
      <c r="K72" s="809" t="s">
        <v>439</v>
      </c>
      <c r="L72" s="810">
        <v>5</v>
      </c>
      <c r="M72" s="810">
        <v>0.4</v>
      </c>
      <c r="N72" s="811">
        <v>0.6</v>
      </c>
      <c r="O72" s="812">
        <v>0.4</v>
      </c>
      <c r="P72" s="811">
        <v>3.6</v>
      </c>
      <c r="Q72" s="812">
        <v>0</v>
      </c>
      <c r="R72" s="811">
        <v>0</v>
      </c>
      <c r="S72" s="812">
        <v>0</v>
      </c>
      <c r="T72" s="811">
        <v>0</v>
      </c>
      <c r="U72" s="812">
        <v>0</v>
      </c>
      <c r="V72" s="811">
        <v>0</v>
      </c>
      <c r="W72" s="812">
        <v>0</v>
      </c>
      <c r="X72" s="811">
        <v>0</v>
      </c>
      <c r="Y72" s="812">
        <v>0</v>
      </c>
      <c r="Z72" s="811">
        <v>0</v>
      </c>
      <c r="AA72" s="812">
        <v>0</v>
      </c>
      <c r="AB72" s="811">
        <v>0</v>
      </c>
      <c r="AC72" s="812">
        <v>0</v>
      </c>
      <c r="AD72" s="811">
        <v>0</v>
      </c>
      <c r="AE72" s="807">
        <v>0.8</v>
      </c>
      <c r="AF72" s="807">
        <v>4.2</v>
      </c>
      <c r="AL72" s="813">
        <v>2</v>
      </c>
      <c r="AQ72" s="74" t="s">
        <v>439</v>
      </c>
    </row>
    <row r="73" spans="1:43" s="74" customFormat="1">
      <c r="A73" s="802"/>
      <c r="B73" s="797">
        <v>2</v>
      </c>
      <c r="C73" s="798">
        <v>5</v>
      </c>
      <c r="D73" s="818" t="s">
        <v>452</v>
      </c>
      <c r="E73" s="800" t="s">
        <v>453</v>
      </c>
      <c r="F73" s="819" t="s">
        <v>452</v>
      </c>
      <c r="G73" s="816">
        <v>20</v>
      </c>
      <c r="H73" s="806">
        <v>1</v>
      </c>
      <c r="I73" s="807">
        <v>4</v>
      </c>
      <c r="J73" s="808">
        <v>3</v>
      </c>
      <c r="K73" s="809" t="s">
        <v>439</v>
      </c>
      <c r="L73" s="810">
        <v>5</v>
      </c>
      <c r="M73" s="810">
        <v>0.5</v>
      </c>
      <c r="N73" s="811">
        <v>1</v>
      </c>
      <c r="O73" s="812">
        <v>0.5</v>
      </c>
      <c r="P73" s="811">
        <v>3</v>
      </c>
      <c r="Q73" s="812">
        <v>0</v>
      </c>
      <c r="R73" s="811">
        <v>0</v>
      </c>
      <c r="S73" s="812">
        <v>0</v>
      </c>
      <c r="T73" s="811">
        <v>0</v>
      </c>
      <c r="U73" s="812">
        <v>0</v>
      </c>
      <c r="V73" s="811">
        <v>0</v>
      </c>
      <c r="W73" s="812">
        <v>0</v>
      </c>
      <c r="X73" s="811">
        <v>0</v>
      </c>
      <c r="Y73" s="812">
        <v>0</v>
      </c>
      <c r="Z73" s="811">
        <v>0</v>
      </c>
      <c r="AA73" s="812">
        <v>0</v>
      </c>
      <c r="AB73" s="811">
        <v>0</v>
      </c>
      <c r="AC73" s="812">
        <v>0</v>
      </c>
      <c r="AD73" s="811">
        <v>0</v>
      </c>
      <c r="AE73" s="807">
        <v>1</v>
      </c>
      <c r="AF73" s="807">
        <v>4</v>
      </c>
      <c r="AL73" s="813">
        <v>2</v>
      </c>
      <c r="AQ73" s="74" t="s">
        <v>439</v>
      </c>
    </row>
    <row r="74" spans="1:43" s="74" customFormat="1">
      <c r="A74" s="802"/>
      <c r="B74" s="797">
        <v>2</v>
      </c>
      <c r="C74" s="798">
        <v>5</v>
      </c>
      <c r="D74" s="797" t="s">
        <v>454</v>
      </c>
      <c r="E74" s="800" t="s">
        <v>455</v>
      </c>
      <c r="F74" s="817" t="s">
        <v>454</v>
      </c>
      <c r="G74" s="805">
        <v>28</v>
      </c>
      <c r="H74" s="806">
        <v>1.4</v>
      </c>
      <c r="I74" s="807">
        <v>3.6</v>
      </c>
      <c r="J74" s="808">
        <v>4.1999999999999993</v>
      </c>
      <c r="K74" s="809" t="s">
        <v>439</v>
      </c>
      <c r="L74" s="810">
        <v>5</v>
      </c>
      <c r="M74" s="810">
        <v>0.7</v>
      </c>
      <c r="N74" s="811">
        <v>0.5</v>
      </c>
      <c r="O74" s="812">
        <v>0.7</v>
      </c>
      <c r="P74" s="811">
        <v>3.1</v>
      </c>
      <c r="Q74" s="812">
        <v>0</v>
      </c>
      <c r="R74" s="811">
        <v>0</v>
      </c>
      <c r="S74" s="812">
        <v>0</v>
      </c>
      <c r="T74" s="811">
        <v>0</v>
      </c>
      <c r="U74" s="812">
        <v>0</v>
      </c>
      <c r="V74" s="811">
        <v>0</v>
      </c>
      <c r="W74" s="812">
        <v>0</v>
      </c>
      <c r="X74" s="811">
        <v>0</v>
      </c>
      <c r="Y74" s="812">
        <v>0</v>
      </c>
      <c r="Z74" s="811">
        <v>0</v>
      </c>
      <c r="AA74" s="812">
        <v>0</v>
      </c>
      <c r="AB74" s="811">
        <v>0</v>
      </c>
      <c r="AC74" s="812">
        <v>0</v>
      </c>
      <c r="AD74" s="811">
        <v>0</v>
      </c>
      <c r="AE74" s="807">
        <v>1.4</v>
      </c>
      <c r="AF74" s="807">
        <v>3.6</v>
      </c>
      <c r="AL74" s="813">
        <v>2</v>
      </c>
      <c r="AQ74" s="74" t="s">
        <v>439</v>
      </c>
    </row>
    <row r="75" spans="1:43" s="74" customFormat="1">
      <c r="A75" s="802"/>
      <c r="B75" s="797">
        <v>2</v>
      </c>
      <c r="C75" s="798">
        <v>5</v>
      </c>
      <c r="D75" s="818" t="s">
        <v>456</v>
      </c>
      <c r="E75" s="800" t="s">
        <v>457</v>
      </c>
      <c r="F75" s="819" t="s">
        <v>456</v>
      </c>
      <c r="G75" s="816">
        <v>40</v>
      </c>
      <c r="H75" s="806">
        <v>2</v>
      </c>
      <c r="I75" s="807">
        <v>3</v>
      </c>
      <c r="J75" s="808">
        <v>6</v>
      </c>
      <c r="K75" s="809" t="s">
        <v>439</v>
      </c>
      <c r="L75" s="810">
        <v>5</v>
      </c>
      <c r="M75" s="810">
        <v>1</v>
      </c>
      <c r="N75" s="811">
        <v>1</v>
      </c>
      <c r="O75" s="812">
        <v>1</v>
      </c>
      <c r="P75" s="811">
        <v>2</v>
      </c>
      <c r="Q75" s="812">
        <v>0</v>
      </c>
      <c r="R75" s="811">
        <v>0</v>
      </c>
      <c r="S75" s="812">
        <v>0</v>
      </c>
      <c r="T75" s="811">
        <v>0</v>
      </c>
      <c r="U75" s="812">
        <v>0</v>
      </c>
      <c r="V75" s="811">
        <v>0</v>
      </c>
      <c r="W75" s="812">
        <v>0</v>
      </c>
      <c r="X75" s="811">
        <v>0</v>
      </c>
      <c r="Y75" s="812">
        <v>0</v>
      </c>
      <c r="Z75" s="811">
        <v>0</v>
      </c>
      <c r="AA75" s="812">
        <v>0</v>
      </c>
      <c r="AB75" s="811">
        <v>0</v>
      </c>
      <c r="AC75" s="812">
        <v>0</v>
      </c>
      <c r="AD75" s="811">
        <v>0</v>
      </c>
      <c r="AE75" s="807">
        <v>2</v>
      </c>
      <c r="AF75" s="807">
        <v>3</v>
      </c>
      <c r="AL75" s="813">
        <v>2</v>
      </c>
      <c r="AQ75" s="74" t="s">
        <v>439</v>
      </c>
    </row>
    <row r="76" spans="1:43" s="74" customFormat="1">
      <c r="A76" s="802"/>
      <c r="B76" s="797">
        <v>2</v>
      </c>
      <c r="C76" s="798">
        <v>5.5</v>
      </c>
      <c r="D76" s="797" t="s">
        <v>458</v>
      </c>
      <c r="E76" s="800" t="s">
        <v>459</v>
      </c>
      <c r="F76" s="817" t="s">
        <v>458</v>
      </c>
      <c r="G76" s="805">
        <v>14.54545454545455</v>
      </c>
      <c r="H76" s="806">
        <v>0.8</v>
      </c>
      <c r="I76" s="807">
        <v>4.6999999999999993</v>
      </c>
      <c r="J76" s="808">
        <v>2.1818181818181821</v>
      </c>
      <c r="K76" s="809" t="s">
        <v>439</v>
      </c>
      <c r="L76" s="810">
        <v>5.5</v>
      </c>
      <c r="M76" s="810">
        <v>0.4</v>
      </c>
      <c r="N76" s="811">
        <v>1.4</v>
      </c>
      <c r="O76" s="812">
        <v>0.4</v>
      </c>
      <c r="P76" s="811">
        <v>3.3</v>
      </c>
      <c r="Q76" s="812">
        <v>0</v>
      </c>
      <c r="R76" s="811">
        <v>0</v>
      </c>
      <c r="S76" s="812">
        <v>0</v>
      </c>
      <c r="T76" s="811">
        <v>0</v>
      </c>
      <c r="U76" s="812">
        <v>0</v>
      </c>
      <c r="V76" s="811">
        <v>0</v>
      </c>
      <c r="W76" s="812">
        <v>0</v>
      </c>
      <c r="X76" s="811">
        <v>0</v>
      </c>
      <c r="Y76" s="812">
        <v>0</v>
      </c>
      <c r="Z76" s="811">
        <v>0</v>
      </c>
      <c r="AA76" s="812">
        <v>0</v>
      </c>
      <c r="AB76" s="811">
        <v>0</v>
      </c>
      <c r="AC76" s="812">
        <v>0</v>
      </c>
      <c r="AD76" s="811">
        <v>0</v>
      </c>
      <c r="AE76" s="807">
        <v>0.8</v>
      </c>
      <c r="AF76" s="807">
        <v>4.6999999999999993</v>
      </c>
      <c r="AL76" s="813">
        <v>2</v>
      </c>
      <c r="AQ76" s="74" t="s">
        <v>439</v>
      </c>
    </row>
    <row r="77" spans="1:43" s="74" customFormat="1">
      <c r="A77" s="802"/>
      <c r="B77" s="797">
        <v>2</v>
      </c>
      <c r="C77" s="798">
        <v>6</v>
      </c>
      <c r="D77" s="818" t="s">
        <v>460</v>
      </c>
      <c r="E77" s="800" t="s">
        <v>461</v>
      </c>
      <c r="F77" s="819" t="s">
        <v>460</v>
      </c>
      <c r="G77" s="816">
        <v>10</v>
      </c>
      <c r="H77" s="806">
        <v>0.6</v>
      </c>
      <c r="I77" s="807">
        <v>5.4</v>
      </c>
      <c r="J77" s="808">
        <v>1.5</v>
      </c>
      <c r="K77" s="809" t="s">
        <v>439</v>
      </c>
      <c r="L77" s="810">
        <v>6</v>
      </c>
      <c r="M77" s="810">
        <v>0.3</v>
      </c>
      <c r="N77" s="811">
        <v>1</v>
      </c>
      <c r="O77" s="812">
        <v>0.3</v>
      </c>
      <c r="P77" s="811">
        <v>4.4000000000000004</v>
      </c>
      <c r="Q77" s="812">
        <v>0</v>
      </c>
      <c r="R77" s="811">
        <v>0</v>
      </c>
      <c r="S77" s="812">
        <v>0</v>
      </c>
      <c r="T77" s="811">
        <v>0</v>
      </c>
      <c r="U77" s="812">
        <v>0</v>
      </c>
      <c r="V77" s="811">
        <v>0</v>
      </c>
      <c r="W77" s="812">
        <v>0</v>
      </c>
      <c r="X77" s="811">
        <v>0</v>
      </c>
      <c r="Y77" s="812">
        <v>0</v>
      </c>
      <c r="Z77" s="811">
        <v>0</v>
      </c>
      <c r="AA77" s="812">
        <v>0</v>
      </c>
      <c r="AB77" s="811">
        <v>0</v>
      </c>
      <c r="AC77" s="812">
        <v>0</v>
      </c>
      <c r="AD77" s="811">
        <v>0</v>
      </c>
      <c r="AE77" s="807">
        <v>0.6</v>
      </c>
      <c r="AF77" s="807">
        <v>5.4</v>
      </c>
      <c r="AL77" s="813">
        <v>2</v>
      </c>
      <c r="AQ77" s="74" t="s">
        <v>439</v>
      </c>
    </row>
    <row r="78" spans="1:43" s="74" customFormat="1">
      <c r="A78" s="802"/>
      <c r="B78" s="797">
        <v>2</v>
      </c>
      <c r="C78" s="798">
        <v>6</v>
      </c>
      <c r="D78" s="797" t="s">
        <v>462</v>
      </c>
      <c r="E78" s="800" t="s">
        <v>463</v>
      </c>
      <c r="F78" s="817" t="s">
        <v>462</v>
      </c>
      <c r="G78" s="805">
        <v>13.33333333333333</v>
      </c>
      <c r="H78" s="806">
        <v>0.8</v>
      </c>
      <c r="I78" s="807">
        <v>5.2</v>
      </c>
      <c r="J78" s="808">
        <v>2</v>
      </c>
      <c r="K78" s="809" t="s">
        <v>439</v>
      </c>
      <c r="L78" s="810">
        <v>6</v>
      </c>
      <c r="M78" s="810">
        <v>0.4</v>
      </c>
      <c r="N78" s="811">
        <v>1</v>
      </c>
      <c r="O78" s="812">
        <v>0.4</v>
      </c>
      <c r="P78" s="811">
        <v>4.2</v>
      </c>
      <c r="Q78" s="812">
        <v>0</v>
      </c>
      <c r="R78" s="811">
        <v>0</v>
      </c>
      <c r="S78" s="812">
        <v>0</v>
      </c>
      <c r="T78" s="811">
        <v>0</v>
      </c>
      <c r="U78" s="812">
        <v>0</v>
      </c>
      <c r="V78" s="811">
        <v>0</v>
      </c>
      <c r="W78" s="812">
        <v>0</v>
      </c>
      <c r="X78" s="811">
        <v>0</v>
      </c>
      <c r="Y78" s="812">
        <v>0</v>
      </c>
      <c r="Z78" s="811">
        <v>0</v>
      </c>
      <c r="AA78" s="812">
        <v>0</v>
      </c>
      <c r="AB78" s="811">
        <v>0</v>
      </c>
      <c r="AC78" s="812">
        <v>0</v>
      </c>
      <c r="AD78" s="811">
        <v>0</v>
      </c>
      <c r="AE78" s="807">
        <v>0.8</v>
      </c>
      <c r="AF78" s="807">
        <v>5.2</v>
      </c>
      <c r="AL78" s="813">
        <v>2</v>
      </c>
      <c r="AQ78" s="74" t="s">
        <v>439</v>
      </c>
    </row>
    <row r="79" spans="1:43" s="74" customFormat="1">
      <c r="A79" s="802"/>
      <c r="B79" s="797">
        <v>2</v>
      </c>
      <c r="C79" s="798">
        <v>6</v>
      </c>
      <c r="D79" s="818" t="s">
        <v>464</v>
      </c>
      <c r="E79" s="800" t="s">
        <v>465</v>
      </c>
      <c r="F79" s="819" t="s">
        <v>464</v>
      </c>
      <c r="G79" s="816">
        <v>16.666666666666661</v>
      </c>
      <c r="H79" s="806">
        <v>1</v>
      </c>
      <c r="I79" s="807">
        <v>5</v>
      </c>
      <c r="J79" s="808">
        <v>2.5</v>
      </c>
      <c r="K79" s="809" t="s">
        <v>439</v>
      </c>
      <c r="L79" s="810">
        <v>6</v>
      </c>
      <c r="M79" s="810">
        <v>0.5</v>
      </c>
      <c r="N79" s="811">
        <v>1</v>
      </c>
      <c r="O79" s="812">
        <v>0.5</v>
      </c>
      <c r="P79" s="811">
        <v>4</v>
      </c>
      <c r="Q79" s="812">
        <v>0</v>
      </c>
      <c r="R79" s="811">
        <v>0</v>
      </c>
      <c r="S79" s="812">
        <v>0</v>
      </c>
      <c r="T79" s="811">
        <v>0</v>
      </c>
      <c r="U79" s="812">
        <v>0</v>
      </c>
      <c r="V79" s="811">
        <v>0</v>
      </c>
      <c r="W79" s="812">
        <v>0</v>
      </c>
      <c r="X79" s="811">
        <v>0</v>
      </c>
      <c r="Y79" s="812">
        <v>0</v>
      </c>
      <c r="Z79" s="811">
        <v>0</v>
      </c>
      <c r="AA79" s="812">
        <v>0</v>
      </c>
      <c r="AB79" s="811">
        <v>0</v>
      </c>
      <c r="AC79" s="812">
        <v>0</v>
      </c>
      <c r="AD79" s="811">
        <v>0</v>
      </c>
      <c r="AE79" s="807">
        <v>1</v>
      </c>
      <c r="AF79" s="807">
        <v>5</v>
      </c>
      <c r="AL79" s="813">
        <v>2</v>
      </c>
      <c r="AQ79" s="74" t="s">
        <v>439</v>
      </c>
    </row>
    <row r="80" spans="1:43" s="74" customFormat="1">
      <c r="A80" s="802"/>
      <c r="B80" s="797">
        <v>2</v>
      </c>
      <c r="C80" s="798">
        <v>6</v>
      </c>
      <c r="D80" s="797" t="s">
        <v>466</v>
      </c>
      <c r="E80" s="800" t="s">
        <v>467</v>
      </c>
      <c r="F80" s="817" t="s">
        <v>466</v>
      </c>
      <c r="G80" s="805">
        <v>26.666666666666671</v>
      </c>
      <c r="H80" s="806">
        <v>1.6</v>
      </c>
      <c r="I80" s="807">
        <v>4.4000000000000004</v>
      </c>
      <c r="J80" s="808">
        <v>4</v>
      </c>
      <c r="K80" s="809" t="s">
        <v>439</v>
      </c>
      <c r="L80" s="810">
        <v>6</v>
      </c>
      <c r="M80" s="810">
        <v>0.8</v>
      </c>
      <c r="N80" s="811">
        <v>1.2</v>
      </c>
      <c r="O80" s="812">
        <v>0.8</v>
      </c>
      <c r="P80" s="811">
        <v>3.2</v>
      </c>
      <c r="Q80" s="812">
        <v>0</v>
      </c>
      <c r="R80" s="811">
        <v>0</v>
      </c>
      <c r="S80" s="812">
        <v>0</v>
      </c>
      <c r="T80" s="811">
        <v>0</v>
      </c>
      <c r="U80" s="812">
        <v>0</v>
      </c>
      <c r="V80" s="811">
        <v>0</v>
      </c>
      <c r="W80" s="812">
        <v>0</v>
      </c>
      <c r="X80" s="811">
        <v>0</v>
      </c>
      <c r="Y80" s="812">
        <v>0</v>
      </c>
      <c r="Z80" s="811">
        <v>0</v>
      </c>
      <c r="AA80" s="812">
        <v>0</v>
      </c>
      <c r="AB80" s="811">
        <v>0</v>
      </c>
      <c r="AC80" s="812">
        <v>0</v>
      </c>
      <c r="AD80" s="811">
        <v>0</v>
      </c>
      <c r="AE80" s="807">
        <v>1.6</v>
      </c>
      <c r="AF80" s="807">
        <v>4.4000000000000004</v>
      </c>
      <c r="AL80" s="813">
        <v>2</v>
      </c>
      <c r="AQ80" s="74" t="s">
        <v>439</v>
      </c>
    </row>
    <row r="81" spans="1:43" s="74" customFormat="1">
      <c r="A81" s="802"/>
      <c r="B81" s="797">
        <v>2</v>
      </c>
      <c r="C81" s="798">
        <v>6</v>
      </c>
      <c r="D81" s="818" t="s">
        <v>468</v>
      </c>
      <c r="E81" s="800" t="s">
        <v>469</v>
      </c>
      <c r="F81" s="819" t="s">
        <v>468</v>
      </c>
      <c r="G81" s="816">
        <v>33.333333333333329</v>
      </c>
      <c r="H81" s="806">
        <v>2</v>
      </c>
      <c r="I81" s="807">
        <v>4</v>
      </c>
      <c r="J81" s="808">
        <v>4.9999999999999991</v>
      </c>
      <c r="K81" s="809" t="s">
        <v>439</v>
      </c>
      <c r="L81" s="810">
        <v>6</v>
      </c>
      <c r="M81" s="810">
        <v>1</v>
      </c>
      <c r="N81" s="811">
        <v>1</v>
      </c>
      <c r="O81" s="812">
        <v>1</v>
      </c>
      <c r="P81" s="811">
        <v>3</v>
      </c>
      <c r="Q81" s="812">
        <v>0</v>
      </c>
      <c r="R81" s="811">
        <v>0</v>
      </c>
      <c r="S81" s="812">
        <v>0</v>
      </c>
      <c r="T81" s="811">
        <v>0</v>
      </c>
      <c r="U81" s="812">
        <v>0</v>
      </c>
      <c r="V81" s="811">
        <v>0</v>
      </c>
      <c r="W81" s="812">
        <v>0</v>
      </c>
      <c r="X81" s="811">
        <v>0</v>
      </c>
      <c r="Y81" s="812">
        <v>0</v>
      </c>
      <c r="Z81" s="811">
        <v>0</v>
      </c>
      <c r="AA81" s="812">
        <v>0</v>
      </c>
      <c r="AB81" s="811">
        <v>0</v>
      </c>
      <c r="AC81" s="812">
        <v>0</v>
      </c>
      <c r="AD81" s="811">
        <v>0</v>
      </c>
      <c r="AE81" s="807">
        <v>2</v>
      </c>
      <c r="AF81" s="807">
        <v>4</v>
      </c>
      <c r="AL81" s="813">
        <v>2</v>
      </c>
      <c r="AQ81" s="74" t="s">
        <v>439</v>
      </c>
    </row>
    <row r="82" spans="1:43" s="74" customFormat="1">
      <c r="A82" s="802"/>
      <c r="B82" s="797">
        <v>2</v>
      </c>
      <c r="C82" s="798">
        <v>7</v>
      </c>
      <c r="D82" s="797" t="s">
        <v>470</v>
      </c>
      <c r="E82" s="800" t="s">
        <v>471</v>
      </c>
      <c r="F82" s="817" t="s">
        <v>470</v>
      </c>
      <c r="G82" s="805">
        <v>28.571428571428569</v>
      </c>
      <c r="H82" s="806">
        <v>2</v>
      </c>
      <c r="I82" s="807">
        <v>5</v>
      </c>
      <c r="J82" s="808">
        <v>4.2857142857142856</v>
      </c>
      <c r="K82" s="809" t="s">
        <v>439</v>
      </c>
      <c r="L82" s="810">
        <v>7</v>
      </c>
      <c r="M82" s="810">
        <v>1</v>
      </c>
      <c r="N82" s="811">
        <v>1</v>
      </c>
      <c r="O82" s="812">
        <v>1</v>
      </c>
      <c r="P82" s="811">
        <v>4</v>
      </c>
      <c r="Q82" s="812">
        <v>0</v>
      </c>
      <c r="R82" s="811">
        <v>0</v>
      </c>
      <c r="S82" s="812">
        <v>0</v>
      </c>
      <c r="T82" s="811">
        <v>0</v>
      </c>
      <c r="U82" s="812">
        <v>0</v>
      </c>
      <c r="V82" s="811">
        <v>0</v>
      </c>
      <c r="W82" s="812">
        <v>0</v>
      </c>
      <c r="X82" s="811">
        <v>0</v>
      </c>
      <c r="Y82" s="812">
        <v>0</v>
      </c>
      <c r="Z82" s="811">
        <v>0</v>
      </c>
      <c r="AA82" s="812">
        <v>0</v>
      </c>
      <c r="AB82" s="811">
        <v>0</v>
      </c>
      <c r="AC82" s="812">
        <v>0</v>
      </c>
      <c r="AD82" s="811">
        <v>0</v>
      </c>
      <c r="AE82" s="807">
        <v>2</v>
      </c>
      <c r="AF82" s="807">
        <v>5</v>
      </c>
      <c r="AL82" s="813">
        <v>2</v>
      </c>
      <c r="AQ82" s="74" t="s">
        <v>439</v>
      </c>
    </row>
    <row r="83" spans="1:43" s="74" customFormat="1">
      <c r="A83" s="802"/>
      <c r="B83" s="797">
        <v>2</v>
      </c>
      <c r="C83" s="798">
        <v>8</v>
      </c>
      <c r="D83" s="818" t="s">
        <v>472</v>
      </c>
      <c r="E83" s="800" t="s">
        <v>473</v>
      </c>
      <c r="F83" s="819" t="s">
        <v>472</v>
      </c>
      <c r="G83" s="816">
        <v>10</v>
      </c>
      <c r="H83" s="806">
        <v>0.8</v>
      </c>
      <c r="I83" s="807">
        <v>7.2</v>
      </c>
      <c r="J83" s="808">
        <v>1.5</v>
      </c>
      <c r="K83" s="809" t="s">
        <v>439</v>
      </c>
      <c r="L83" s="810">
        <v>8</v>
      </c>
      <c r="M83" s="810">
        <v>0.4</v>
      </c>
      <c r="N83" s="811">
        <v>1</v>
      </c>
      <c r="O83" s="812">
        <v>0.4</v>
      </c>
      <c r="P83" s="811">
        <v>6.2</v>
      </c>
      <c r="Q83" s="812">
        <v>0</v>
      </c>
      <c r="R83" s="811">
        <v>0</v>
      </c>
      <c r="S83" s="812">
        <v>0</v>
      </c>
      <c r="T83" s="811">
        <v>0</v>
      </c>
      <c r="U83" s="812">
        <v>0</v>
      </c>
      <c r="V83" s="811">
        <v>0</v>
      </c>
      <c r="W83" s="812">
        <v>0</v>
      </c>
      <c r="X83" s="811">
        <v>0</v>
      </c>
      <c r="Y83" s="812">
        <v>0</v>
      </c>
      <c r="Z83" s="811">
        <v>0</v>
      </c>
      <c r="AA83" s="812">
        <v>0</v>
      </c>
      <c r="AB83" s="811">
        <v>0</v>
      </c>
      <c r="AC83" s="812">
        <v>0</v>
      </c>
      <c r="AD83" s="811">
        <v>0</v>
      </c>
      <c r="AE83" s="807">
        <v>0.8</v>
      </c>
      <c r="AF83" s="807">
        <v>7.2</v>
      </c>
      <c r="AL83" s="813">
        <v>2</v>
      </c>
      <c r="AQ83" s="74" t="s">
        <v>439</v>
      </c>
    </row>
    <row r="84" spans="1:43" s="74" customFormat="1">
      <c r="A84" s="802"/>
      <c r="B84" s="797">
        <v>2</v>
      </c>
      <c r="C84" s="798">
        <v>8</v>
      </c>
      <c r="D84" s="797" t="s">
        <v>474</v>
      </c>
      <c r="E84" s="800" t="s">
        <v>475</v>
      </c>
      <c r="F84" s="817" t="s">
        <v>474</v>
      </c>
      <c r="G84" s="805">
        <v>12.5</v>
      </c>
      <c r="H84" s="806">
        <v>1</v>
      </c>
      <c r="I84" s="807">
        <v>7</v>
      </c>
      <c r="J84" s="808">
        <v>1.875</v>
      </c>
      <c r="K84" s="809" t="s">
        <v>439</v>
      </c>
      <c r="L84" s="810">
        <v>8</v>
      </c>
      <c r="M84" s="810">
        <v>0.5</v>
      </c>
      <c r="N84" s="811">
        <v>1</v>
      </c>
      <c r="O84" s="812">
        <v>0.5</v>
      </c>
      <c r="P84" s="811">
        <v>6</v>
      </c>
      <c r="Q84" s="812">
        <v>0</v>
      </c>
      <c r="R84" s="811">
        <v>0</v>
      </c>
      <c r="S84" s="812">
        <v>0</v>
      </c>
      <c r="T84" s="811">
        <v>0</v>
      </c>
      <c r="U84" s="812">
        <v>0</v>
      </c>
      <c r="V84" s="811">
        <v>0</v>
      </c>
      <c r="W84" s="812">
        <v>0</v>
      </c>
      <c r="X84" s="811">
        <v>0</v>
      </c>
      <c r="Y84" s="812">
        <v>0</v>
      </c>
      <c r="Z84" s="811">
        <v>0</v>
      </c>
      <c r="AA84" s="812">
        <v>0</v>
      </c>
      <c r="AB84" s="811">
        <v>0</v>
      </c>
      <c r="AC84" s="812">
        <v>0</v>
      </c>
      <c r="AD84" s="811">
        <v>0</v>
      </c>
      <c r="AE84" s="807">
        <v>1</v>
      </c>
      <c r="AF84" s="807">
        <v>7</v>
      </c>
      <c r="AL84" s="813">
        <v>2</v>
      </c>
      <c r="AQ84" s="74" t="s">
        <v>439</v>
      </c>
    </row>
    <row r="85" spans="1:43" s="74" customFormat="1">
      <c r="A85" s="802"/>
      <c r="B85" s="797">
        <v>2</v>
      </c>
      <c r="C85" s="798">
        <v>8</v>
      </c>
      <c r="D85" s="818" t="s">
        <v>476</v>
      </c>
      <c r="E85" s="800" t="s">
        <v>477</v>
      </c>
      <c r="F85" s="819" t="s">
        <v>476</v>
      </c>
      <c r="G85" s="816">
        <v>25</v>
      </c>
      <c r="H85" s="806">
        <v>2</v>
      </c>
      <c r="I85" s="807">
        <v>6</v>
      </c>
      <c r="J85" s="808">
        <v>3.75</v>
      </c>
      <c r="K85" s="809" t="s">
        <v>439</v>
      </c>
      <c r="L85" s="810">
        <v>8</v>
      </c>
      <c r="M85" s="810">
        <v>1</v>
      </c>
      <c r="N85" s="811">
        <v>1</v>
      </c>
      <c r="O85" s="812">
        <v>1</v>
      </c>
      <c r="P85" s="811">
        <v>5</v>
      </c>
      <c r="Q85" s="812">
        <v>0</v>
      </c>
      <c r="R85" s="811">
        <v>0</v>
      </c>
      <c r="S85" s="812">
        <v>0</v>
      </c>
      <c r="T85" s="811">
        <v>0</v>
      </c>
      <c r="U85" s="812">
        <v>0</v>
      </c>
      <c r="V85" s="811">
        <v>0</v>
      </c>
      <c r="W85" s="812">
        <v>0</v>
      </c>
      <c r="X85" s="811">
        <v>0</v>
      </c>
      <c r="Y85" s="812">
        <v>0</v>
      </c>
      <c r="Z85" s="811">
        <v>0</v>
      </c>
      <c r="AA85" s="812">
        <v>0</v>
      </c>
      <c r="AB85" s="811">
        <v>0</v>
      </c>
      <c r="AC85" s="812">
        <v>0</v>
      </c>
      <c r="AD85" s="811">
        <v>0</v>
      </c>
      <c r="AE85" s="807">
        <v>2</v>
      </c>
      <c r="AF85" s="807">
        <v>6</v>
      </c>
      <c r="AL85" s="813">
        <v>2</v>
      </c>
      <c r="AQ85" s="74" t="s">
        <v>439</v>
      </c>
    </row>
    <row r="86" spans="1:43" s="74" customFormat="1">
      <c r="A86" s="802"/>
      <c r="B86" s="797">
        <v>2</v>
      </c>
      <c r="C86" s="798">
        <v>10</v>
      </c>
      <c r="D86" s="797" t="s">
        <v>478</v>
      </c>
      <c r="E86" s="800" t="s">
        <v>479</v>
      </c>
      <c r="F86" s="817" t="s">
        <v>478</v>
      </c>
      <c r="G86" s="805">
        <v>8</v>
      </c>
      <c r="H86" s="806">
        <v>0.8</v>
      </c>
      <c r="I86" s="807">
        <v>9.1999999999999993</v>
      </c>
      <c r="J86" s="808">
        <v>1.2</v>
      </c>
      <c r="K86" s="809" t="s">
        <v>439</v>
      </c>
      <c r="L86" s="810">
        <v>10</v>
      </c>
      <c r="M86" s="810">
        <v>0.4</v>
      </c>
      <c r="N86" s="811">
        <v>1.6</v>
      </c>
      <c r="O86" s="812">
        <v>0.4</v>
      </c>
      <c r="P86" s="811">
        <v>7.6</v>
      </c>
      <c r="Q86" s="812">
        <v>0</v>
      </c>
      <c r="R86" s="811">
        <v>0</v>
      </c>
      <c r="S86" s="812">
        <v>0</v>
      </c>
      <c r="T86" s="811">
        <v>0</v>
      </c>
      <c r="U86" s="812">
        <v>0</v>
      </c>
      <c r="V86" s="811">
        <v>0</v>
      </c>
      <c r="W86" s="812">
        <v>0</v>
      </c>
      <c r="X86" s="811">
        <v>0</v>
      </c>
      <c r="Y86" s="812">
        <v>0</v>
      </c>
      <c r="Z86" s="811">
        <v>0</v>
      </c>
      <c r="AA86" s="812">
        <v>0</v>
      </c>
      <c r="AB86" s="811">
        <v>0</v>
      </c>
      <c r="AC86" s="812">
        <v>0</v>
      </c>
      <c r="AD86" s="811">
        <v>0</v>
      </c>
      <c r="AE86" s="807">
        <v>0.8</v>
      </c>
      <c r="AF86" s="807">
        <v>9.1999999999999993</v>
      </c>
      <c r="AL86" s="813">
        <v>2</v>
      </c>
      <c r="AQ86" s="74" t="s">
        <v>439</v>
      </c>
    </row>
    <row r="87" spans="1:43" s="74" customFormat="1">
      <c r="A87" s="802"/>
      <c r="B87" s="797">
        <v>2</v>
      </c>
      <c r="C87" s="798">
        <v>10</v>
      </c>
      <c r="D87" s="818" t="s">
        <v>480</v>
      </c>
      <c r="E87" s="800" t="s">
        <v>481</v>
      </c>
      <c r="F87" s="819" t="s">
        <v>480</v>
      </c>
      <c r="G87" s="816">
        <v>10</v>
      </c>
      <c r="H87" s="806">
        <v>1</v>
      </c>
      <c r="I87" s="807">
        <v>9</v>
      </c>
      <c r="J87" s="808">
        <v>1.5</v>
      </c>
      <c r="K87" s="809" t="s">
        <v>439</v>
      </c>
      <c r="L87" s="810">
        <v>10</v>
      </c>
      <c r="M87" s="810">
        <v>0.5</v>
      </c>
      <c r="N87" s="811">
        <v>2</v>
      </c>
      <c r="O87" s="812">
        <v>0.5</v>
      </c>
      <c r="P87" s="811">
        <v>7</v>
      </c>
      <c r="Q87" s="812"/>
      <c r="R87" s="811"/>
      <c r="S87" s="812"/>
      <c r="T87" s="811"/>
      <c r="U87" s="812"/>
      <c r="V87" s="811"/>
      <c r="W87" s="812"/>
      <c r="X87" s="811"/>
      <c r="Y87" s="812"/>
      <c r="Z87" s="811"/>
      <c r="AA87" s="812"/>
      <c r="AB87" s="811"/>
      <c r="AC87" s="812"/>
      <c r="AD87" s="811"/>
      <c r="AE87" s="807">
        <v>1</v>
      </c>
      <c r="AF87" s="807">
        <v>9</v>
      </c>
      <c r="AL87" s="813">
        <v>2</v>
      </c>
      <c r="AQ87" s="74" t="s">
        <v>439</v>
      </c>
    </row>
    <row r="88" spans="1:43" s="74" customFormat="1">
      <c r="A88" s="802"/>
      <c r="B88" s="797">
        <v>2</v>
      </c>
      <c r="C88" s="798">
        <v>10</v>
      </c>
      <c r="D88" s="797" t="s">
        <v>482</v>
      </c>
      <c r="E88" s="800" t="s">
        <v>483</v>
      </c>
      <c r="F88" s="817" t="s">
        <v>482</v>
      </c>
      <c r="G88" s="805">
        <v>10</v>
      </c>
      <c r="H88" s="806">
        <v>1</v>
      </c>
      <c r="I88" s="807">
        <v>9</v>
      </c>
      <c r="J88" s="808">
        <v>1.5</v>
      </c>
      <c r="K88" s="809" t="s">
        <v>439</v>
      </c>
      <c r="L88" s="810">
        <v>10</v>
      </c>
      <c r="M88" s="810">
        <v>0.5</v>
      </c>
      <c r="N88" s="811">
        <v>1</v>
      </c>
      <c r="O88" s="812">
        <v>0.5</v>
      </c>
      <c r="P88" s="811">
        <v>8</v>
      </c>
      <c r="Q88" s="812">
        <v>0</v>
      </c>
      <c r="R88" s="811">
        <v>0</v>
      </c>
      <c r="S88" s="812">
        <v>0</v>
      </c>
      <c r="T88" s="811">
        <v>0</v>
      </c>
      <c r="U88" s="812">
        <v>0</v>
      </c>
      <c r="V88" s="811">
        <v>0</v>
      </c>
      <c r="W88" s="812">
        <v>0</v>
      </c>
      <c r="X88" s="811">
        <v>0</v>
      </c>
      <c r="Y88" s="812">
        <v>0</v>
      </c>
      <c r="Z88" s="811">
        <v>0</v>
      </c>
      <c r="AA88" s="812">
        <v>0</v>
      </c>
      <c r="AB88" s="811">
        <v>0</v>
      </c>
      <c r="AC88" s="812">
        <v>0</v>
      </c>
      <c r="AD88" s="811">
        <v>0</v>
      </c>
      <c r="AE88" s="807">
        <v>1</v>
      </c>
      <c r="AF88" s="807">
        <v>9</v>
      </c>
      <c r="AL88" s="813">
        <v>2</v>
      </c>
      <c r="AQ88" s="74" t="s">
        <v>439</v>
      </c>
    </row>
    <row r="89" spans="1:43" s="74" customFormat="1">
      <c r="A89" s="802"/>
      <c r="B89" s="797">
        <v>2</v>
      </c>
      <c r="C89" s="798">
        <v>10</v>
      </c>
      <c r="D89" s="818" t="s">
        <v>484</v>
      </c>
      <c r="E89" s="800" t="s">
        <v>485</v>
      </c>
      <c r="F89" s="819" t="s">
        <v>484</v>
      </c>
      <c r="G89" s="816">
        <v>10</v>
      </c>
      <c r="H89" s="806">
        <v>1</v>
      </c>
      <c r="I89" s="807">
        <v>9</v>
      </c>
      <c r="J89" s="808">
        <v>1.5</v>
      </c>
      <c r="K89" s="809" t="s">
        <v>439</v>
      </c>
      <c r="L89" s="810">
        <v>10</v>
      </c>
      <c r="M89" s="810">
        <v>0.5</v>
      </c>
      <c r="N89" s="811">
        <v>1.5</v>
      </c>
      <c r="O89" s="812">
        <v>0.5</v>
      </c>
      <c r="P89" s="811">
        <v>7.5</v>
      </c>
      <c r="Q89" s="812">
        <v>0</v>
      </c>
      <c r="R89" s="811">
        <v>0</v>
      </c>
      <c r="S89" s="812">
        <v>0</v>
      </c>
      <c r="T89" s="811">
        <v>0</v>
      </c>
      <c r="U89" s="812">
        <v>0</v>
      </c>
      <c r="V89" s="811">
        <v>0</v>
      </c>
      <c r="W89" s="812">
        <v>0</v>
      </c>
      <c r="X89" s="811">
        <v>0</v>
      </c>
      <c r="Y89" s="812">
        <v>0</v>
      </c>
      <c r="Z89" s="811">
        <v>0</v>
      </c>
      <c r="AA89" s="812">
        <v>0</v>
      </c>
      <c r="AB89" s="811">
        <v>0</v>
      </c>
      <c r="AC89" s="812">
        <v>0</v>
      </c>
      <c r="AD89" s="811">
        <v>0</v>
      </c>
      <c r="AE89" s="807">
        <v>1</v>
      </c>
      <c r="AF89" s="807">
        <v>9</v>
      </c>
      <c r="AL89" s="813">
        <v>2</v>
      </c>
      <c r="AQ89" s="74" t="s">
        <v>439</v>
      </c>
    </row>
    <row r="90" spans="1:43" s="74" customFormat="1">
      <c r="A90" s="802"/>
      <c r="B90" s="797">
        <v>2</v>
      </c>
      <c r="C90" s="798">
        <v>10</v>
      </c>
      <c r="D90" s="797" t="s">
        <v>486</v>
      </c>
      <c r="E90" s="800" t="s">
        <v>487</v>
      </c>
      <c r="F90" s="817" t="s">
        <v>486</v>
      </c>
      <c r="G90" s="805">
        <v>12</v>
      </c>
      <c r="H90" s="806">
        <v>1.2</v>
      </c>
      <c r="I90" s="807">
        <v>8.8000000000000007</v>
      </c>
      <c r="J90" s="808">
        <v>1.8</v>
      </c>
      <c r="K90" s="809" t="s">
        <v>439</v>
      </c>
      <c r="L90" s="810">
        <v>10</v>
      </c>
      <c r="M90" s="810">
        <v>0.6</v>
      </c>
      <c r="N90" s="811">
        <v>1.5</v>
      </c>
      <c r="O90" s="812">
        <v>0.6</v>
      </c>
      <c r="P90" s="811">
        <v>7.3</v>
      </c>
      <c r="Q90" s="812">
        <v>0</v>
      </c>
      <c r="R90" s="811">
        <v>0</v>
      </c>
      <c r="S90" s="812">
        <v>0</v>
      </c>
      <c r="T90" s="811">
        <v>0</v>
      </c>
      <c r="U90" s="812">
        <v>0</v>
      </c>
      <c r="V90" s="811">
        <v>0</v>
      </c>
      <c r="W90" s="812">
        <v>0</v>
      </c>
      <c r="X90" s="811">
        <v>0</v>
      </c>
      <c r="Y90" s="812">
        <v>0</v>
      </c>
      <c r="Z90" s="811">
        <v>0</v>
      </c>
      <c r="AA90" s="812">
        <v>0</v>
      </c>
      <c r="AB90" s="811">
        <v>0</v>
      </c>
      <c r="AC90" s="812">
        <v>0</v>
      </c>
      <c r="AD90" s="811">
        <v>0</v>
      </c>
      <c r="AE90" s="807">
        <v>1.2</v>
      </c>
      <c r="AF90" s="807">
        <v>8.8000000000000007</v>
      </c>
      <c r="AL90" s="813">
        <v>2</v>
      </c>
      <c r="AQ90" s="74" t="s">
        <v>439</v>
      </c>
    </row>
    <row r="91" spans="1:43" s="74" customFormat="1">
      <c r="A91" s="802"/>
      <c r="B91" s="797">
        <v>2</v>
      </c>
      <c r="C91" s="798">
        <v>10</v>
      </c>
      <c r="D91" s="818" t="s">
        <v>488</v>
      </c>
      <c r="E91" s="800" t="s">
        <v>489</v>
      </c>
      <c r="F91" s="819" t="s">
        <v>488</v>
      </c>
      <c r="G91" s="816">
        <v>21</v>
      </c>
      <c r="H91" s="806">
        <v>2.1</v>
      </c>
      <c r="I91" s="807">
        <v>7.8999999999999986</v>
      </c>
      <c r="J91" s="808">
        <v>3.1500000000000008</v>
      </c>
      <c r="K91" s="809" t="s">
        <v>439</v>
      </c>
      <c r="L91" s="810">
        <v>10</v>
      </c>
      <c r="M91" s="810">
        <v>0.6</v>
      </c>
      <c r="N91" s="811">
        <v>0.6</v>
      </c>
      <c r="O91" s="812">
        <v>1.5</v>
      </c>
      <c r="P91" s="811">
        <v>7.3</v>
      </c>
      <c r="Q91" s="812">
        <v>0</v>
      </c>
      <c r="R91" s="811">
        <v>0</v>
      </c>
      <c r="S91" s="812">
        <v>0</v>
      </c>
      <c r="T91" s="811">
        <v>0</v>
      </c>
      <c r="U91" s="812">
        <v>0</v>
      </c>
      <c r="V91" s="811">
        <v>0</v>
      </c>
      <c r="W91" s="812">
        <v>0</v>
      </c>
      <c r="X91" s="811">
        <v>0</v>
      </c>
      <c r="Y91" s="812">
        <v>0</v>
      </c>
      <c r="Z91" s="811">
        <v>0</v>
      </c>
      <c r="AA91" s="812">
        <v>0</v>
      </c>
      <c r="AB91" s="811">
        <v>0</v>
      </c>
      <c r="AC91" s="812">
        <v>0</v>
      </c>
      <c r="AD91" s="811">
        <v>0</v>
      </c>
      <c r="AE91" s="807">
        <v>2.1</v>
      </c>
      <c r="AF91" s="807">
        <v>7.8999999999999986</v>
      </c>
      <c r="AL91" s="813">
        <v>2</v>
      </c>
      <c r="AQ91" s="74" t="s">
        <v>439</v>
      </c>
    </row>
    <row r="92" spans="1:43" s="74" customFormat="1">
      <c r="A92" s="802"/>
      <c r="B92" s="797">
        <v>2</v>
      </c>
      <c r="C92" s="798">
        <v>10</v>
      </c>
      <c r="D92" s="797" t="s">
        <v>490</v>
      </c>
      <c r="E92" s="800" t="s">
        <v>491</v>
      </c>
      <c r="F92" s="817" t="s">
        <v>490</v>
      </c>
      <c r="G92" s="805">
        <v>16</v>
      </c>
      <c r="H92" s="806">
        <v>1.6</v>
      </c>
      <c r="I92" s="807">
        <v>8.4</v>
      </c>
      <c r="J92" s="808">
        <v>2.4</v>
      </c>
      <c r="K92" s="809" t="s">
        <v>439</v>
      </c>
      <c r="L92" s="810">
        <v>10</v>
      </c>
      <c r="M92" s="810">
        <v>0.8</v>
      </c>
      <c r="N92" s="811">
        <v>1.2</v>
      </c>
      <c r="O92" s="812">
        <v>0.8</v>
      </c>
      <c r="P92" s="811">
        <v>7.2</v>
      </c>
      <c r="Q92" s="812">
        <v>0</v>
      </c>
      <c r="R92" s="811">
        <v>0</v>
      </c>
      <c r="S92" s="812">
        <v>0</v>
      </c>
      <c r="T92" s="811">
        <v>0</v>
      </c>
      <c r="U92" s="812">
        <v>0</v>
      </c>
      <c r="V92" s="811">
        <v>0</v>
      </c>
      <c r="W92" s="812">
        <v>0</v>
      </c>
      <c r="X92" s="811">
        <v>0</v>
      </c>
      <c r="Y92" s="812">
        <v>0</v>
      </c>
      <c r="Z92" s="811">
        <v>0</v>
      </c>
      <c r="AA92" s="812">
        <v>0</v>
      </c>
      <c r="AB92" s="811">
        <v>0</v>
      </c>
      <c r="AC92" s="812">
        <v>0</v>
      </c>
      <c r="AD92" s="811">
        <v>0</v>
      </c>
      <c r="AE92" s="807">
        <v>1.6</v>
      </c>
      <c r="AF92" s="807">
        <v>8.4</v>
      </c>
      <c r="AL92" s="813">
        <v>2</v>
      </c>
      <c r="AQ92" s="74" t="s">
        <v>439</v>
      </c>
    </row>
    <row r="93" spans="1:43" s="74" customFormat="1">
      <c r="A93" s="802"/>
      <c r="B93" s="797">
        <v>2</v>
      </c>
      <c r="C93" s="798">
        <v>10</v>
      </c>
      <c r="D93" s="818" t="s">
        <v>492</v>
      </c>
      <c r="E93" s="800" t="s">
        <v>493</v>
      </c>
      <c r="F93" s="819" t="s">
        <v>492</v>
      </c>
      <c r="G93" s="816">
        <v>20</v>
      </c>
      <c r="H93" s="806">
        <v>2</v>
      </c>
      <c r="I93" s="807">
        <v>8</v>
      </c>
      <c r="J93" s="808">
        <v>3</v>
      </c>
      <c r="K93" s="809" t="s">
        <v>439</v>
      </c>
      <c r="L93" s="810">
        <v>10</v>
      </c>
      <c r="M93" s="810">
        <v>1</v>
      </c>
      <c r="N93" s="811">
        <v>1</v>
      </c>
      <c r="O93" s="812">
        <v>1</v>
      </c>
      <c r="P93" s="811">
        <v>7</v>
      </c>
      <c r="Q93" s="812"/>
      <c r="R93" s="811"/>
      <c r="S93" s="812"/>
      <c r="T93" s="811"/>
      <c r="U93" s="812"/>
      <c r="V93" s="811"/>
      <c r="W93" s="812"/>
      <c r="X93" s="811"/>
      <c r="Y93" s="812"/>
      <c r="Z93" s="811"/>
      <c r="AA93" s="812"/>
      <c r="AB93" s="811"/>
      <c r="AC93" s="812"/>
      <c r="AD93" s="811"/>
      <c r="AE93" s="807">
        <v>2</v>
      </c>
      <c r="AF93" s="807">
        <v>8</v>
      </c>
      <c r="AL93" s="813">
        <v>2</v>
      </c>
      <c r="AQ93" s="74" t="s">
        <v>439</v>
      </c>
    </row>
    <row r="94" spans="1:43" s="74" customFormat="1">
      <c r="A94" s="802"/>
      <c r="B94" s="797">
        <v>2</v>
      </c>
      <c r="C94" s="798">
        <v>10</v>
      </c>
      <c r="D94" s="797" t="s">
        <v>494</v>
      </c>
      <c r="E94" s="800" t="s">
        <v>495</v>
      </c>
      <c r="F94" s="817" t="s">
        <v>494</v>
      </c>
      <c r="G94" s="805">
        <v>20</v>
      </c>
      <c r="H94" s="806">
        <v>2</v>
      </c>
      <c r="I94" s="807">
        <v>8</v>
      </c>
      <c r="J94" s="808">
        <v>3</v>
      </c>
      <c r="K94" s="809" t="s">
        <v>439</v>
      </c>
      <c r="L94" s="810">
        <v>10</v>
      </c>
      <c r="M94" s="810">
        <v>1</v>
      </c>
      <c r="N94" s="811">
        <v>1.5</v>
      </c>
      <c r="O94" s="812">
        <v>1</v>
      </c>
      <c r="P94" s="811">
        <v>6.5</v>
      </c>
      <c r="Q94" s="812">
        <v>0</v>
      </c>
      <c r="R94" s="811">
        <v>0</v>
      </c>
      <c r="S94" s="812">
        <v>0</v>
      </c>
      <c r="T94" s="811">
        <v>0</v>
      </c>
      <c r="U94" s="812">
        <v>0</v>
      </c>
      <c r="V94" s="811">
        <v>0</v>
      </c>
      <c r="W94" s="812">
        <v>0</v>
      </c>
      <c r="X94" s="811">
        <v>0</v>
      </c>
      <c r="Y94" s="812">
        <v>0</v>
      </c>
      <c r="Z94" s="811">
        <v>0</v>
      </c>
      <c r="AA94" s="812">
        <v>0</v>
      </c>
      <c r="AB94" s="811">
        <v>0</v>
      </c>
      <c r="AC94" s="812">
        <v>0</v>
      </c>
      <c r="AD94" s="811">
        <v>0</v>
      </c>
      <c r="AE94" s="807">
        <v>2</v>
      </c>
      <c r="AF94" s="807">
        <v>8</v>
      </c>
      <c r="AL94" s="813">
        <v>2</v>
      </c>
      <c r="AQ94" s="74" t="s">
        <v>439</v>
      </c>
    </row>
    <row r="95" spans="1:43" s="74" customFormat="1">
      <c r="A95" s="802"/>
      <c r="B95" s="797">
        <v>2</v>
      </c>
      <c r="C95" s="798">
        <v>10</v>
      </c>
      <c r="D95" s="818" t="s">
        <v>496</v>
      </c>
      <c r="E95" s="800" t="s">
        <v>497</v>
      </c>
      <c r="F95" s="819" t="s">
        <v>496</v>
      </c>
      <c r="G95" s="816">
        <v>20</v>
      </c>
      <c r="H95" s="806">
        <v>2</v>
      </c>
      <c r="I95" s="807">
        <v>8</v>
      </c>
      <c r="J95" s="808">
        <v>3</v>
      </c>
      <c r="K95" s="809" t="s">
        <v>439</v>
      </c>
      <c r="L95" s="810">
        <v>10</v>
      </c>
      <c r="M95" s="810">
        <v>1</v>
      </c>
      <c r="N95" s="811">
        <v>2</v>
      </c>
      <c r="O95" s="812">
        <v>1</v>
      </c>
      <c r="P95" s="811">
        <v>6</v>
      </c>
      <c r="Q95" s="812">
        <v>0</v>
      </c>
      <c r="R95" s="811">
        <v>0</v>
      </c>
      <c r="S95" s="812">
        <v>0</v>
      </c>
      <c r="T95" s="811">
        <v>0</v>
      </c>
      <c r="U95" s="812">
        <v>0</v>
      </c>
      <c r="V95" s="811">
        <v>0</v>
      </c>
      <c r="W95" s="812">
        <v>0</v>
      </c>
      <c r="X95" s="811">
        <v>0</v>
      </c>
      <c r="Y95" s="812">
        <v>0</v>
      </c>
      <c r="Z95" s="811">
        <v>0</v>
      </c>
      <c r="AA95" s="812">
        <v>0</v>
      </c>
      <c r="AB95" s="811">
        <v>0</v>
      </c>
      <c r="AC95" s="812">
        <v>0</v>
      </c>
      <c r="AD95" s="811">
        <v>0</v>
      </c>
      <c r="AE95" s="807">
        <v>2</v>
      </c>
      <c r="AF95" s="807">
        <v>8</v>
      </c>
      <c r="AL95" s="813">
        <v>2</v>
      </c>
      <c r="AQ95" s="74" t="s">
        <v>439</v>
      </c>
    </row>
    <row r="96" spans="1:43" s="74" customFormat="1">
      <c r="A96" s="802"/>
      <c r="B96" s="797">
        <v>2</v>
      </c>
      <c r="C96" s="798">
        <v>12</v>
      </c>
      <c r="D96" s="797" t="s">
        <v>498</v>
      </c>
      <c r="E96" s="800" t="s">
        <v>499</v>
      </c>
      <c r="F96" s="817" t="s">
        <v>498</v>
      </c>
      <c r="G96" s="805">
        <v>6.666666666666667</v>
      </c>
      <c r="H96" s="806">
        <v>0.8</v>
      </c>
      <c r="I96" s="807">
        <v>11.2</v>
      </c>
      <c r="J96" s="808">
        <v>1</v>
      </c>
      <c r="K96" s="809" t="s">
        <v>439</v>
      </c>
      <c r="L96" s="810">
        <v>12</v>
      </c>
      <c r="M96" s="810">
        <v>0.4</v>
      </c>
      <c r="N96" s="811">
        <v>1</v>
      </c>
      <c r="O96" s="812">
        <v>0.4</v>
      </c>
      <c r="P96" s="811">
        <v>10.199999999999999</v>
      </c>
      <c r="Q96" s="812">
        <v>0</v>
      </c>
      <c r="R96" s="811">
        <v>0</v>
      </c>
      <c r="S96" s="812">
        <v>0</v>
      </c>
      <c r="T96" s="811">
        <v>0</v>
      </c>
      <c r="U96" s="812">
        <v>0</v>
      </c>
      <c r="V96" s="811">
        <v>0</v>
      </c>
      <c r="W96" s="812">
        <v>0</v>
      </c>
      <c r="X96" s="811">
        <v>0</v>
      </c>
      <c r="Y96" s="812">
        <v>0</v>
      </c>
      <c r="Z96" s="811">
        <v>0</v>
      </c>
      <c r="AA96" s="812">
        <v>0</v>
      </c>
      <c r="AB96" s="811">
        <v>0</v>
      </c>
      <c r="AC96" s="812">
        <v>0</v>
      </c>
      <c r="AD96" s="811">
        <v>0</v>
      </c>
      <c r="AE96" s="807">
        <v>0.8</v>
      </c>
      <c r="AF96" s="807">
        <v>11.2</v>
      </c>
      <c r="AL96" s="813">
        <v>2</v>
      </c>
      <c r="AQ96" s="74" t="s">
        <v>439</v>
      </c>
    </row>
    <row r="97" spans="1:43" s="74" customFormat="1">
      <c r="A97" s="802"/>
      <c r="B97" s="797">
        <v>2</v>
      </c>
      <c r="C97" s="798">
        <v>12</v>
      </c>
      <c r="D97" s="818" t="s">
        <v>500</v>
      </c>
      <c r="E97" s="800" t="s">
        <v>501</v>
      </c>
      <c r="F97" s="819" t="s">
        <v>500</v>
      </c>
      <c r="G97" s="816">
        <v>8.3333333333333321</v>
      </c>
      <c r="H97" s="806">
        <v>1</v>
      </c>
      <c r="I97" s="807">
        <v>11</v>
      </c>
      <c r="J97" s="808">
        <v>1.25</v>
      </c>
      <c r="K97" s="809" t="s">
        <v>439</v>
      </c>
      <c r="L97" s="810">
        <v>12</v>
      </c>
      <c r="M97" s="810">
        <v>0.5</v>
      </c>
      <c r="N97" s="811">
        <v>1</v>
      </c>
      <c r="O97" s="812">
        <v>0.5</v>
      </c>
      <c r="P97" s="811">
        <v>10</v>
      </c>
      <c r="Q97" s="812">
        <v>0</v>
      </c>
      <c r="R97" s="811">
        <v>0</v>
      </c>
      <c r="S97" s="812">
        <v>0</v>
      </c>
      <c r="T97" s="811">
        <v>0</v>
      </c>
      <c r="U97" s="812">
        <v>0</v>
      </c>
      <c r="V97" s="811">
        <v>0</v>
      </c>
      <c r="W97" s="812">
        <v>0</v>
      </c>
      <c r="X97" s="811">
        <v>0</v>
      </c>
      <c r="Y97" s="812">
        <v>0</v>
      </c>
      <c r="Z97" s="811">
        <v>0</v>
      </c>
      <c r="AA97" s="812">
        <v>0</v>
      </c>
      <c r="AB97" s="811">
        <v>0</v>
      </c>
      <c r="AC97" s="812">
        <v>0</v>
      </c>
      <c r="AD97" s="811">
        <v>0</v>
      </c>
      <c r="AE97" s="807">
        <v>1</v>
      </c>
      <c r="AF97" s="807">
        <v>11</v>
      </c>
      <c r="AL97" s="813">
        <v>2</v>
      </c>
      <c r="AQ97" s="74" t="s">
        <v>439</v>
      </c>
    </row>
    <row r="98" spans="1:43" s="74" customFormat="1">
      <c r="A98" s="802"/>
      <c r="B98" s="797">
        <v>2</v>
      </c>
      <c r="C98" s="798">
        <v>12</v>
      </c>
      <c r="D98" s="797" t="s">
        <v>502</v>
      </c>
      <c r="E98" s="800" t="s">
        <v>503</v>
      </c>
      <c r="F98" s="817" t="s">
        <v>502</v>
      </c>
      <c r="G98" s="805">
        <v>25</v>
      </c>
      <c r="H98" s="806">
        <v>3</v>
      </c>
      <c r="I98" s="807">
        <v>9</v>
      </c>
      <c r="J98" s="808">
        <v>3.75</v>
      </c>
      <c r="K98" s="809" t="s">
        <v>439</v>
      </c>
      <c r="L98" s="810">
        <v>12</v>
      </c>
      <c r="M98" s="810">
        <v>1.5</v>
      </c>
      <c r="N98" s="811">
        <v>2</v>
      </c>
      <c r="O98" s="812">
        <v>1.5</v>
      </c>
      <c r="P98" s="811">
        <v>7</v>
      </c>
      <c r="Q98" s="812">
        <v>0</v>
      </c>
      <c r="R98" s="811">
        <v>0</v>
      </c>
      <c r="S98" s="812">
        <v>0</v>
      </c>
      <c r="T98" s="811">
        <v>0</v>
      </c>
      <c r="U98" s="812">
        <v>0</v>
      </c>
      <c r="V98" s="811">
        <v>0</v>
      </c>
      <c r="W98" s="812">
        <v>0</v>
      </c>
      <c r="X98" s="811">
        <v>0</v>
      </c>
      <c r="Y98" s="812">
        <v>0</v>
      </c>
      <c r="Z98" s="811">
        <v>0</v>
      </c>
      <c r="AA98" s="812">
        <v>0</v>
      </c>
      <c r="AB98" s="811">
        <v>0</v>
      </c>
      <c r="AC98" s="812">
        <v>0</v>
      </c>
      <c r="AD98" s="811">
        <v>0</v>
      </c>
      <c r="AE98" s="807">
        <v>3</v>
      </c>
      <c r="AF98" s="807">
        <v>9</v>
      </c>
      <c r="AL98" s="813">
        <v>2</v>
      </c>
      <c r="AQ98" s="74" t="s">
        <v>439</v>
      </c>
    </row>
    <row r="99" spans="1:43" s="74" customFormat="1">
      <c r="A99" s="802"/>
      <c r="B99" s="797">
        <v>2</v>
      </c>
      <c r="C99" s="798">
        <v>15</v>
      </c>
      <c r="D99" s="818" t="s">
        <v>504</v>
      </c>
      <c r="E99" s="800" t="s">
        <v>505</v>
      </c>
      <c r="F99" s="819" t="s">
        <v>504</v>
      </c>
      <c r="G99" s="816">
        <v>13.33333333333333</v>
      </c>
      <c r="H99" s="806">
        <v>2</v>
      </c>
      <c r="I99" s="807">
        <v>13</v>
      </c>
      <c r="J99" s="808">
        <v>2</v>
      </c>
      <c r="K99" s="809" t="s">
        <v>439</v>
      </c>
      <c r="L99" s="810">
        <v>15</v>
      </c>
      <c r="M99" s="810">
        <v>1</v>
      </c>
      <c r="N99" s="811">
        <v>2</v>
      </c>
      <c r="O99" s="812">
        <v>1</v>
      </c>
      <c r="P99" s="811">
        <v>11</v>
      </c>
      <c r="Q99" s="812">
        <v>0</v>
      </c>
      <c r="R99" s="811">
        <v>0</v>
      </c>
      <c r="S99" s="812">
        <v>0</v>
      </c>
      <c r="T99" s="811">
        <v>0</v>
      </c>
      <c r="U99" s="812">
        <v>0</v>
      </c>
      <c r="V99" s="811">
        <v>0</v>
      </c>
      <c r="W99" s="812">
        <v>0</v>
      </c>
      <c r="X99" s="811">
        <v>0</v>
      </c>
      <c r="Y99" s="812">
        <v>0</v>
      </c>
      <c r="Z99" s="811">
        <v>0</v>
      </c>
      <c r="AA99" s="812">
        <v>0</v>
      </c>
      <c r="AB99" s="811">
        <v>0</v>
      </c>
      <c r="AC99" s="812">
        <v>0</v>
      </c>
      <c r="AD99" s="811">
        <v>0</v>
      </c>
      <c r="AE99" s="807">
        <v>2</v>
      </c>
      <c r="AF99" s="807">
        <v>13</v>
      </c>
      <c r="AL99" s="813">
        <v>2</v>
      </c>
      <c r="AQ99" s="74" t="s">
        <v>439</v>
      </c>
    </row>
    <row r="100" spans="1:43" s="74" customFormat="1">
      <c r="A100" s="802"/>
      <c r="B100" s="797">
        <v>2</v>
      </c>
      <c r="C100" s="798">
        <v>20</v>
      </c>
      <c r="D100" s="797" t="s">
        <v>506</v>
      </c>
      <c r="E100" s="800" t="s">
        <v>507</v>
      </c>
      <c r="F100" s="817" t="s">
        <v>506</v>
      </c>
      <c r="G100" s="805">
        <v>10</v>
      </c>
      <c r="H100" s="806">
        <v>2</v>
      </c>
      <c r="I100" s="807">
        <v>18</v>
      </c>
      <c r="J100" s="808">
        <v>1.5</v>
      </c>
      <c r="K100" s="809" t="s">
        <v>439</v>
      </c>
      <c r="L100" s="810">
        <v>20</v>
      </c>
      <c r="M100" s="810">
        <v>1</v>
      </c>
      <c r="N100" s="811">
        <v>3</v>
      </c>
      <c r="O100" s="812">
        <v>1</v>
      </c>
      <c r="P100" s="811">
        <v>15</v>
      </c>
      <c r="Q100" s="812">
        <v>0</v>
      </c>
      <c r="R100" s="811">
        <v>0</v>
      </c>
      <c r="S100" s="812">
        <v>0</v>
      </c>
      <c r="T100" s="811">
        <v>0</v>
      </c>
      <c r="U100" s="812">
        <v>0</v>
      </c>
      <c r="V100" s="811">
        <v>0</v>
      </c>
      <c r="W100" s="812">
        <v>0</v>
      </c>
      <c r="X100" s="811">
        <v>0</v>
      </c>
      <c r="Y100" s="812">
        <v>0</v>
      </c>
      <c r="Z100" s="811">
        <v>0</v>
      </c>
      <c r="AA100" s="812">
        <v>0</v>
      </c>
      <c r="AB100" s="811">
        <v>0</v>
      </c>
      <c r="AC100" s="812">
        <v>0</v>
      </c>
      <c r="AD100" s="811">
        <v>0</v>
      </c>
      <c r="AE100" s="807">
        <v>2</v>
      </c>
      <c r="AF100" s="807">
        <v>18</v>
      </c>
      <c r="AL100" s="813">
        <v>2</v>
      </c>
      <c r="AQ100" s="74" t="s">
        <v>439</v>
      </c>
    </row>
    <row r="101" spans="1:43" s="74" customFormat="1">
      <c r="A101" s="802"/>
      <c r="B101" s="797">
        <v>2</v>
      </c>
      <c r="C101" s="798">
        <v>25</v>
      </c>
      <c r="D101" s="818" t="s">
        <v>508</v>
      </c>
      <c r="E101" s="800" t="s">
        <v>509</v>
      </c>
      <c r="F101" s="819" t="s">
        <v>508</v>
      </c>
      <c r="G101" s="816">
        <v>8</v>
      </c>
      <c r="H101" s="806">
        <v>2</v>
      </c>
      <c r="I101" s="807">
        <v>23</v>
      </c>
      <c r="J101" s="808">
        <v>1.2</v>
      </c>
      <c r="K101" s="809" t="s">
        <v>439</v>
      </c>
      <c r="L101" s="810">
        <v>25</v>
      </c>
      <c r="M101" s="810">
        <v>1</v>
      </c>
      <c r="N101" s="811">
        <v>1</v>
      </c>
      <c r="O101" s="812">
        <v>1</v>
      </c>
      <c r="P101" s="811">
        <v>22</v>
      </c>
      <c r="Q101" s="812">
        <v>0</v>
      </c>
      <c r="R101" s="811">
        <v>0</v>
      </c>
      <c r="S101" s="812">
        <v>0</v>
      </c>
      <c r="T101" s="811">
        <v>0</v>
      </c>
      <c r="U101" s="812">
        <v>0</v>
      </c>
      <c r="V101" s="811">
        <v>0</v>
      </c>
      <c r="W101" s="812">
        <v>0</v>
      </c>
      <c r="X101" s="811">
        <v>0</v>
      </c>
      <c r="Y101" s="812">
        <v>0</v>
      </c>
      <c r="Z101" s="811">
        <v>0</v>
      </c>
      <c r="AA101" s="812">
        <v>0</v>
      </c>
      <c r="AB101" s="811">
        <v>0</v>
      </c>
      <c r="AC101" s="812">
        <v>0</v>
      </c>
      <c r="AD101" s="811">
        <v>0</v>
      </c>
      <c r="AE101" s="807">
        <v>2</v>
      </c>
      <c r="AF101" s="807">
        <v>23</v>
      </c>
      <c r="AL101" s="813">
        <v>2</v>
      </c>
      <c r="AQ101" s="74" t="s">
        <v>439</v>
      </c>
    </row>
    <row r="102" spans="1:43" s="74" customFormat="1">
      <c r="A102" s="802"/>
      <c r="B102" s="797">
        <v>3</v>
      </c>
      <c r="C102" s="798">
        <v>6</v>
      </c>
      <c r="D102" s="803" t="s">
        <v>510</v>
      </c>
      <c r="E102" s="800" t="s">
        <v>511</v>
      </c>
      <c r="F102" s="817" t="s">
        <v>510</v>
      </c>
      <c r="G102" s="805">
        <v>25</v>
      </c>
      <c r="H102" s="806">
        <v>1.5</v>
      </c>
      <c r="I102" s="807">
        <v>4.5</v>
      </c>
      <c r="J102" s="808">
        <v>3.75</v>
      </c>
      <c r="K102" s="809" t="s">
        <v>512</v>
      </c>
      <c r="L102" s="810">
        <v>6</v>
      </c>
      <c r="M102" s="810">
        <v>0.5</v>
      </c>
      <c r="N102" s="811">
        <v>1</v>
      </c>
      <c r="O102" s="812">
        <v>0.5</v>
      </c>
      <c r="P102" s="811">
        <v>1</v>
      </c>
      <c r="Q102" s="812">
        <v>0.5</v>
      </c>
      <c r="R102" s="811">
        <v>2.5</v>
      </c>
      <c r="S102" s="812">
        <v>0</v>
      </c>
      <c r="T102" s="811">
        <v>0</v>
      </c>
      <c r="U102" s="812">
        <v>0</v>
      </c>
      <c r="V102" s="811">
        <v>0</v>
      </c>
      <c r="W102" s="812">
        <v>0</v>
      </c>
      <c r="X102" s="811">
        <v>0</v>
      </c>
      <c r="Y102" s="812">
        <v>0</v>
      </c>
      <c r="Z102" s="811">
        <v>0</v>
      </c>
      <c r="AA102" s="812">
        <v>0</v>
      </c>
      <c r="AB102" s="811">
        <v>0</v>
      </c>
      <c r="AC102" s="812">
        <v>0</v>
      </c>
      <c r="AD102" s="811">
        <v>0</v>
      </c>
      <c r="AE102" s="807">
        <v>1.5</v>
      </c>
      <c r="AF102" s="807">
        <v>4.5</v>
      </c>
      <c r="AL102" s="813">
        <v>3</v>
      </c>
      <c r="AQ102" s="74" t="s">
        <v>512</v>
      </c>
    </row>
    <row r="103" spans="1:43" s="74" customFormat="1">
      <c r="A103" s="802"/>
      <c r="B103" s="797">
        <v>3</v>
      </c>
      <c r="C103" s="798">
        <v>6.1</v>
      </c>
      <c r="D103" s="814" t="s">
        <v>513</v>
      </c>
      <c r="E103" s="800" t="s">
        <v>514</v>
      </c>
      <c r="F103" s="819" t="s">
        <v>513</v>
      </c>
      <c r="G103" s="816">
        <v>19.672131147540991</v>
      </c>
      <c r="H103" s="806">
        <v>1.2</v>
      </c>
      <c r="I103" s="807">
        <v>4.9000000000000004</v>
      </c>
      <c r="J103" s="808">
        <v>2.9508196721311482</v>
      </c>
      <c r="K103" s="809" t="s">
        <v>512</v>
      </c>
      <c r="L103" s="810">
        <v>6.1</v>
      </c>
      <c r="M103" s="810">
        <v>0.4</v>
      </c>
      <c r="N103" s="811">
        <v>1</v>
      </c>
      <c r="O103" s="812">
        <v>0.4</v>
      </c>
      <c r="P103" s="811">
        <v>1</v>
      </c>
      <c r="Q103" s="812">
        <v>0.4</v>
      </c>
      <c r="R103" s="811">
        <v>2.9</v>
      </c>
      <c r="S103" s="812">
        <v>0</v>
      </c>
      <c r="T103" s="811">
        <v>0</v>
      </c>
      <c r="U103" s="812">
        <v>0</v>
      </c>
      <c r="V103" s="811">
        <v>0</v>
      </c>
      <c r="W103" s="812">
        <v>0</v>
      </c>
      <c r="X103" s="811">
        <v>0</v>
      </c>
      <c r="Y103" s="812">
        <v>0</v>
      </c>
      <c r="Z103" s="811">
        <v>0</v>
      </c>
      <c r="AA103" s="812">
        <v>0</v>
      </c>
      <c r="AB103" s="811">
        <v>0</v>
      </c>
      <c r="AC103" s="812">
        <v>0</v>
      </c>
      <c r="AD103" s="811">
        <v>0</v>
      </c>
      <c r="AE103" s="807">
        <v>1.2</v>
      </c>
      <c r="AF103" s="807">
        <v>4.9000000000000004</v>
      </c>
      <c r="AL103" s="813">
        <v>3</v>
      </c>
      <c r="AQ103" s="74" t="s">
        <v>512</v>
      </c>
    </row>
    <row r="104" spans="1:43" s="74" customFormat="1">
      <c r="A104" s="802"/>
      <c r="B104" s="797">
        <v>3</v>
      </c>
      <c r="C104" s="798">
        <v>8</v>
      </c>
      <c r="D104" s="803" t="s">
        <v>515</v>
      </c>
      <c r="E104" s="800" t="s">
        <v>516</v>
      </c>
      <c r="F104" s="817" t="s">
        <v>515</v>
      </c>
      <c r="G104" s="805">
        <v>18.75</v>
      </c>
      <c r="H104" s="806">
        <v>1.5</v>
      </c>
      <c r="I104" s="807">
        <v>6.5</v>
      </c>
      <c r="J104" s="808">
        <v>2.8125</v>
      </c>
      <c r="K104" s="809" t="s">
        <v>512</v>
      </c>
      <c r="L104" s="810">
        <v>8</v>
      </c>
      <c r="M104" s="810">
        <v>0.5</v>
      </c>
      <c r="N104" s="811">
        <v>1</v>
      </c>
      <c r="O104" s="812">
        <v>0.5</v>
      </c>
      <c r="P104" s="811">
        <v>1</v>
      </c>
      <c r="Q104" s="812">
        <v>0.5</v>
      </c>
      <c r="R104" s="811">
        <v>4.5</v>
      </c>
      <c r="S104" s="812">
        <v>0</v>
      </c>
      <c r="T104" s="811">
        <v>0</v>
      </c>
      <c r="U104" s="812">
        <v>0</v>
      </c>
      <c r="V104" s="811">
        <v>0</v>
      </c>
      <c r="W104" s="812">
        <v>0</v>
      </c>
      <c r="X104" s="811">
        <v>0</v>
      </c>
      <c r="Y104" s="812">
        <v>0</v>
      </c>
      <c r="Z104" s="811">
        <v>0</v>
      </c>
      <c r="AA104" s="812">
        <v>0</v>
      </c>
      <c r="AB104" s="811">
        <v>0</v>
      </c>
      <c r="AC104" s="812">
        <v>0</v>
      </c>
      <c r="AD104" s="811">
        <v>0</v>
      </c>
      <c r="AE104" s="807">
        <v>1.5</v>
      </c>
      <c r="AF104" s="807">
        <v>6.5</v>
      </c>
      <c r="AL104" s="813">
        <v>3</v>
      </c>
      <c r="AQ104" s="74" t="s">
        <v>512</v>
      </c>
    </row>
    <row r="105" spans="1:43" s="74" customFormat="1">
      <c r="A105" s="802"/>
      <c r="B105" s="797">
        <v>3</v>
      </c>
      <c r="C105" s="798">
        <v>9</v>
      </c>
      <c r="D105" s="814">
        <v>100</v>
      </c>
      <c r="E105" s="800" t="s">
        <v>517</v>
      </c>
      <c r="F105" s="819">
        <v>100</v>
      </c>
      <c r="G105" s="816">
        <v>10</v>
      </c>
      <c r="H105" s="806">
        <v>0.89999999999999991</v>
      </c>
      <c r="I105" s="807">
        <v>8.1</v>
      </c>
      <c r="J105" s="808">
        <v>1.5</v>
      </c>
      <c r="K105" s="809" t="s">
        <v>512</v>
      </c>
      <c r="L105" s="810">
        <v>9</v>
      </c>
      <c r="M105" s="810">
        <v>0.3</v>
      </c>
      <c r="N105" s="811">
        <v>1</v>
      </c>
      <c r="O105" s="812">
        <v>0.3</v>
      </c>
      <c r="P105" s="811">
        <v>1</v>
      </c>
      <c r="Q105" s="812">
        <v>0.3</v>
      </c>
      <c r="R105" s="811">
        <v>6.1</v>
      </c>
      <c r="S105" s="812">
        <v>0</v>
      </c>
      <c r="T105" s="811">
        <v>0</v>
      </c>
      <c r="U105" s="812">
        <v>0</v>
      </c>
      <c r="V105" s="811">
        <v>0</v>
      </c>
      <c r="W105" s="812">
        <v>0</v>
      </c>
      <c r="X105" s="811">
        <v>0</v>
      </c>
      <c r="Y105" s="812">
        <v>0</v>
      </c>
      <c r="Z105" s="811">
        <v>0</v>
      </c>
      <c r="AA105" s="812">
        <v>0</v>
      </c>
      <c r="AB105" s="811">
        <v>0</v>
      </c>
      <c r="AC105" s="812">
        <v>0</v>
      </c>
      <c r="AD105" s="811">
        <v>0</v>
      </c>
      <c r="AE105" s="807">
        <v>0.89999999999999991</v>
      </c>
      <c r="AF105" s="807">
        <v>8.1</v>
      </c>
      <c r="AL105" s="813">
        <v>3</v>
      </c>
      <c r="AQ105" s="74" t="s">
        <v>512</v>
      </c>
    </row>
    <row r="106" spans="1:43" s="74" customFormat="1">
      <c r="A106" s="802"/>
      <c r="B106" s="797">
        <v>3</v>
      </c>
      <c r="C106" s="798">
        <v>9</v>
      </c>
      <c r="D106" s="803">
        <v>101</v>
      </c>
      <c r="E106" s="800" t="s">
        <v>518</v>
      </c>
      <c r="F106" s="817">
        <v>101</v>
      </c>
      <c r="G106" s="805">
        <v>26.666666666666671</v>
      </c>
      <c r="H106" s="806">
        <v>2.4</v>
      </c>
      <c r="I106" s="807">
        <v>6.6</v>
      </c>
      <c r="J106" s="808">
        <v>4.0000000000000009</v>
      </c>
      <c r="K106" s="809" t="s">
        <v>512</v>
      </c>
      <c r="L106" s="810">
        <v>9</v>
      </c>
      <c r="M106" s="810">
        <v>0.8</v>
      </c>
      <c r="N106" s="811">
        <v>1.2</v>
      </c>
      <c r="O106" s="812">
        <v>0.8</v>
      </c>
      <c r="P106" s="811">
        <v>1.2</v>
      </c>
      <c r="Q106" s="812">
        <v>0.8</v>
      </c>
      <c r="R106" s="811">
        <v>4.2</v>
      </c>
      <c r="S106" s="812">
        <v>0</v>
      </c>
      <c r="T106" s="811">
        <v>0</v>
      </c>
      <c r="U106" s="812">
        <v>0</v>
      </c>
      <c r="V106" s="811">
        <v>0</v>
      </c>
      <c r="W106" s="812">
        <v>0</v>
      </c>
      <c r="X106" s="811">
        <v>0</v>
      </c>
      <c r="Y106" s="812">
        <v>0</v>
      </c>
      <c r="Z106" s="811">
        <v>0</v>
      </c>
      <c r="AA106" s="812">
        <v>0</v>
      </c>
      <c r="AB106" s="811">
        <v>0</v>
      </c>
      <c r="AC106" s="812">
        <v>0</v>
      </c>
      <c r="AD106" s="811">
        <v>0</v>
      </c>
      <c r="AE106" s="807">
        <v>2.4</v>
      </c>
      <c r="AF106" s="807">
        <v>6.6</v>
      </c>
      <c r="AL106" s="813">
        <v>3</v>
      </c>
      <c r="AQ106" s="74" t="s">
        <v>512</v>
      </c>
    </row>
    <row r="107" spans="1:43" s="74" customFormat="1">
      <c r="A107" s="802"/>
      <c r="B107" s="797">
        <v>3</v>
      </c>
      <c r="C107" s="798">
        <v>10</v>
      </c>
      <c r="D107" s="814">
        <v>102</v>
      </c>
      <c r="E107" s="800" t="s">
        <v>519</v>
      </c>
      <c r="F107" s="819">
        <v>102</v>
      </c>
      <c r="G107" s="816">
        <v>15</v>
      </c>
      <c r="H107" s="806">
        <v>1.5</v>
      </c>
      <c r="I107" s="807">
        <v>8.5</v>
      </c>
      <c r="J107" s="808">
        <v>2.25</v>
      </c>
      <c r="K107" s="809" t="s">
        <v>512</v>
      </c>
      <c r="L107" s="810">
        <v>10</v>
      </c>
      <c r="M107" s="810">
        <v>0.5</v>
      </c>
      <c r="N107" s="811">
        <v>1.5</v>
      </c>
      <c r="O107" s="812">
        <v>0.5</v>
      </c>
      <c r="P107" s="811">
        <v>1.5</v>
      </c>
      <c r="Q107" s="812">
        <v>0.5</v>
      </c>
      <c r="R107" s="811">
        <v>5.5</v>
      </c>
      <c r="S107" s="812">
        <v>0</v>
      </c>
      <c r="T107" s="811">
        <v>0</v>
      </c>
      <c r="U107" s="812">
        <v>0</v>
      </c>
      <c r="V107" s="811">
        <v>0</v>
      </c>
      <c r="W107" s="812">
        <v>0</v>
      </c>
      <c r="X107" s="811">
        <v>0</v>
      </c>
      <c r="Y107" s="812">
        <v>0</v>
      </c>
      <c r="Z107" s="811">
        <v>0</v>
      </c>
      <c r="AA107" s="812">
        <v>0</v>
      </c>
      <c r="AB107" s="811">
        <v>0</v>
      </c>
      <c r="AC107" s="812">
        <v>0</v>
      </c>
      <c r="AD107" s="811">
        <v>0</v>
      </c>
      <c r="AE107" s="807">
        <v>1.5</v>
      </c>
      <c r="AF107" s="807">
        <v>8.5</v>
      </c>
      <c r="AL107" s="813">
        <v>3</v>
      </c>
      <c r="AQ107" s="74" t="s">
        <v>512</v>
      </c>
    </row>
    <row r="108" spans="1:43" s="74" customFormat="1">
      <c r="A108" s="802"/>
      <c r="B108" s="797">
        <v>3</v>
      </c>
      <c r="C108" s="798">
        <v>10</v>
      </c>
      <c r="D108" s="803">
        <v>103</v>
      </c>
      <c r="E108" s="800" t="s">
        <v>520</v>
      </c>
      <c r="F108" s="817">
        <v>103</v>
      </c>
      <c r="G108" s="805">
        <v>30</v>
      </c>
      <c r="H108" s="806">
        <v>3</v>
      </c>
      <c r="I108" s="807">
        <v>7</v>
      </c>
      <c r="J108" s="808">
        <v>4.5</v>
      </c>
      <c r="K108" s="809" t="s">
        <v>512</v>
      </c>
      <c r="L108" s="810">
        <v>10</v>
      </c>
      <c r="M108" s="810">
        <v>1</v>
      </c>
      <c r="N108" s="811">
        <v>1</v>
      </c>
      <c r="O108" s="812">
        <v>1</v>
      </c>
      <c r="P108" s="811">
        <v>1</v>
      </c>
      <c r="Q108" s="812">
        <v>1</v>
      </c>
      <c r="R108" s="811">
        <v>5</v>
      </c>
      <c r="S108" s="812">
        <v>0</v>
      </c>
      <c r="T108" s="811">
        <v>0</v>
      </c>
      <c r="U108" s="812">
        <v>0</v>
      </c>
      <c r="V108" s="811">
        <v>0</v>
      </c>
      <c r="W108" s="812">
        <v>0</v>
      </c>
      <c r="X108" s="811">
        <v>0</v>
      </c>
      <c r="Y108" s="812">
        <v>0</v>
      </c>
      <c r="Z108" s="811">
        <v>0</v>
      </c>
      <c r="AA108" s="812">
        <v>0</v>
      </c>
      <c r="AB108" s="811">
        <v>0</v>
      </c>
      <c r="AC108" s="812">
        <v>0</v>
      </c>
      <c r="AD108" s="811">
        <v>0</v>
      </c>
      <c r="AE108" s="807">
        <v>3</v>
      </c>
      <c r="AF108" s="807">
        <v>7</v>
      </c>
      <c r="AL108" s="813">
        <v>3</v>
      </c>
      <c r="AQ108" s="74" t="s">
        <v>512</v>
      </c>
    </row>
    <row r="109" spans="1:43" s="74" customFormat="1">
      <c r="A109" s="802"/>
      <c r="B109" s="797">
        <v>3</v>
      </c>
      <c r="C109" s="798">
        <v>12</v>
      </c>
      <c r="D109" s="814">
        <v>104</v>
      </c>
      <c r="E109" s="800" t="s">
        <v>521</v>
      </c>
      <c r="F109" s="819">
        <v>104</v>
      </c>
      <c r="G109" s="816">
        <v>12.5</v>
      </c>
      <c r="H109" s="806">
        <v>1.5</v>
      </c>
      <c r="I109" s="807">
        <v>10.5</v>
      </c>
      <c r="J109" s="808">
        <v>1.875</v>
      </c>
      <c r="K109" s="809" t="s">
        <v>512</v>
      </c>
      <c r="L109" s="810">
        <v>12</v>
      </c>
      <c r="M109" s="810">
        <v>0.5</v>
      </c>
      <c r="N109" s="811">
        <v>1.5</v>
      </c>
      <c r="O109" s="812">
        <v>0.5</v>
      </c>
      <c r="P109" s="811">
        <v>1.5</v>
      </c>
      <c r="Q109" s="812">
        <v>0.5</v>
      </c>
      <c r="R109" s="811">
        <v>7.5</v>
      </c>
      <c r="S109" s="812"/>
      <c r="T109" s="811"/>
      <c r="U109" s="812"/>
      <c r="V109" s="811"/>
      <c r="W109" s="812"/>
      <c r="X109" s="811"/>
      <c r="Y109" s="812"/>
      <c r="Z109" s="811"/>
      <c r="AA109" s="812"/>
      <c r="AB109" s="811"/>
      <c r="AC109" s="812"/>
      <c r="AD109" s="811"/>
      <c r="AE109" s="807">
        <v>1.5</v>
      </c>
      <c r="AF109" s="807">
        <v>10.5</v>
      </c>
      <c r="AL109" s="813">
        <v>3</v>
      </c>
      <c r="AQ109" s="74" t="s">
        <v>512</v>
      </c>
    </row>
    <row r="110" spans="1:43" s="74" customFormat="1">
      <c r="A110" s="802"/>
      <c r="B110" s="797">
        <v>3</v>
      </c>
      <c r="C110" s="798">
        <v>12</v>
      </c>
      <c r="D110" s="803">
        <v>105</v>
      </c>
      <c r="E110" s="800" t="s">
        <v>522</v>
      </c>
      <c r="F110" s="817">
        <v>105</v>
      </c>
      <c r="G110" s="805">
        <v>12.5</v>
      </c>
      <c r="H110" s="806">
        <v>1.5</v>
      </c>
      <c r="I110" s="807">
        <v>10.5</v>
      </c>
      <c r="J110" s="808">
        <v>1.875</v>
      </c>
      <c r="K110" s="809" t="s">
        <v>512</v>
      </c>
      <c r="L110" s="810">
        <v>12</v>
      </c>
      <c r="M110" s="810">
        <v>0.5</v>
      </c>
      <c r="N110" s="811">
        <v>2</v>
      </c>
      <c r="O110" s="812">
        <v>0.5</v>
      </c>
      <c r="P110" s="811">
        <v>2</v>
      </c>
      <c r="Q110" s="812">
        <v>0.5</v>
      </c>
      <c r="R110" s="811">
        <v>6.5</v>
      </c>
      <c r="S110" s="812">
        <v>0</v>
      </c>
      <c r="T110" s="811">
        <v>0</v>
      </c>
      <c r="U110" s="812">
        <v>0</v>
      </c>
      <c r="V110" s="811">
        <v>0</v>
      </c>
      <c r="W110" s="812">
        <v>0</v>
      </c>
      <c r="X110" s="811">
        <v>0</v>
      </c>
      <c r="Y110" s="812">
        <v>0</v>
      </c>
      <c r="Z110" s="811">
        <v>0</v>
      </c>
      <c r="AA110" s="812">
        <v>0</v>
      </c>
      <c r="AB110" s="811">
        <v>0</v>
      </c>
      <c r="AC110" s="812">
        <v>0</v>
      </c>
      <c r="AD110" s="811">
        <v>0</v>
      </c>
      <c r="AE110" s="807">
        <v>1.5</v>
      </c>
      <c r="AF110" s="807">
        <v>10.5</v>
      </c>
      <c r="AL110" s="813">
        <v>3</v>
      </c>
      <c r="AQ110" s="74" t="s">
        <v>512</v>
      </c>
    </row>
    <row r="111" spans="1:43" s="74" customFormat="1">
      <c r="A111" s="802"/>
      <c r="B111" s="797">
        <v>3</v>
      </c>
      <c r="C111" s="798">
        <v>12</v>
      </c>
      <c r="D111" s="814">
        <v>106</v>
      </c>
      <c r="E111" s="800" t="s">
        <v>523</v>
      </c>
      <c r="F111" s="819">
        <v>106</v>
      </c>
      <c r="G111" s="816">
        <v>20</v>
      </c>
      <c r="H111" s="806">
        <v>2.4</v>
      </c>
      <c r="I111" s="807">
        <v>9.6</v>
      </c>
      <c r="J111" s="808">
        <v>3</v>
      </c>
      <c r="K111" s="809" t="s">
        <v>512</v>
      </c>
      <c r="L111" s="810">
        <v>12</v>
      </c>
      <c r="M111" s="810">
        <v>0.8</v>
      </c>
      <c r="N111" s="811">
        <v>1.2</v>
      </c>
      <c r="O111" s="812">
        <v>0.8</v>
      </c>
      <c r="P111" s="811">
        <v>1.2</v>
      </c>
      <c r="Q111" s="812">
        <v>0.8</v>
      </c>
      <c r="R111" s="811">
        <v>7.2</v>
      </c>
      <c r="S111" s="812">
        <v>0</v>
      </c>
      <c r="T111" s="811">
        <v>0</v>
      </c>
      <c r="U111" s="812">
        <v>0</v>
      </c>
      <c r="V111" s="811">
        <v>0</v>
      </c>
      <c r="W111" s="812">
        <v>0</v>
      </c>
      <c r="X111" s="811">
        <v>0</v>
      </c>
      <c r="Y111" s="812">
        <v>0</v>
      </c>
      <c r="Z111" s="811">
        <v>0</v>
      </c>
      <c r="AA111" s="812">
        <v>0</v>
      </c>
      <c r="AB111" s="811">
        <v>0</v>
      </c>
      <c r="AC111" s="812">
        <v>0</v>
      </c>
      <c r="AD111" s="811">
        <v>0</v>
      </c>
      <c r="AE111" s="807">
        <v>2.4</v>
      </c>
      <c r="AF111" s="807">
        <v>9.6</v>
      </c>
      <c r="AL111" s="813">
        <v>3</v>
      </c>
      <c r="AQ111" s="74" t="s">
        <v>512</v>
      </c>
    </row>
    <row r="112" spans="1:43" s="74" customFormat="1">
      <c r="A112" s="802"/>
      <c r="B112" s="797">
        <v>3</v>
      </c>
      <c r="C112" s="798">
        <v>12</v>
      </c>
      <c r="D112" s="803">
        <v>107</v>
      </c>
      <c r="E112" s="800" t="s">
        <v>524</v>
      </c>
      <c r="F112" s="817">
        <v>107</v>
      </c>
      <c r="G112" s="805">
        <v>25</v>
      </c>
      <c r="H112" s="806">
        <v>3</v>
      </c>
      <c r="I112" s="807">
        <v>9</v>
      </c>
      <c r="J112" s="808">
        <v>3.75</v>
      </c>
      <c r="K112" s="809" t="s">
        <v>512</v>
      </c>
      <c r="L112" s="810">
        <v>12</v>
      </c>
      <c r="M112" s="810">
        <v>1</v>
      </c>
      <c r="N112" s="811">
        <v>2</v>
      </c>
      <c r="O112" s="812">
        <v>1</v>
      </c>
      <c r="P112" s="811">
        <v>2</v>
      </c>
      <c r="Q112" s="812">
        <v>1</v>
      </c>
      <c r="R112" s="811">
        <v>5</v>
      </c>
      <c r="S112" s="812">
        <v>0</v>
      </c>
      <c r="T112" s="811">
        <v>0</v>
      </c>
      <c r="U112" s="812">
        <v>0</v>
      </c>
      <c r="V112" s="811">
        <v>0</v>
      </c>
      <c r="W112" s="812">
        <v>0</v>
      </c>
      <c r="X112" s="811">
        <v>0</v>
      </c>
      <c r="Y112" s="812">
        <v>0</v>
      </c>
      <c r="Z112" s="811">
        <v>0</v>
      </c>
      <c r="AA112" s="812">
        <v>0</v>
      </c>
      <c r="AB112" s="811">
        <v>0</v>
      </c>
      <c r="AC112" s="812">
        <v>0</v>
      </c>
      <c r="AD112" s="811">
        <v>0</v>
      </c>
      <c r="AE112" s="807">
        <v>3</v>
      </c>
      <c r="AF112" s="807">
        <v>9</v>
      </c>
      <c r="AL112" s="813">
        <v>3</v>
      </c>
      <c r="AQ112" s="74" t="s">
        <v>512</v>
      </c>
    </row>
    <row r="113" spans="1:43" s="74" customFormat="1">
      <c r="A113" s="802"/>
      <c r="B113" s="797">
        <v>3</v>
      </c>
      <c r="C113" s="798">
        <v>15</v>
      </c>
      <c r="D113" s="814">
        <v>108</v>
      </c>
      <c r="E113" s="800" t="s">
        <v>525</v>
      </c>
      <c r="F113" s="819">
        <v>108</v>
      </c>
      <c r="G113" s="816">
        <v>5.9999999999999991</v>
      </c>
      <c r="H113" s="806">
        <v>0.89999999999999991</v>
      </c>
      <c r="I113" s="807">
        <v>14.1</v>
      </c>
      <c r="J113" s="808">
        <v>0.89999999999999991</v>
      </c>
      <c r="K113" s="809" t="s">
        <v>512</v>
      </c>
      <c r="L113" s="810">
        <v>15</v>
      </c>
      <c r="M113" s="810">
        <v>0.3</v>
      </c>
      <c r="N113" s="811">
        <v>1.7</v>
      </c>
      <c r="O113" s="812">
        <v>0.3</v>
      </c>
      <c r="P113" s="811">
        <v>1.7</v>
      </c>
      <c r="Q113" s="812">
        <v>0.3</v>
      </c>
      <c r="R113" s="811">
        <v>10.7</v>
      </c>
      <c r="S113" s="812">
        <v>0</v>
      </c>
      <c r="T113" s="811">
        <v>0</v>
      </c>
      <c r="U113" s="812">
        <v>0</v>
      </c>
      <c r="V113" s="811">
        <v>0</v>
      </c>
      <c r="W113" s="812">
        <v>0</v>
      </c>
      <c r="X113" s="811">
        <v>0</v>
      </c>
      <c r="Y113" s="812">
        <v>0</v>
      </c>
      <c r="Z113" s="811">
        <v>0</v>
      </c>
      <c r="AA113" s="812">
        <v>0</v>
      </c>
      <c r="AB113" s="811">
        <v>0</v>
      </c>
      <c r="AC113" s="812">
        <v>0</v>
      </c>
      <c r="AD113" s="811">
        <v>0</v>
      </c>
      <c r="AE113" s="807">
        <v>0.89999999999999991</v>
      </c>
      <c r="AF113" s="807">
        <v>14.1</v>
      </c>
      <c r="AL113" s="813">
        <v>3</v>
      </c>
      <c r="AQ113" s="74" t="s">
        <v>512</v>
      </c>
    </row>
    <row r="114" spans="1:43" s="74" customFormat="1">
      <c r="A114" s="802"/>
      <c r="B114" s="797">
        <v>3</v>
      </c>
      <c r="C114" s="798">
        <v>15</v>
      </c>
      <c r="D114" s="803">
        <v>109</v>
      </c>
      <c r="E114" s="800" t="s">
        <v>526</v>
      </c>
      <c r="F114" s="817">
        <v>109</v>
      </c>
      <c r="G114" s="805">
        <v>8.0000000000000018</v>
      </c>
      <c r="H114" s="806">
        <v>1.2</v>
      </c>
      <c r="I114" s="807">
        <v>13.8</v>
      </c>
      <c r="J114" s="808">
        <v>1.2</v>
      </c>
      <c r="K114" s="809" t="s">
        <v>512</v>
      </c>
      <c r="L114" s="810">
        <v>15</v>
      </c>
      <c r="M114" s="810">
        <v>0.4</v>
      </c>
      <c r="N114" s="811">
        <v>1</v>
      </c>
      <c r="O114" s="812">
        <v>0.4</v>
      </c>
      <c r="P114" s="811">
        <v>1</v>
      </c>
      <c r="Q114" s="812">
        <v>0.4</v>
      </c>
      <c r="R114" s="811">
        <v>11.8</v>
      </c>
      <c r="S114" s="812"/>
      <c r="T114" s="811"/>
      <c r="U114" s="812"/>
      <c r="V114" s="811"/>
      <c r="W114" s="812"/>
      <c r="X114" s="811"/>
      <c r="Y114" s="812"/>
      <c r="Z114" s="811"/>
      <c r="AA114" s="812"/>
      <c r="AB114" s="811"/>
      <c r="AC114" s="812"/>
      <c r="AD114" s="811"/>
      <c r="AE114" s="807">
        <v>1.2</v>
      </c>
      <c r="AF114" s="807">
        <v>13.8</v>
      </c>
      <c r="AL114" s="813">
        <v>3</v>
      </c>
      <c r="AQ114" s="74" t="s">
        <v>512</v>
      </c>
    </row>
    <row r="115" spans="1:43" s="74" customFormat="1">
      <c r="A115" s="802"/>
      <c r="B115" s="797">
        <v>3</v>
      </c>
      <c r="C115" s="798">
        <v>15</v>
      </c>
      <c r="D115" s="814">
        <v>110</v>
      </c>
      <c r="E115" s="800" t="s">
        <v>527</v>
      </c>
      <c r="F115" s="819">
        <v>110</v>
      </c>
      <c r="G115" s="816">
        <v>10</v>
      </c>
      <c r="H115" s="806">
        <v>1.5</v>
      </c>
      <c r="I115" s="807">
        <v>13.5</v>
      </c>
      <c r="J115" s="808">
        <v>1.5</v>
      </c>
      <c r="K115" s="809" t="s">
        <v>512</v>
      </c>
      <c r="L115" s="810">
        <v>15</v>
      </c>
      <c r="M115" s="810">
        <v>0.5</v>
      </c>
      <c r="N115" s="811">
        <v>1.5</v>
      </c>
      <c r="O115" s="812">
        <v>0.5</v>
      </c>
      <c r="P115" s="811">
        <v>1.5</v>
      </c>
      <c r="Q115" s="812">
        <v>0.5</v>
      </c>
      <c r="R115" s="811">
        <v>10.5</v>
      </c>
      <c r="S115" s="812">
        <v>0</v>
      </c>
      <c r="T115" s="811">
        <v>0</v>
      </c>
      <c r="U115" s="812">
        <v>0</v>
      </c>
      <c r="V115" s="811">
        <v>0</v>
      </c>
      <c r="W115" s="812">
        <v>0</v>
      </c>
      <c r="X115" s="811">
        <v>0</v>
      </c>
      <c r="Y115" s="812">
        <v>0</v>
      </c>
      <c r="Z115" s="811">
        <v>0</v>
      </c>
      <c r="AA115" s="812">
        <v>0</v>
      </c>
      <c r="AB115" s="811">
        <v>0</v>
      </c>
      <c r="AC115" s="812">
        <v>0</v>
      </c>
      <c r="AD115" s="811">
        <v>0</v>
      </c>
      <c r="AE115" s="807">
        <v>1.5</v>
      </c>
      <c r="AF115" s="807">
        <v>13.5</v>
      </c>
      <c r="AL115" s="813">
        <v>3</v>
      </c>
      <c r="AQ115" s="74" t="s">
        <v>512</v>
      </c>
    </row>
    <row r="116" spans="1:43" s="74" customFormat="1">
      <c r="A116" s="802"/>
      <c r="B116" s="797">
        <v>3</v>
      </c>
      <c r="C116" s="798">
        <v>15</v>
      </c>
      <c r="D116" s="803">
        <v>111</v>
      </c>
      <c r="E116" s="800" t="s">
        <v>528</v>
      </c>
      <c r="F116" s="817">
        <v>111</v>
      </c>
      <c r="G116" s="805">
        <v>26.666666666666671</v>
      </c>
      <c r="H116" s="806">
        <v>4</v>
      </c>
      <c r="I116" s="807">
        <v>11</v>
      </c>
      <c r="J116" s="808">
        <v>4</v>
      </c>
      <c r="K116" s="809" t="s">
        <v>512</v>
      </c>
      <c r="L116" s="810">
        <v>15</v>
      </c>
      <c r="M116" s="810">
        <v>1</v>
      </c>
      <c r="N116" s="811">
        <v>1</v>
      </c>
      <c r="O116" s="812">
        <v>1</v>
      </c>
      <c r="P116" s="811">
        <v>2</v>
      </c>
      <c r="Q116" s="812">
        <v>2</v>
      </c>
      <c r="R116" s="811">
        <v>8</v>
      </c>
      <c r="S116" s="812">
        <v>0</v>
      </c>
      <c r="T116" s="811">
        <v>0</v>
      </c>
      <c r="U116" s="812">
        <v>0</v>
      </c>
      <c r="V116" s="811">
        <v>0</v>
      </c>
      <c r="W116" s="812">
        <v>0</v>
      </c>
      <c r="X116" s="811">
        <v>0</v>
      </c>
      <c r="Y116" s="812">
        <v>0</v>
      </c>
      <c r="Z116" s="811">
        <v>0</v>
      </c>
      <c r="AA116" s="812">
        <v>0</v>
      </c>
      <c r="AB116" s="811">
        <v>0</v>
      </c>
      <c r="AC116" s="812">
        <v>0</v>
      </c>
      <c r="AD116" s="811">
        <v>0</v>
      </c>
      <c r="AE116" s="807">
        <v>4</v>
      </c>
      <c r="AF116" s="807">
        <v>11</v>
      </c>
      <c r="AL116" s="813">
        <v>3</v>
      </c>
      <c r="AQ116" s="74" t="s">
        <v>512</v>
      </c>
    </row>
    <row r="117" spans="1:43" s="74" customFormat="1">
      <c r="A117" s="802"/>
      <c r="B117" s="797">
        <v>3</v>
      </c>
      <c r="C117" s="798">
        <v>20</v>
      </c>
      <c r="D117" s="814">
        <v>112</v>
      </c>
      <c r="E117" s="800" t="s">
        <v>529</v>
      </c>
      <c r="F117" s="819">
        <v>112</v>
      </c>
      <c r="G117" s="816">
        <v>7.5</v>
      </c>
      <c r="H117" s="806">
        <v>1.5</v>
      </c>
      <c r="I117" s="807">
        <v>18.5</v>
      </c>
      <c r="J117" s="808">
        <v>1.125</v>
      </c>
      <c r="K117" s="809" t="s">
        <v>512</v>
      </c>
      <c r="L117" s="810">
        <v>20</v>
      </c>
      <c r="M117" s="810">
        <v>0.5</v>
      </c>
      <c r="N117" s="811">
        <v>1.5</v>
      </c>
      <c r="O117" s="812">
        <v>0.5</v>
      </c>
      <c r="P117" s="811">
        <v>1.5</v>
      </c>
      <c r="Q117" s="812">
        <v>0.5</v>
      </c>
      <c r="R117" s="811">
        <v>15.5</v>
      </c>
      <c r="S117" s="812"/>
      <c r="T117" s="811"/>
      <c r="U117" s="812"/>
      <c r="V117" s="811"/>
      <c r="W117" s="812"/>
      <c r="X117" s="811"/>
      <c r="Y117" s="812"/>
      <c r="Z117" s="811"/>
      <c r="AA117" s="812"/>
      <c r="AB117" s="811"/>
      <c r="AC117" s="812"/>
      <c r="AD117" s="811"/>
      <c r="AE117" s="807">
        <v>1.5</v>
      </c>
      <c r="AF117" s="807">
        <v>18.5</v>
      </c>
      <c r="AL117" s="813">
        <v>3</v>
      </c>
      <c r="AQ117" s="74" t="s">
        <v>512</v>
      </c>
    </row>
    <row r="118" spans="1:43" s="74" customFormat="1">
      <c r="A118" s="802"/>
      <c r="B118" s="797">
        <v>3</v>
      </c>
      <c r="C118" s="798">
        <v>20</v>
      </c>
      <c r="D118" s="803">
        <v>113</v>
      </c>
      <c r="E118" s="800" t="s">
        <v>530</v>
      </c>
      <c r="F118" s="817">
        <v>113</v>
      </c>
      <c r="G118" s="805">
        <v>7.5</v>
      </c>
      <c r="H118" s="806">
        <v>1.5</v>
      </c>
      <c r="I118" s="807">
        <v>18.5</v>
      </c>
      <c r="J118" s="808">
        <v>1.125</v>
      </c>
      <c r="K118" s="809" t="s">
        <v>512</v>
      </c>
      <c r="L118" s="810">
        <v>20</v>
      </c>
      <c r="M118" s="810">
        <v>0.5</v>
      </c>
      <c r="N118" s="811">
        <v>3</v>
      </c>
      <c r="O118" s="812">
        <v>0.5</v>
      </c>
      <c r="P118" s="811">
        <v>3</v>
      </c>
      <c r="Q118" s="812">
        <v>0.5</v>
      </c>
      <c r="R118" s="811">
        <v>12.5</v>
      </c>
      <c r="S118" s="812">
        <v>0</v>
      </c>
      <c r="T118" s="811">
        <v>0</v>
      </c>
      <c r="U118" s="812">
        <v>0</v>
      </c>
      <c r="V118" s="811">
        <v>0</v>
      </c>
      <c r="W118" s="812">
        <v>0</v>
      </c>
      <c r="X118" s="811">
        <v>0</v>
      </c>
      <c r="Y118" s="812">
        <v>0</v>
      </c>
      <c r="Z118" s="811">
        <v>0</v>
      </c>
      <c r="AA118" s="812">
        <v>0</v>
      </c>
      <c r="AB118" s="811">
        <v>0</v>
      </c>
      <c r="AC118" s="812">
        <v>0</v>
      </c>
      <c r="AD118" s="811">
        <v>0</v>
      </c>
      <c r="AE118" s="807">
        <v>1.5</v>
      </c>
      <c r="AF118" s="807">
        <v>18.5</v>
      </c>
      <c r="AL118" s="813">
        <v>3</v>
      </c>
      <c r="AQ118" s="74" t="s">
        <v>512</v>
      </c>
    </row>
    <row r="119" spans="1:43" s="74" customFormat="1">
      <c r="A119" s="802"/>
      <c r="B119" s="797">
        <v>3</v>
      </c>
      <c r="C119" s="798">
        <v>20</v>
      </c>
      <c r="D119" s="814">
        <v>114</v>
      </c>
      <c r="E119" s="800" t="s">
        <v>531</v>
      </c>
      <c r="F119" s="819">
        <v>114</v>
      </c>
      <c r="G119" s="816">
        <v>12</v>
      </c>
      <c r="H119" s="806">
        <v>2.4</v>
      </c>
      <c r="I119" s="807">
        <v>17.600000000000001</v>
      </c>
      <c r="J119" s="808">
        <v>1.8</v>
      </c>
      <c r="K119" s="809" t="s">
        <v>512</v>
      </c>
      <c r="L119" s="810">
        <v>20</v>
      </c>
      <c r="M119" s="810">
        <v>0.8</v>
      </c>
      <c r="N119" s="811">
        <v>1.2</v>
      </c>
      <c r="O119" s="812">
        <v>0.8</v>
      </c>
      <c r="P119" s="811">
        <v>1.2</v>
      </c>
      <c r="Q119" s="812">
        <v>0.8</v>
      </c>
      <c r="R119" s="811">
        <v>15.2</v>
      </c>
      <c r="S119" s="812">
        <v>0</v>
      </c>
      <c r="T119" s="811">
        <v>0</v>
      </c>
      <c r="U119" s="812">
        <v>0</v>
      </c>
      <c r="V119" s="811">
        <v>0</v>
      </c>
      <c r="W119" s="812">
        <v>0</v>
      </c>
      <c r="X119" s="811">
        <v>0</v>
      </c>
      <c r="Y119" s="812">
        <v>0</v>
      </c>
      <c r="Z119" s="811">
        <v>0</v>
      </c>
      <c r="AA119" s="812">
        <v>0</v>
      </c>
      <c r="AB119" s="811">
        <v>0</v>
      </c>
      <c r="AC119" s="812">
        <v>0</v>
      </c>
      <c r="AD119" s="811">
        <v>0</v>
      </c>
      <c r="AE119" s="807">
        <v>2.4</v>
      </c>
      <c r="AF119" s="807">
        <v>17.600000000000001</v>
      </c>
      <c r="AL119" s="813">
        <v>3</v>
      </c>
      <c r="AQ119" s="74" t="s">
        <v>512</v>
      </c>
    </row>
    <row r="120" spans="1:43" s="74" customFormat="1">
      <c r="A120" s="802"/>
      <c r="B120" s="797">
        <v>3</v>
      </c>
      <c r="C120" s="798">
        <v>20</v>
      </c>
      <c r="D120" s="803">
        <v>115</v>
      </c>
      <c r="E120" s="800" t="s">
        <v>532</v>
      </c>
      <c r="F120" s="817">
        <v>115</v>
      </c>
      <c r="G120" s="805">
        <v>15</v>
      </c>
      <c r="H120" s="806">
        <v>3</v>
      </c>
      <c r="I120" s="807">
        <v>17</v>
      </c>
      <c r="J120" s="808">
        <v>2.25</v>
      </c>
      <c r="K120" s="809" t="s">
        <v>512</v>
      </c>
      <c r="L120" s="810">
        <v>20</v>
      </c>
      <c r="M120" s="810">
        <v>1</v>
      </c>
      <c r="N120" s="811">
        <v>1</v>
      </c>
      <c r="O120" s="812">
        <v>1</v>
      </c>
      <c r="P120" s="811">
        <v>1</v>
      </c>
      <c r="Q120" s="812">
        <v>1</v>
      </c>
      <c r="R120" s="811">
        <v>15</v>
      </c>
      <c r="S120" s="812">
        <v>0</v>
      </c>
      <c r="T120" s="811">
        <v>0</v>
      </c>
      <c r="U120" s="812">
        <v>0</v>
      </c>
      <c r="V120" s="811">
        <v>0</v>
      </c>
      <c r="W120" s="812">
        <v>0</v>
      </c>
      <c r="X120" s="811">
        <v>0</v>
      </c>
      <c r="Y120" s="812">
        <v>0</v>
      </c>
      <c r="Z120" s="811">
        <v>0</v>
      </c>
      <c r="AA120" s="812">
        <v>0</v>
      </c>
      <c r="AB120" s="811">
        <v>0</v>
      </c>
      <c r="AC120" s="812">
        <v>0</v>
      </c>
      <c r="AD120" s="811">
        <v>0</v>
      </c>
      <c r="AE120" s="807">
        <v>3</v>
      </c>
      <c r="AF120" s="807">
        <v>17</v>
      </c>
      <c r="AL120" s="813">
        <v>3</v>
      </c>
      <c r="AQ120" s="74" t="s">
        <v>512</v>
      </c>
    </row>
    <row r="121" spans="1:43" s="74" customFormat="1">
      <c r="A121" s="802"/>
      <c r="B121" s="797">
        <v>4</v>
      </c>
      <c r="C121" s="798">
        <v>10</v>
      </c>
      <c r="D121" s="814">
        <v>116</v>
      </c>
      <c r="E121" s="800" t="s">
        <v>533</v>
      </c>
      <c r="F121" s="819">
        <v>116</v>
      </c>
      <c r="G121" s="816">
        <v>20</v>
      </c>
      <c r="H121" s="806">
        <v>2</v>
      </c>
      <c r="I121" s="807">
        <v>8</v>
      </c>
      <c r="J121" s="808">
        <v>3</v>
      </c>
      <c r="K121" s="809" t="s">
        <v>534</v>
      </c>
      <c r="L121" s="810">
        <v>10</v>
      </c>
      <c r="M121" s="810">
        <v>0.5</v>
      </c>
      <c r="N121" s="811">
        <v>1</v>
      </c>
      <c r="O121" s="812">
        <v>0.5</v>
      </c>
      <c r="P121" s="811">
        <v>1</v>
      </c>
      <c r="Q121" s="812">
        <v>0.5</v>
      </c>
      <c r="R121" s="811">
        <v>1</v>
      </c>
      <c r="S121" s="812">
        <v>0.5</v>
      </c>
      <c r="T121" s="811">
        <v>5</v>
      </c>
      <c r="U121" s="812">
        <v>0</v>
      </c>
      <c r="V121" s="811">
        <v>0</v>
      </c>
      <c r="W121" s="812">
        <v>0</v>
      </c>
      <c r="X121" s="811">
        <v>0</v>
      </c>
      <c r="Y121" s="812">
        <v>0</v>
      </c>
      <c r="Z121" s="811">
        <v>0</v>
      </c>
      <c r="AA121" s="812">
        <v>0</v>
      </c>
      <c r="AB121" s="811">
        <v>0</v>
      </c>
      <c r="AC121" s="812">
        <v>0</v>
      </c>
      <c r="AD121" s="811">
        <v>0</v>
      </c>
      <c r="AE121" s="807">
        <v>2</v>
      </c>
      <c r="AF121" s="807">
        <v>8</v>
      </c>
      <c r="AL121" s="813">
        <v>4</v>
      </c>
      <c r="AQ121" s="74" t="s">
        <v>534</v>
      </c>
    </row>
    <row r="122" spans="1:43" s="74" customFormat="1">
      <c r="A122" s="802"/>
      <c r="B122" s="797">
        <v>4</v>
      </c>
      <c r="C122" s="798">
        <v>10</v>
      </c>
      <c r="D122" s="803">
        <v>117</v>
      </c>
      <c r="E122" s="800" t="s">
        <v>535</v>
      </c>
      <c r="F122" s="817">
        <v>117</v>
      </c>
      <c r="G122" s="805">
        <v>32</v>
      </c>
      <c r="H122" s="806">
        <v>3.2</v>
      </c>
      <c r="I122" s="807">
        <v>6.8</v>
      </c>
      <c r="J122" s="808">
        <v>4.8</v>
      </c>
      <c r="K122" s="809" t="s">
        <v>534</v>
      </c>
      <c r="L122" s="810">
        <v>10</v>
      </c>
      <c r="M122" s="810">
        <v>0.8</v>
      </c>
      <c r="N122" s="811">
        <v>1.2</v>
      </c>
      <c r="O122" s="812">
        <v>0.8</v>
      </c>
      <c r="P122" s="811">
        <v>1.2</v>
      </c>
      <c r="Q122" s="812">
        <v>0.8</v>
      </c>
      <c r="R122" s="811">
        <v>1.2</v>
      </c>
      <c r="S122" s="812">
        <v>0.8</v>
      </c>
      <c r="T122" s="811">
        <v>3.2</v>
      </c>
      <c r="U122" s="812">
        <v>0</v>
      </c>
      <c r="V122" s="811">
        <v>0</v>
      </c>
      <c r="W122" s="812">
        <v>0</v>
      </c>
      <c r="X122" s="811">
        <v>0</v>
      </c>
      <c r="Y122" s="812">
        <v>0</v>
      </c>
      <c r="Z122" s="811">
        <v>0</v>
      </c>
      <c r="AA122" s="812">
        <v>0</v>
      </c>
      <c r="AB122" s="811">
        <v>0</v>
      </c>
      <c r="AC122" s="812">
        <v>0</v>
      </c>
      <c r="AD122" s="811">
        <v>0</v>
      </c>
      <c r="AE122" s="807">
        <v>3.2</v>
      </c>
      <c r="AF122" s="807">
        <v>6.8</v>
      </c>
      <c r="AL122" s="813">
        <v>4</v>
      </c>
      <c r="AQ122" s="74" t="s">
        <v>534</v>
      </c>
    </row>
    <row r="123" spans="1:43" s="74" customFormat="1">
      <c r="A123" s="802"/>
      <c r="B123" s="797">
        <v>4</v>
      </c>
      <c r="C123" s="798">
        <v>12</v>
      </c>
      <c r="D123" s="814">
        <v>118</v>
      </c>
      <c r="E123" s="800" t="s">
        <v>536</v>
      </c>
      <c r="F123" s="819">
        <v>118</v>
      </c>
      <c r="G123" s="816">
        <v>10</v>
      </c>
      <c r="H123" s="806">
        <v>1.2</v>
      </c>
      <c r="I123" s="807">
        <v>10.8</v>
      </c>
      <c r="J123" s="808">
        <v>1.5</v>
      </c>
      <c r="K123" s="809" t="s">
        <v>534</v>
      </c>
      <c r="L123" s="810">
        <v>12</v>
      </c>
      <c r="M123" s="810">
        <v>0.3</v>
      </c>
      <c r="N123" s="811">
        <v>1.7</v>
      </c>
      <c r="O123" s="812">
        <v>0.3</v>
      </c>
      <c r="P123" s="811">
        <v>1.7</v>
      </c>
      <c r="Q123" s="812">
        <v>0.3</v>
      </c>
      <c r="R123" s="811">
        <v>1.7</v>
      </c>
      <c r="S123" s="812">
        <v>0.3</v>
      </c>
      <c r="T123" s="811">
        <v>5.7</v>
      </c>
      <c r="U123" s="812">
        <v>0</v>
      </c>
      <c r="V123" s="811">
        <v>0</v>
      </c>
      <c r="W123" s="812">
        <v>0</v>
      </c>
      <c r="X123" s="811">
        <v>0</v>
      </c>
      <c r="Y123" s="812">
        <v>0</v>
      </c>
      <c r="Z123" s="811">
        <v>0</v>
      </c>
      <c r="AA123" s="812">
        <v>0</v>
      </c>
      <c r="AB123" s="811">
        <v>0</v>
      </c>
      <c r="AC123" s="812">
        <v>0</v>
      </c>
      <c r="AD123" s="811">
        <v>0</v>
      </c>
      <c r="AE123" s="807">
        <v>1.2</v>
      </c>
      <c r="AF123" s="807">
        <v>10.8</v>
      </c>
      <c r="AL123" s="813">
        <v>4</v>
      </c>
      <c r="AQ123" s="74" t="s">
        <v>534</v>
      </c>
    </row>
    <row r="124" spans="1:43" s="74" customFormat="1">
      <c r="A124" s="802"/>
      <c r="B124" s="797">
        <v>4</v>
      </c>
      <c r="C124" s="798">
        <v>12</v>
      </c>
      <c r="D124" s="803">
        <v>119</v>
      </c>
      <c r="E124" s="800" t="s">
        <v>537</v>
      </c>
      <c r="F124" s="817">
        <v>119</v>
      </c>
      <c r="G124" s="805">
        <v>16.666666666666661</v>
      </c>
      <c r="H124" s="806">
        <v>2</v>
      </c>
      <c r="I124" s="807">
        <v>10</v>
      </c>
      <c r="J124" s="808">
        <v>2.5</v>
      </c>
      <c r="K124" s="809" t="s">
        <v>534</v>
      </c>
      <c r="L124" s="810">
        <v>12</v>
      </c>
      <c r="M124" s="810">
        <v>0.5</v>
      </c>
      <c r="N124" s="811">
        <v>1.5</v>
      </c>
      <c r="O124" s="812">
        <v>0.5</v>
      </c>
      <c r="P124" s="811">
        <v>1.5</v>
      </c>
      <c r="Q124" s="812">
        <v>0.5</v>
      </c>
      <c r="R124" s="811">
        <v>1.5</v>
      </c>
      <c r="S124" s="812">
        <v>0.5</v>
      </c>
      <c r="T124" s="811">
        <v>5.5</v>
      </c>
      <c r="U124" s="812">
        <v>0</v>
      </c>
      <c r="V124" s="811">
        <v>0</v>
      </c>
      <c r="W124" s="812">
        <v>0</v>
      </c>
      <c r="X124" s="811">
        <v>0</v>
      </c>
      <c r="Y124" s="812">
        <v>0</v>
      </c>
      <c r="Z124" s="811">
        <v>0</v>
      </c>
      <c r="AA124" s="812">
        <v>0</v>
      </c>
      <c r="AB124" s="811">
        <v>0</v>
      </c>
      <c r="AC124" s="812">
        <v>0</v>
      </c>
      <c r="AD124" s="811">
        <v>0</v>
      </c>
      <c r="AE124" s="807">
        <v>2</v>
      </c>
      <c r="AF124" s="807">
        <v>10</v>
      </c>
      <c r="AL124" s="813">
        <v>4</v>
      </c>
      <c r="AQ124" s="74" t="s">
        <v>534</v>
      </c>
    </row>
    <row r="125" spans="1:43" s="74" customFormat="1">
      <c r="A125" s="802"/>
      <c r="B125" s="797">
        <v>4</v>
      </c>
      <c r="C125" s="798">
        <v>12</v>
      </c>
      <c r="D125" s="814">
        <v>120</v>
      </c>
      <c r="E125" s="800" t="s">
        <v>538</v>
      </c>
      <c r="F125" s="819">
        <v>120</v>
      </c>
      <c r="G125" s="816">
        <v>26.666666666666671</v>
      </c>
      <c r="H125" s="806">
        <v>3.2</v>
      </c>
      <c r="I125" s="807">
        <v>8.8000000000000007</v>
      </c>
      <c r="J125" s="808">
        <v>4</v>
      </c>
      <c r="K125" s="809" t="s">
        <v>534</v>
      </c>
      <c r="L125" s="810">
        <v>12</v>
      </c>
      <c r="M125" s="810">
        <v>0.8</v>
      </c>
      <c r="N125" s="811">
        <v>1.2</v>
      </c>
      <c r="O125" s="812">
        <v>0.8</v>
      </c>
      <c r="P125" s="811">
        <v>1.2</v>
      </c>
      <c r="Q125" s="812">
        <v>0.8</v>
      </c>
      <c r="R125" s="811">
        <v>1.2</v>
      </c>
      <c r="S125" s="812">
        <v>0.8</v>
      </c>
      <c r="T125" s="811">
        <v>5.2</v>
      </c>
      <c r="U125" s="812">
        <v>0</v>
      </c>
      <c r="V125" s="811">
        <v>0</v>
      </c>
      <c r="W125" s="812">
        <v>0</v>
      </c>
      <c r="X125" s="811">
        <v>0</v>
      </c>
      <c r="Y125" s="812">
        <v>0</v>
      </c>
      <c r="Z125" s="811">
        <v>0</v>
      </c>
      <c r="AA125" s="812">
        <v>0</v>
      </c>
      <c r="AB125" s="811">
        <v>0</v>
      </c>
      <c r="AC125" s="812">
        <v>0</v>
      </c>
      <c r="AD125" s="811">
        <v>0</v>
      </c>
      <c r="AE125" s="807">
        <v>3.2</v>
      </c>
      <c r="AF125" s="807">
        <v>8.8000000000000007</v>
      </c>
      <c r="AL125" s="813">
        <v>4</v>
      </c>
      <c r="AQ125" s="74" t="s">
        <v>534</v>
      </c>
    </row>
    <row r="126" spans="1:43" s="74" customFormat="1">
      <c r="A126" s="802"/>
      <c r="B126" s="797">
        <v>4</v>
      </c>
      <c r="C126" s="798">
        <v>15</v>
      </c>
      <c r="D126" s="803">
        <v>121</v>
      </c>
      <c r="E126" s="800" t="s">
        <v>539</v>
      </c>
      <c r="F126" s="817">
        <v>121</v>
      </c>
      <c r="G126" s="805">
        <v>13.33333333333333</v>
      </c>
      <c r="H126" s="806">
        <v>2</v>
      </c>
      <c r="I126" s="807">
        <v>13</v>
      </c>
      <c r="J126" s="808">
        <v>2</v>
      </c>
      <c r="K126" s="809" t="s">
        <v>534</v>
      </c>
      <c r="L126" s="810">
        <v>15</v>
      </c>
      <c r="M126" s="810">
        <v>0.5</v>
      </c>
      <c r="N126" s="811">
        <v>1.5</v>
      </c>
      <c r="O126" s="812">
        <v>0.5</v>
      </c>
      <c r="P126" s="811">
        <v>1.5</v>
      </c>
      <c r="Q126" s="812">
        <v>0.5</v>
      </c>
      <c r="R126" s="811">
        <v>1.5</v>
      </c>
      <c r="S126" s="812">
        <v>0.5</v>
      </c>
      <c r="T126" s="811">
        <v>8.5</v>
      </c>
      <c r="U126" s="812">
        <v>0</v>
      </c>
      <c r="V126" s="811">
        <v>0</v>
      </c>
      <c r="W126" s="812">
        <v>0</v>
      </c>
      <c r="X126" s="811">
        <v>0</v>
      </c>
      <c r="Y126" s="812">
        <v>0</v>
      </c>
      <c r="Z126" s="811">
        <v>0</v>
      </c>
      <c r="AA126" s="812">
        <v>0</v>
      </c>
      <c r="AB126" s="811">
        <v>0</v>
      </c>
      <c r="AC126" s="812">
        <v>0</v>
      </c>
      <c r="AD126" s="811">
        <v>0</v>
      </c>
      <c r="AE126" s="807">
        <v>2</v>
      </c>
      <c r="AF126" s="807">
        <v>13</v>
      </c>
      <c r="AL126" s="813">
        <v>4</v>
      </c>
      <c r="AQ126" s="74" t="s">
        <v>534</v>
      </c>
    </row>
    <row r="127" spans="1:43" s="74" customFormat="1">
      <c r="A127" s="802"/>
      <c r="B127" s="797">
        <v>4</v>
      </c>
      <c r="C127" s="798">
        <v>15</v>
      </c>
      <c r="D127" s="814">
        <v>122</v>
      </c>
      <c r="E127" s="800" t="s">
        <v>540</v>
      </c>
      <c r="F127" s="819">
        <v>122</v>
      </c>
      <c r="G127" s="816">
        <v>26.666666666666671</v>
      </c>
      <c r="H127" s="806">
        <v>4</v>
      </c>
      <c r="I127" s="807">
        <v>11</v>
      </c>
      <c r="J127" s="808">
        <v>4</v>
      </c>
      <c r="K127" s="809" t="s">
        <v>534</v>
      </c>
      <c r="L127" s="810">
        <v>15</v>
      </c>
      <c r="M127" s="810">
        <v>1</v>
      </c>
      <c r="N127" s="811">
        <v>1</v>
      </c>
      <c r="O127" s="812">
        <v>1</v>
      </c>
      <c r="P127" s="811">
        <v>1</v>
      </c>
      <c r="Q127" s="812">
        <v>1</v>
      </c>
      <c r="R127" s="811">
        <v>1</v>
      </c>
      <c r="S127" s="812">
        <v>1</v>
      </c>
      <c r="T127" s="811">
        <v>8</v>
      </c>
      <c r="U127" s="812">
        <v>0</v>
      </c>
      <c r="V127" s="811">
        <v>0</v>
      </c>
      <c r="W127" s="812">
        <v>0</v>
      </c>
      <c r="X127" s="811">
        <v>0</v>
      </c>
      <c r="Y127" s="812">
        <v>0</v>
      </c>
      <c r="Z127" s="811">
        <v>0</v>
      </c>
      <c r="AA127" s="812">
        <v>0</v>
      </c>
      <c r="AB127" s="811">
        <v>0</v>
      </c>
      <c r="AC127" s="812">
        <v>0</v>
      </c>
      <c r="AD127" s="811">
        <v>0</v>
      </c>
      <c r="AE127" s="807">
        <v>4</v>
      </c>
      <c r="AF127" s="807">
        <v>11</v>
      </c>
      <c r="AL127" s="813">
        <v>4</v>
      </c>
      <c r="AQ127" s="74" t="s">
        <v>534</v>
      </c>
    </row>
    <row r="128" spans="1:43" s="74" customFormat="1">
      <c r="A128" s="802"/>
      <c r="B128" s="797">
        <v>4</v>
      </c>
      <c r="C128" s="798">
        <v>16</v>
      </c>
      <c r="D128" s="803">
        <v>123</v>
      </c>
      <c r="E128" s="800" t="s">
        <v>541</v>
      </c>
      <c r="F128" s="817">
        <v>123</v>
      </c>
      <c r="G128" s="805">
        <v>12.5</v>
      </c>
      <c r="H128" s="806">
        <v>2</v>
      </c>
      <c r="I128" s="807">
        <v>14</v>
      </c>
      <c r="J128" s="808">
        <v>1.875</v>
      </c>
      <c r="K128" s="809" t="s">
        <v>534</v>
      </c>
      <c r="L128" s="810">
        <v>16</v>
      </c>
      <c r="M128" s="810">
        <v>0.5</v>
      </c>
      <c r="N128" s="811">
        <v>1.5</v>
      </c>
      <c r="O128" s="812">
        <v>0.5</v>
      </c>
      <c r="P128" s="811">
        <v>1.5</v>
      </c>
      <c r="Q128" s="812">
        <v>0.5</v>
      </c>
      <c r="R128" s="811">
        <v>1.5</v>
      </c>
      <c r="S128" s="812">
        <v>0.5</v>
      </c>
      <c r="T128" s="811">
        <v>9.5</v>
      </c>
      <c r="U128" s="812">
        <v>0</v>
      </c>
      <c r="V128" s="811">
        <v>0</v>
      </c>
      <c r="W128" s="812">
        <v>0</v>
      </c>
      <c r="X128" s="811">
        <v>0</v>
      </c>
      <c r="Y128" s="812">
        <v>0</v>
      </c>
      <c r="Z128" s="811">
        <v>0</v>
      </c>
      <c r="AA128" s="812">
        <v>0</v>
      </c>
      <c r="AB128" s="811">
        <v>0</v>
      </c>
      <c r="AC128" s="812">
        <v>0</v>
      </c>
      <c r="AD128" s="811">
        <v>0</v>
      </c>
      <c r="AE128" s="807">
        <v>2</v>
      </c>
      <c r="AF128" s="807">
        <v>14</v>
      </c>
      <c r="AL128" s="813">
        <v>4</v>
      </c>
      <c r="AQ128" s="74" t="s">
        <v>534</v>
      </c>
    </row>
    <row r="129" spans="1:43" s="74" customFormat="1">
      <c r="A129" s="802"/>
      <c r="B129" s="797">
        <v>4</v>
      </c>
      <c r="C129" s="798">
        <v>16</v>
      </c>
      <c r="D129" s="814">
        <v>124</v>
      </c>
      <c r="E129" s="800" t="s">
        <v>542</v>
      </c>
      <c r="F129" s="819">
        <v>124</v>
      </c>
      <c r="G129" s="816">
        <v>25</v>
      </c>
      <c r="H129" s="806">
        <v>4</v>
      </c>
      <c r="I129" s="807">
        <v>12</v>
      </c>
      <c r="J129" s="808">
        <v>3.75</v>
      </c>
      <c r="K129" s="809" t="s">
        <v>534</v>
      </c>
      <c r="L129" s="810">
        <v>16</v>
      </c>
      <c r="M129" s="810">
        <v>1</v>
      </c>
      <c r="N129" s="811">
        <v>2</v>
      </c>
      <c r="O129" s="812">
        <v>1</v>
      </c>
      <c r="P129" s="811">
        <v>2</v>
      </c>
      <c r="Q129" s="812">
        <v>1</v>
      </c>
      <c r="R129" s="811">
        <v>2</v>
      </c>
      <c r="S129" s="812">
        <v>1</v>
      </c>
      <c r="T129" s="811">
        <v>6</v>
      </c>
      <c r="U129" s="812">
        <v>0</v>
      </c>
      <c r="V129" s="811">
        <v>0</v>
      </c>
      <c r="W129" s="812">
        <v>0</v>
      </c>
      <c r="X129" s="811">
        <v>0</v>
      </c>
      <c r="Y129" s="812">
        <v>0</v>
      </c>
      <c r="Z129" s="811">
        <v>0</v>
      </c>
      <c r="AA129" s="812">
        <v>0</v>
      </c>
      <c r="AB129" s="811">
        <v>0</v>
      </c>
      <c r="AC129" s="812">
        <v>0</v>
      </c>
      <c r="AD129" s="811">
        <v>0</v>
      </c>
      <c r="AE129" s="807">
        <v>4</v>
      </c>
      <c r="AF129" s="807">
        <v>12</v>
      </c>
      <c r="AL129" s="813">
        <v>4</v>
      </c>
      <c r="AQ129" s="74" t="s">
        <v>534</v>
      </c>
    </row>
    <row r="130" spans="1:43" s="74" customFormat="1">
      <c r="A130" s="802"/>
      <c r="B130" s="797">
        <v>4</v>
      </c>
      <c r="C130" s="798">
        <v>20</v>
      </c>
      <c r="D130" s="803">
        <v>125</v>
      </c>
      <c r="E130" s="800" t="s">
        <v>543</v>
      </c>
      <c r="F130" s="817">
        <v>125</v>
      </c>
      <c r="G130" s="805">
        <v>6</v>
      </c>
      <c r="H130" s="806">
        <v>1.2</v>
      </c>
      <c r="I130" s="807">
        <v>18.8</v>
      </c>
      <c r="J130" s="808">
        <v>0.89999999999999991</v>
      </c>
      <c r="K130" s="809" t="s">
        <v>534</v>
      </c>
      <c r="L130" s="810">
        <v>20</v>
      </c>
      <c r="M130" s="810">
        <v>0.3</v>
      </c>
      <c r="N130" s="811">
        <v>3</v>
      </c>
      <c r="O130" s="812">
        <v>0.3</v>
      </c>
      <c r="P130" s="811">
        <v>3</v>
      </c>
      <c r="Q130" s="812">
        <v>0.3</v>
      </c>
      <c r="R130" s="811">
        <v>3</v>
      </c>
      <c r="S130" s="812">
        <v>0.3</v>
      </c>
      <c r="T130" s="811">
        <v>9.8000000000000007</v>
      </c>
      <c r="U130" s="812">
        <v>0</v>
      </c>
      <c r="V130" s="811">
        <v>0</v>
      </c>
      <c r="W130" s="812">
        <v>0</v>
      </c>
      <c r="X130" s="811">
        <v>0</v>
      </c>
      <c r="Y130" s="812">
        <v>0</v>
      </c>
      <c r="Z130" s="811">
        <v>0</v>
      </c>
      <c r="AA130" s="812">
        <v>0</v>
      </c>
      <c r="AB130" s="811">
        <v>0</v>
      </c>
      <c r="AC130" s="812">
        <v>0</v>
      </c>
      <c r="AD130" s="811">
        <v>0</v>
      </c>
      <c r="AE130" s="807">
        <v>1.2</v>
      </c>
      <c r="AF130" s="807">
        <v>18.8</v>
      </c>
      <c r="AL130" s="813">
        <v>4</v>
      </c>
      <c r="AQ130" s="74" t="s">
        <v>534</v>
      </c>
    </row>
    <row r="131" spans="1:43" s="74" customFormat="1">
      <c r="A131" s="802"/>
      <c r="B131" s="797">
        <v>4</v>
      </c>
      <c r="C131" s="798">
        <v>20</v>
      </c>
      <c r="D131" s="814">
        <v>126</v>
      </c>
      <c r="E131" s="800" t="s">
        <v>544</v>
      </c>
      <c r="F131" s="819">
        <v>126</v>
      </c>
      <c r="G131" s="816">
        <v>10</v>
      </c>
      <c r="H131" s="806">
        <v>2</v>
      </c>
      <c r="I131" s="807">
        <v>18</v>
      </c>
      <c r="J131" s="808">
        <v>1.5</v>
      </c>
      <c r="K131" s="809" t="s">
        <v>534</v>
      </c>
      <c r="L131" s="810">
        <v>20</v>
      </c>
      <c r="M131" s="810">
        <v>0.5</v>
      </c>
      <c r="N131" s="811">
        <v>1.5</v>
      </c>
      <c r="O131" s="812">
        <v>0.5</v>
      </c>
      <c r="P131" s="811">
        <v>1.5</v>
      </c>
      <c r="Q131" s="812">
        <v>0.5</v>
      </c>
      <c r="R131" s="811">
        <v>1.5</v>
      </c>
      <c r="S131" s="812">
        <v>0.5</v>
      </c>
      <c r="T131" s="811">
        <v>13.5</v>
      </c>
      <c r="U131" s="812">
        <v>0</v>
      </c>
      <c r="V131" s="811">
        <v>0</v>
      </c>
      <c r="W131" s="812">
        <v>0</v>
      </c>
      <c r="X131" s="811">
        <v>0</v>
      </c>
      <c r="Y131" s="812">
        <v>0</v>
      </c>
      <c r="Z131" s="811">
        <v>0</v>
      </c>
      <c r="AA131" s="812">
        <v>0</v>
      </c>
      <c r="AB131" s="811">
        <v>0</v>
      </c>
      <c r="AC131" s="812">
        <v>0</v>
      </c>
      <c r="AD131" s="811">
        <v>0</v>
      </c>
      <c r="AE131" s="807">
        <v>2</v>
      </c>
      <c r="AF131" s="807">
        <v>18</v>
      </c>
      <c r="AL131" s="813">
        <v>4</v>
      </c>
      <c r="AQ131" s="74" t="s">
        <v>534</v>
      </c>
    </row>
    <row r="132" spans="1:43" s="74" customFormat="1">
      <c r="A132" s="802"/>
      <c r="B132" s="797">
        <v>4</v>
      </c>
      <c r="C132" s="798">
        <v>20</v>
      </c>
      <c r="D132" s="803">
        <v>127</v>
      </c>
      <c r="E132" s="800" t="s">
        <v>545</v>
      </c>
      <c r="F132" s="817">
        <v>127</v>
      </c>
      <c r="G132" s="805">
        <v>30</v>
      </c>
      <c r="H132" s="806">
        <v>6</v>
      </c>
      <c r="I132" s="807">
        <v>14</v>
      </c>
      <c r="J132" s="808">
        <v>4.5</v>
      </c>
      <c r="K132" s="809" t="s">
        <v>534</v>
      </c>
      <c r="L132" s="810">
        <v>20</v>
      </c>
      <c r="M132" s="810">
        <v>1.5</v>
      </c>
      <c r="N132" s="811">
        <v>1.5</v>
      </c>
      <c r="O132" s="812">
        <v>1.5</v>
      </c>
      <c r="P132" s="811">
        <v>1.5</v>
      </c>
      <c r="Q132" s="812">
        <v>1.5</v>
      </c>
      <c r="R132" s="811">
        <v>1.5</v>
      </c>
      <c r="S132" s="812">
        <v>1.5</v>
      </c>
      <c r="T132" s="811">
        <v>9.5</v>
      </c>
      <c r="U132" s="812">
        <v>0</v>
      </c>
      <c r="V132" s="811">
        <v>0</v>
      </c>
      <c r="W132" s="812">
        <v>0</v>
      </c>
      <c r="X132" s="811">
        <v>0</v>
      </c>
      <c r="Y132" s="812">
        <v>0</v>
      </c>
      <c r="Z132" s="811">
        <v>0</v>
      </c>
      <c r="AA132" s="812">
        <v>0</v>
      </c>
      <c r="AB132" s="811">
        <v>0</v>
      </c>
      <c r="AC132" s="812">
        <v>0</v>
      </c>
      <c r="AD132" s="811">
        <v>0</v>
      </c>
      <c r="AE132" s="807">
        <v>6</v>
      </c>
      <c r="AF132" s="807">
        <v>14</v>
      </c>
      <c r="AL132" s="813">
        <v>4</v>
      </c>
      <c r="AQ132" s="74" t="s">
        <v>534</v>
      </c>
    </row>
    <row r="133" spans="1:43" s="74" customFormat="1">
      <c r="A133" s="802"/>
      <c r="B133" s="797">
        <v>5</v>
      </c>
      <c r="C133" s="798">
        <v>20</v>
      </c>
      <c r="D133" s="814">
        <v>128</v>
      </c>
      <c r="E133" s="800" t="s">
        <v>546</v>
      </c>
      <c r="F133" s="819">
        <v>128</v>
      </c>
      <c r="G133" s="816">
        <v>20</v>
      </c>
      <c r="H133" s="806">
        <v>4</v>
      </c>
      <c r="I133" s="807">
        <v>16</v>
      </c>
      <c r="J133" s="808">
        <v>3</v>
      </c>
      <c r="K133" s="809" t="s">
        <v>547</v>
      </c>
      <c r="L133" s="810">
        <v>20</v>
      </c>
      <c r="M133" s="810">
        <v>0.8</v>
      </c>
      <c r="N133" s="811">
        <v>1.2</v>
      </c>
      <c r="O133" s="812">
        <v>0.8</v>
      </c>
      <c r="P133" s="811">
        <v>1.2</v>
      </c>
      <c r="Q133" s="812">
        <v>0.8</v>
      </c>
      <c r="R133" s="811">
        <v>1.2</v>
      </c>
      <c r="S133" s="812">
        <v>0.8</v>
      </c>
      <c r="T133" s="811">
        <v>1.2</v>
      </c>
      <c r="U133" s="812">
        <v>0.8</v>
      </c>
      <c r="V133" s="811">
        <v>11.2</v>
      </c>
      <c r="W133" s="812">
        <v>0</v>
      </c>
      <c r="X133" s="811">
        <v>0</v>
      </c>
      <c r="Y133" s="812">
        <v>0</v>
      </c>
      <c r="Z133" s="811">
        <v>0</v>
      </c>
      <c r="AA133" s="812">
        <v>0</v>
      </c>
      <c r="AB133" s="811">
        <v>0</v>
      </c>
      <c r="AC133" s="812">
        <v>0</v>
      </c>
      <c r="AD133" s="811">
        <v>0</v>
      </c>
      <c r="AE133" s="807">
        <v>4</v>
      </c>
      <c r="AF133" s="807">
        <v>16</v>
      </c>
      <c r="AL133" s="813">
        <v>5</v>
      </c>
      <c r="AQ133" s="74" t="s">
        <v>547</v>
      </c>
    </row>
    <row r="134" spans="1:43" s="74" customFormat="1">
      <c r="A134" s="802"/>
      <c r="B134" s="797">
        <v>5</v>
      </c>
      <c r="C134" s="798">
        <v>20</v>
      </c>
      <c r="D134" s="803">
        <v>129</v>
      </c>
      <c r="E134" s="800" t="s">
        <v>548</v>
      </c>
      <c r="F134" s="817">
        <v>129</v>
      </c>
      <c r="G134" s="805">
        <v>25</v>
      </c>
      <c r="H134" s="806">
        <v>5</v>
      </c>
      <c r="I134" s="807">
        <v>15</v>
      </c>
      <c r="J134" s="808">
        <v>3.75</v>
      </c>
      <c r="K134" s="809" t="s">
        <v>547</v>
      </c>
      <c r="L134" s="810">
        <v>20</v>
      </c>
      <c r="M134" s="810">
        <v>1</v>
      </c>
      <c r="N134" s="811">
        <v>1</v>
      </c>
      <c r="O134" s="812">
        <v>1</v>
      </c>
      <c r="P134" s="811">
        <v>1</v>
      </c>
      <c r="Q134" s="812">
        <v>1</v>
      </c>
      <c r="R134" s="811">
        <v>1</v>
      </c>
      <c r="S134" s="812">
        <v>1</v>
      </c>
      <c r="T134" s="811">
        <v>1</v>
      </c>
      <c r="U134" s="812">
        <v>1</v>
      </c>
      <c r="V134" s="811">
        <v>11</v>
      </c>
      <c r="W134" s="812">
        <v>0</v>
      </c>
      <c r="X134" s="811">
        <v>0</v>
      </c>
      <c r="Y134" s="812">
        <v>0</v>
      </c>
      <c r="Z134" s="811">
        <v>0</v>
      </c>
      <c r="AA134" s="812">
        <v>0</v>
      </c>
      <c r="AB134" s="811">
        <v>0</v>
      </c>
      <c r="AC134" s="812">
        <v>0</v>
      </c>
      <c r="AD134" s="811">
        <v>0</v>
      </c>
      <c r="AE134" s="807">
        <v>5</v>
      </c>
      <c r="AF134" s="807">
        <v>15</v>
      </c>
      <c r="AL134" s="813">
        <v>5</v>
      </c>
      <c r="AQ134" s="74" t="s">
        <v>547</v>
      </c>
    </row>
    <row r="135" spans="1:43" s="74" customFormat="1">
      <c r="A135" s="802"/>
      <c r="B135" s="797">
        <v>6</v>
      </c>
      <c r="C135" s="798">
        <v>12</v>
      </c>
      <c r="D135" s="814">
        <v>130</v>
      </c>
      <c r="E135" s="800" t="s">
        <v>549</v>
      </c>
      <c r="F135" s="819">
        <v>130</v>
      </c>
      <c r="G135" s="816">
        <v>12.5</v>
      </c>
      <c r="H135" s="806">
        <v>1.5</v>
      </c>
      <c r="I135" s="807">
        <v>10.5</v>
      </c>
      <c r="J135" s="808">
        <v>1.875</v>
      </c>
      <c r="K135" s="809" t="s">
        <v>550</v>
      </c>
      <c r="L135" s="810">
        <v>12</v>
      </c>
      <c r="M135" s="810">
        <v>0.25</v>
      </c>
      <c r="N135" s="811">
        <v>1.25</v>
      </c>
      <c r="O135" s="812">
        <v>0.25</v>
      </c>
      <c r="P135" s="811">
        <v>1.25</v>
      </c>
      <c r="Q135" s="812">
        <v>0.25</v>
      </c>
      <c r="R135" s="811">
        <v>1.25</v>
      </c>
      <c r="S135" s="812">
        <v>0.25</v>
      </c>
      <c r="T135" s="811">
        <v>1.25</v>
      </c>
      <c r="U135" s="812">
        <v>0.25</v>
      </c>
      <c r="V135" s="811">
        <v>1.25</v>
      </c>
      <c r="W135" s="812">
        <v>0.25</v>
      </c>
      <c r="X135" s="811">
        <v>4.25</v>
      </c>
      <c r="Y135" s="812">
        <v>0</v>
      </c>
      <c r="Z135" s="811">
        <v>0</v>
      </c>
      <c r="AA135" s="812">
        <v>0</v>
      </c>
      <c r="AB135" s="811">
        <v>0</v>
      </c>
      <c r="AC135" s="812">
        <v>0</v>
      </c>
      <c r="AD135" s="811">
        <v>0</v>
      </c>
      <c r="AE135" s="807">
        <v>1.5</v>
      </c>
      <c r="AF135" s="807">
        <v>10.5</v>
      </c>
      <c r="AL135" s="813">
        <v>6</v>
      </c>
      <c r="AQ135" s="74" t="s">
        <v>550</v>
      </c>
    </row>
    <row r="136" spans="1:43" s="74" customFormat="1">
      <c r="A136" s="802"/>
      <c r="B136" s="797">
        <v>6</v>
      </c>
      <c r="C136" s="798">
        <v>15</v>
      </c>
      <c r="D136" s="803">
        <v>131</v>
      </c>
      <c r="E136" s="800" t="s">
        <v>551</v>
      </c>
      <c r="F136" s="817">
        <v>131</v>
      </c>
      <c r="G136" s="805">
        <v>20</v>
      </c>
      <c r="H136" s="806">
        <v>3</v>
      </c>
      <c r="I136" s="807">
        <v>12</v>
      </c>
      <c r="J136" s="808">
        <v>3</v>
      </c>
      <c r="K136" s="809" t="s">
        <v>550</v>
      </c>
      <c r="L136" s="810">
        <v>15</v>
      </c>
      <c r="M136" s="810">
        <v>0.5</v>
      </c>
      <c r="N136" s="811">
        <v>1</v>
      </c>
      <c r="O136" s="812">
        <v>0.5</v>
      </c>
      <c r="P136" s="811">
        <v>1</v>
      </c>
      <c r="Q136" s="812">
        <v>0.5</v>
      </c>
      <c r="R136" s="811">
        <v>1</v>
      </c>
      <c r="S136" s="812">
        <v>0.5</v>
      </c>
      <c r="T136" s="811">
        <v>1</v>
      </c>
      <c r="U136" s="812">
        <v>0.5</v>
      </c>
      <c r="V136" s="811">
        <v>1</v>
      </c>
      <c r="W136" s="812">
        <v>0.5</v>
      </c>
      <c r="X136" s="811">
        <v>7</v>
      </c>
      <c r="Y136" s="812">
        <v>0</v>
      </c>
      <c r="Z136" s="811">
        <v>0</v>
      </c>
      <c r="AA136" s="812">
        <v>0</v>
      </c>
      <c r="AB136" s="811">
        <v>0</v>
      </c>
      <c r="AC136" s="812">
        <v>0</v>
      </c>
      <c r="AD136" s="811">
        <v>0</v>
      </c>
      <c r="AE136" s="807">
        <v>3</v>
      </c>
      <c r="AF136" s="807">
        <v>12</v>
      </c>
      <c r="AL136" s="813">
        <v>6</v>
      </c>
      <c r="AQ136" s="74" t="s">
        <v>550</v>
      </c>
    </row>
    <row r="137" spans="1:43" s="74" customFormat="1">
      <c r="A137" s="802"/>
      <c r="B137" s="797">
        <v>3</v>
      </c>
      <c r="C137" s="798">
        <v>6</v>
      </c>
      <c r="D137" s="814">
        <v>132</v>
      </c>
      <c r="E137" s="800" t="s">
        <v>552</v>
      </c>
      <c r="F137" s="819">
        <v>132</v>
      </c>
      <c r="G137" s="816">
        <v>15</v>
      </c>
      <c r="H137" s="806">
        <v>0.89999999999999991</v>
      </c>
      <c r="I137" s="807">
        <v>5.0999999999999996</v>
      </c>
      <c r="J137" s="808">
        <v>2.25</v>
      </c>
      <c r="K137" s="809" t="s">
        <v>553</v>
      </c>
      <c r="L137" s="810">
        <v>6</v>
      </c>
      <c r="M137" s="810">
        <v>0.3</v>
      </c>
      <c r="N137" s="811">
        <v>0.4</v>
      </c>
      <c r="O137" s="812">
        <v>0.3</v>
      </c>
      <c r="P137" s="811">
        <v>1.2</v>
      </c>
      <c r="Q137" s="812">
        <v>0.3</v>
      </c>
      <c r="R137" s="811">
        <v>3.5</v>
      </c>
      <c r="S137" s="812">
        <v>0</v>
      </c>
      <c r="T137" s="811">
        <v>0</v>
      </c>
      <c r="U137" s="812">
        <v>0</v>
      </c>
      <c r="V137" s="811">
        <v>0</v>
      </c>
      <c r="W137" s="812">
        <v>0</v>
      </c>
      <c r="X137" s="811">
        <v>0</v>
      </c>
      <c r="Y137" s="812">
        <v>0</v>
      </c>
      <c r="Z137" s="811">
        <v>0</v>
      </c>
      <c r="AA137" s="812">
        <v>0</v>
      </c>
      <c r="AB137" s="811">
        <v>0</v>
      </c>
      <c r="AC137" s="812">
        <v>0</v>
      </c>
      <c r="AD137" s="811">
        <v>0</v>
      </c>
      <c r="AE137" s="807">
        <v>0.89999999999999991</v>
      </c>
      <c r="AF137" s="807">
        <v>5.0999999999999996</v>
      </c>
      <c r="AL137" s="813">
        <v>3</v>
      </c>
      <c r="AQ137" s="74" t="s">
        <v>553</v>
      </c>
    </row>
    <row r="138" spans="1:43" s="74" customFormat="1">
      <c r="A138" s="802"/>
      <c r="B138" s="797">
        <v>3</v>
      </c>
      <c r="C138" s="798">
        <v>10</v>
      </c>
      <c r="D138" s="803">
        <v>133</v>
      </c>
      <c r="E138" s="800" t="s">
        <v>554</v>
      </c>
      <c r="F138" s="817">
        <v>133</v>
      </c>
      <c r="G138" s="805">
        <v>15</v>
      </c>
      <c r="H138" s="806">
        <v>1.5</v>
      </c>
      <c r="I138" s="807">
        <v>8.5</v>
      </c>
      <c r="J138" s="808">
        <v>2.25</v>
      </c>
      <c r="K138" s="809" t="s">
        <v>553</v>
      </c>
      <c r="L138" s="810">
        <v>10</v>
      </c>
      <c r="M138" s="810">
        <v>0.5</v>
      </c>
      <c r="N138" s="811">
        <v>0.7</v>
      </c>
      <c r="O138" s="812">
        <v>0.5</v>
      </c>
      <c r="P138" s="811">
        <v>2.1</v>
      </c>
      <c r="Q138" s="812">
        <v>0.5</v>
      </c>
      <c r="R138" s="811">
        <v>5.7</v>
      </c>
      <c r="S138" s="812">
        <v>0</v>
      </c>
      <c r="T138" s="811">
        <v>0</v>
      </c>
      <c r="U138" s="812">
        <v>0</v>
      </c>
      <c r="V138" s="811">
        <v>0</v>
      </c>
      <c r="W138" s="812">
        <v>0</v>
      </c>
      <c r="X138" s="811">
        <v>0</v>
      </c>
      <c r="Y138" s="812">
        <v>0</v>
      </c>
      <c r="Z138" s="811">
        <v>0</v>
      </c>
      <c r="AA138" s="812">
        <v>0</v>
      </c>
      <c r="AB138" s="811">
        <v>0</v>
      </c>
      <c r="AC138" s="812">
        <v>0</v>
      </c>
      <c r="AD138" s="811">
        <v>0</v>
      </c>
      <c r="AE138" s="807">
        <v>1.5</v>
      </c>
      <c r="AF138" s="807">
        <v>8.5</v>
      </c>
      <c r="AL138" s="813">
        <v>3</v>
      </c>
      <c r="AQ138" s="74" t="s">
        <v>553</v>
      </c>
    </row>
    <row r="139" spans="1:43" s="74" customFormat="1">
      <c r="A139" s="802"/>
      <c r="B139" s="797">
        <v>3</v>
      </c>
      <c r="C139" s="798">
        <v>12</v>
      </c>
      <c r="D139" s="814">
        <v>134</v>
      </c>
      <c r="E139" s="800" t="s">
        <v>555</v>
      </c>
      <c r="F139" s="819">
        <v>134</v>
      </c>
      <c r="G139" s="816">
        <v>20</v>
      </c>
      <c r="H139" s="806">
        <v>2.4</v>
      </c>
      <c r="I139" s="807">
        <v>9.6</v>
      </c>
      <c r="J139" s="808">
        <v>3</v>
      </c>
      <c r="K139" s="809" t="s">
        <v>553</v>
      </c>
      <c r="L139" s="810">
        <v>12</v>
      </c>
      <c r="M139" s="810">
        <v>0.8</v>
      </c>
      <c r="N139" s="811">
        <v>1.2</v>
      </c>
      <c r="O139" s="812">
        <v>0.8</v>
      </c>
      <c r="P139" s="811">
        <v>2.4</v>
      </c>
      <c r="Q139" s="812">
        <v>0.8</v>
      </c>
      <c r="R139" s="811">
        <v>6</v>
      </c>
      <c r="S139" s="812">
        <v>0</v>
      </c>
      <c r="T139" s="811">
        <v>0</v>
      </c>
      <c r="U139" s="812">
        <v>0</v>
      </c>
      <c r="V139" s="811">
        <v>0</v>
      </c>
      <c r="W139" s="812">
        <v>0</v>
      </c>
      <c r="X139" s="811">
        <v>0</v>
      </c>
      <c r="Y139" s="812">
        <v>0</v>
      </c>
      <c r="Z139" s="811">
        <v>0</v>
      </c>
      <c r="AA139" s="812">
        <v>0</v>
      </c>
      <c r="AB139" s="811">
        <v>0</v>
      </c>
      <c r="AC139" s="812">
        <v>0</v>
      </c>
      <c r="AD139" s="811">
        <v>0</v>
      </c>
      <c r="AE139" s="807">
        <v>2.4</v>
      </c>
      <c r="AF139" s="807">
        <v>9.6</v>
      </c>
      <c r="AL139" s="813">
        <v>3</v>
      </c>
      <c r="AQ139" s="74" t="s">
        <v>553</v>
      </c>
    </row>
    <row r="140" spans="1:43" s="74" customFormat="1">
      <c r="A140" s="802"/>
      <c r="B140" s="797">
        <v>3</v>
      </c>
      <c r="C140" s="798">
        <v>12</v>
      </c>
      <c r="D140" s="803">
        <v>135</v>
      </c>
      <c r="E140" s="800" t="s">
        <v>556</v>
      </c>
      <c r="F140" s="817">
        <v>135</v>
      </c>
      <c r="G140" s="805">
        <v>25</v>
      </c>
      <c r="H140" s="806">
        <v>3</v>
      </c>
      <c r="I140" s="807">
        <v>9</v>
      </c>
      <c r="J140" s="808">
        <v>3.75</v>
      </c>
      <c r="K140" s="809" t="s">
        <v>553</v>
      </c>
      <c r="L140" s="810">
        <v>12</v>
      </c>
      <c r="M140" s="810">
        <v>1</v>
      </c>
      <c r="N140" s="811">
        <v>1</v>
      </c>
      <c r="O140" s="812">
        <v>1</v>
      </c>
      <c r="P140" s="811">
        <v>4</v>
      </c>
      <c r="Q140" s="812">
        <v>1</v>
      </c>
      <c r="R140" s="811">
        <v>4</v>
      </c>
      <c r="S140" s="812">
        <v>0</v>
      </c>
      <c r="T140" s="811">
        <v>0</v>
      </c>
      <c r="U140" s="812">
        <v>0</v>
      </c>
      <c r="V140" s="811">
        <v>0</v>
      </c>
      <c r="W140" s="812">
        <v>0</v>
      </c>
      <c r="X140" s="811">
        <v>0</v>
      </c>
      <c r="Y140" s="812">
        <v>0</v>
      </c>
      <c r="Z140" s="811">
        <v>0</v>
      </c>
      <c r="AA140" s="812">
        <v>0</v>
      </c>
      <c r="AB140" s="811">
        <v>0</v>
      </c>
      <c r="AC140" s="812">
        <v>0</v>
      </c>
      <c r="AD140" s="811">
        <v>0</v>
      </c>
      <c r="AE140" s="807">
        <v>3</v>
      </c>
      <c r="AF140" s="807">
        <v>9</v>
      </c>
      <c r="AL140" s="813">
        <v>3</v>
      </c>
      <c r="AQ140" s="74" t="s">
        <v>553</v>
      </c>
    </row>
    <row r="141" spans="1:43" s="74" customFormat="1">
      <c r="A141" s="802"/>
      <c r="B141" s="797">
        <v>3</v>
      </c>
      <c r="C141" s="798">
        <v>15</v>
      </c>
      <c r="D141" s="814">
        <v>136</v>
      </c>
      <c r="E141" s="800" t="s">
        <v>557</v>
      </c>
      <c r="F141" s="819">
        <v>136</v>
      </c>
      <c r="G141" s="816">
        <v>20</v>
      </c>
      <c r="H141" s="806">
        <v>3</v>
      </c>
      <c r="I141" s="807">
        <v>12</v>
      </c>
      <c r="J141" s="808">
        <v>3</v>
      </c>
      <c r="K141" s="809" t="s">
        <v>553</v>
      </c>
      <c r="L141" s="810">
        <v>15</v>
      </c>
      <c r="M141" s="810">
        <v>1</v>
      </c>
      <c r="N141" s="811">
        <v>2</v>
      </c>
      <c r="O141" s="812">
        <v>1</v>
      </c>
      <c r="P141" s="811">
        <v>5</v>
      </c>
      <c r="Q141" s="812">
        <v>1</v>
      </c>
      <c r="R141" s="811">
        <v>5</v>
      </c>
      <c r="S141" s="812">
        <v>0</v>
      </c>
      <c r="T141" s="811">
        <v>0</v>
      </c>
      <c r="U141" s="812">
        <v>0</v>
      </c>
      <c r="V141" s="811">
        <v>0</v>
      </c>
      <c r="W141" s="812">
        <v>0</v>
      </c>
      <c r="X141" s="811">
        <v>0</v>
      </c>
      <c r="Y141" s="812">
        <v>0</v>
      </c>
      <c r="Z141" s="811">
        <v>0</v>
      </c>
      <c r="AA141" s="812">
        <v>0</v>
      </c>
      <c r="AB141" s="811">
        <v>0</v>
      </c>
      <c r="AC141" s="812">
        <v>0</v>
      </c>
      <c r="AD141" s="811">
        <v>0</v>
      </c>
      <c r="AE141" s="807">
        <v>3</v>
      </c>
      <c r="AF141" s="807">
        <v>12</v>
      </c>
      <c r="AL141" s="813">
        <v>3</v>
      </c>
      <c r="AQ141" s="74" t="s">
        <v>553</v>
      </c>
    </row>
    <row r="142" spans="1:43" s="74" customFormat="1">
      <c r="A142" s="802"/>
      <c r="B142" s="797">
        <v>1</v>
      </c>
      <c r="C142" s="798">
        <v>2</v>
      </c>
      <c r="D142" s="803">
        <v>137</v>
      </c>
      <c r="E142" s="800" t="s">
        <v>558</v>
      </c>
      <c r="F142" s="804">
        <v>137</v>
      </c>
      <c r="G142" s="805">
        <v>50</v>
      </c>
      <c r="H142" s="806">
        <v>1</v>
      </c>
      <c r="I142" s="807">
        <v>1</v>
      </c>
      <c r="J142" s="808">
        <v>7.5</v>
      </c>
      <c r="K142" s="809" t="s">
        <v>559</v>
      </c>
      <c r="L142" s="810">
        <v>2</v>
      </c>
      <c r="M142" s="810">
        <v>1</v>
      </c>
      <c r="N142" s="811">
        <v>1</v>
      </c>
      <c r="O142" s="812">
        <v>0</v>
      </c>
      <c r="P142" s="811">
        <v>0</v>
      </c>
      <c r="Q142" s="812">
        <v>0</v>
      </c>
      <c r="R142" s="811">
        <v>0</v>
      </c>
      <c r="S142" s="812">
        <v>0</v>
      </c>
      <c r="T142" s="811">
        <v>0</v>
      </c>
      <c r="U142" s="812">
        <v>0</v>
      </c>
      <c r="V142" s="811">
        <v>0</v>
      </c>
      <c r="W142" s="812">
        <v>0</v>
      </c>
      <c r="X142" s="811">
        <v>0</v>
      </c>
      <c r="Y142" s="812">
        <v>0</v>
      </c>
      <c r="Z142" s="811">
        <v>0</v>
      </c>
      <c r="AA142" s="812">
        <v>0</v>
      </c>
      <c r="AB142" s="811">
        <v>0</v>
      </c>
      <c r="AC142" s="812">
        <v>0</v>
      </c>
      <c r="AD142" s="811">
        <v>0</v>
      </c>
      <c r="AE142" s="807">
        <v>1</v>
      </c>
      <c r="AF142" s="807">
        <v>1</v>
      </c>
      <c r="AL142" s="813">
        <v>1</v>
      </c>
      <c r="AQ142" s="74" t="s">
        <v>559</v>
      </c>
    </row>
    <row r="143" spans="1:43" s="74" customFormat="1">
      <c r="A143" s="802"/>
      <c r="B143" s="797">
        <v>1</v>
      </c>
      <c r="C143" s="798">
        <v>3</v>
      </c>
      <c r="D143" s="814">
        <v>138</v>
      </c>
      <c r="E143" s="800" t="s">
        <v>560</v>
      </c>
      <c r="F143" s="815">
        <v>138</v>
      </c>
      <c r="G143" s="816">
        <v>50</v>
      </c>
      <c r="H143" s="806">
        <v>1.5</v>
      </c>
      <c r="I143" s="807">
        <v>1.5</v>
      </c>
      <c r="J143" s="808">
        <v>7.5</v>
      </c>
      <c r="K143" s="809" t="s">
        <v>559</v>
      </c>
      <c r="L143" s="810">
        <v>3</v>
      </c>
      <c r="M143" s="810">
        <v>1.5</v>
      </c>
      <c r="N143" s="811">
        <v>1.5</v>
      </c>
      <c r="O143" s="812">
        <v>0</v>
      </c>
      <c r="P143" s="811">
        <v>0</v>
      </c>
      <c r="Q143" s="812">
        <v>0</v>
      </c>
      <c r="R143" s="811">
        <v>0</v>
      </c>
      <c r="S143" s="812">
        <v>0</v>
      </c>
      <c r="T143" s="811">
        <v>0</v>
      </c>
      <c r="U143" s="812">
        <v>0</v>
      </c>
      <c r="V143" s="811">
        <v>0</v>
      </c>
      <c r="W143" s="812">
        <v>0</v>
      </c>
      <c r="X143" s="811">
        <v>0</v>
      </c>
      <c r="Y143" s="812">
        <v>0</v>
      </c>
      <c r="Z143" s="811">
        <v>0</v>
      </c>
      <c r="AA143" s="812">
        <v>0</v>
      </c>
      <c r="AB143" s="811">
        <v>0</v>
      </c>
      <c r="AC143" s="812">
        <v>0</v>
      </c>
      <c r="AD143" s="811">
        <v>0</v>
      </c>
      <c r="AE143" s="807">
        <v>1.5</v>
      </c>
      <c r="AF143" s="807">
        <v>1.5</v>
      </c>
      <c r="AL143" s="813">
        <v>1</v>
      </c>
      <c r="AQ143" s="74" t="s">
        <v>559</v>
      </c>
    </row>
    <row r="144" spans="1:43" s="74" customFormat="1">
      <c r="A144" s="802"/>
      <c r="B144" s="797">
        <v>1</v>
      </c>
      <c r="C144" s="798">
        <v>4</v>
      </c>
      <c r="D144" s="803">
        <v>139</v>
      </c>
      <c r="E144" s="800" t="s">
        <v>561</v>
      </c>
      <c r="F144" s="804">
        <v>139</v>
      </c>
      <c r="G144" s="805">
        <v>50</v>
      </c>
      <c r="H144" s="806">
        <v>2</v>
      </c>
      <c r="I144" s="807">
        <v>2</v>
      </c>
      <c r="J144" s="808">
        <v>7.5</v>
      </c>
      <c r="K144" s="809" t="s">
        <v>559</v>
      </c>
      <c r="L144" s="810">
        <v>4</v>
      </c>
      <c r="M144" s="810">
        <v>2</v>
      </c>
      <c r="N144" s="811">
        <v>2</v>
      </c>
      <c r="O144" s="812">
        <v>0</v>
      </c>
      <c r="P144" s="811">
        <v>0</v>
      </c>
      <c r="Q144" s="812">
        <v>0</v>
      </c>
      <c r="R144" s="811">
        <v>0</v>
      </c>
      <c r="S144" s="812">
        <v>0</v>
      </c>
      <c r="T144" s="811">
        <v>0</v>
      </c>
      <c r="U144" s="812">
        <v>0</v>
      </c>
      <c r="V144" s="811">
        <v>0</v>
      </c>
      <c r="W144" s="812">
        <v>0</v>
      </c>
      <c r="X144" s="811">
        <v>0</v>
      </c>
      <c r="Y144" s="812">
        <v>0</v>
      </c>
      <c r="Z144" s="811">
        <v>0</v>
      </c>
      <c r="AA144" s="812">
        <v>0</v>
      </c>
      <c r="AB144" s="811">
        <v>0</v>
      </c>
      <c r="AC144" s="812">
        <v>0</v>
      </c>
      <c r="AD144" s="811">
        <v>0</v>
      </c>
      <c r="AE144" s="807">
        <v>2</v>
      </c>
      <c r="AF144" s="807">
        <v>2</v>
      </c>
      <c r="AL144" s="813">
        <v>1</v>
      </c>
      <c r="AQ144" s="74" t="s">
        <v>559</v>
      </c>
    </row>
    <row r="145" spans="1:43" s="74" customFormat="1">
      <c r="A145" s="802"/>
      <c r="B145" s="797">
        <v>1</v>
      </c>
      <c r="C145" s="798">
        <v>5</v>
      </c>
      <c r="D145" s="814">
        <v>140</v>
      </c>
      <c r="E145" s="800" t="s">
        <v>562</v>
      </c>
      <c r="F145" s="815">
        <v>140</v>
      </c>
      <c r="G145" s="816">
        <v>50</v>
      </c>
      <c r="H145" s="806">
        <v>2.5</v>
      </c>
      <c r="I145" s="807">
        <v>2.5</v>
      </c>
      <c r="J145" s="808">
        <v>7.5</v>
      </c>
      <c r="K145" s="809" t="s">
        <v>559</v>
      </c>
      <c r="L145" s="810">
        <v>5</v>
      </c>
      <c r="M145" s="810">
        <v>2.5</v>
      </c>
      <c r="N145" s="811">
        <v>2.5</v>
      </c>
      <c r="O145" s="812">
        <v>0</v>
      </c>
      <c r="P145" s="811">
        <v>0</v>
      </c>
      <c r="Q145" s="812">
        <v>0</v>
      </c>
      <c r="R145" s="811">
        <v>0</v>
      </c>
      <c r="S145" s="812">
        <v>0</v>
      </c>
      <c r="T145" s="811">
        <v>0</v>
      </c>
      <c r="U145" s="812">
        <v>0</v>
      </c>
      <c r="V145" s="811">
        <v>0</v>
      </c>
      <c r="W145" s="812">
        <v>0</v>
      </c>
      <c r="X145" s="811">
        <v>0</v>
      </c>
      <c r="Y145" s="812">
        <v>0</v>
      </c>
      <c r="Z145" s="811">
        <v>0</v>
      </c>
      <c r="AA145" s="812">
        <v>0</v>
      </c>
      <c r="AB145" s="811">
        <v>0</v>
      </c>
      <c r="AC145" s="812">
        <v>0</v>
      </c>
      <c r="AD145" s="811">
        <v>0</v>
      </c>
      <c r="AE145" s="807">
        <v>2.5</v>
      </c>
      <c r="AF145" s="807">
        <v>2.5</v>
      </c>
      <c r="AL145" s="813">
        <v>1</v>
      </c>
      <c r="AQ145" s="74" t="s">
        <v>559</v>
      </c>
    </row>
    <row r="146" spans="1:43" s="74" customFormat="1">
      <c r="A146" s="802"/>
      <c r="B146" s="797">
        <v>1</v>
      </c>
      <c r="C146" s="798">
        <v>6</v>
      </c>
      <c r="D146" s="803">
        <v>141</v>
      </c>
      <c r="E146" s="800" t="s">
        <v>563</v>
      </c>
      <c r="F146" s="804">
        <v>141</v>
      </c>
      <c r="G146" s="805">
        <v>50</v>
      </c>
      <c r="H146" s="806">
        <v>3</v>
      </c>
      <c r="I146" s="807">
        <v>3</v>
      </c>
      <c r="J146" s="808">
        <v>7.5</v>
      </c>
      <c r="K146" s="809" t="s">
        <v>559</v>
      </c>
      <c r="L146" s="810">
        <v>6</v>
      </c>
      <c r="M146" s="810">
        <v>3</v>
      </c>
      <c r="N146" s="811">
        <v>3</v>
      </c>
      <c r="O146" s="812">
        <v>0</v>
      </c>
      <c r="P146" s="811">
        <v>0</v>
      </c>
      <c r="Q146" s="812">
        <v>0</v>
      </c>
      <c r="R146" s="811">
        <v>0</v>
      </c>
      <c r="S146" s="812">
        <v>0</v>
      </c>
      <c r="T146" s="811">
        <v>0</v>
      </c>
      <c r="U146" s="812">
        <v>0</v>
      </c>
      <c r="V146" s="811">
        <v>0</v>
      </c>
      <c r="W146" s="812">
        <v>0</v>
      </c>
      <c r="X146" s="811">
        <v>0</v>
      </c>
      <c r="Y146" s="812">
        <v>0</v>
      </c>
      <c r="Z146" s="811">
        <v>0</v>
      </c>
      <c r="AA146" s="812">
        <v>0</v>
      </c>
      <c r="AB146" s="811">
        <v>0</v>
      </c>
      <c r="AC146" s="812">
        <v>0</v>
      </c>
      <c r="AD146" s="811">
        <v>0</v>
      </c>
      <c r="AE146" s="807">
        <v>3</v>
      </c>
      <c r="AF146" s="807">
        <v>3</v>
      </c>
      <c r="AL146" s="813">
        <v>1</v>
      </c>
      <c r="AQ146" s="74" t="s">
        <v>559</v>
      </c>
    </row>
    <row r="147" spans="1:43" s="74" customFormat="1">
      <c r="A147" s="802"/>
      <c r="B147" s="797">
        <v>1</v>
      </c>
      <c r="C147" s="798">
        <v>8</v>
      </c>
      <c r="D147" s="814">
        <v>142</v>
      </c>
      <c r="E147" s="800" t="s">
        <v>564</v>
      </c>
      <c r="F147" s="815">
        <v>142</v>
      </c>
      <c r="G147" s="816">
        <v>50</v>
      </c>
      <c r="H147" s="806">
        <v>4</v>
      </c>
      <c r="I147" s="807">
        <v>4</v>
      </c>
      <c r="J147" s="808">
        <v>7.5</v>
      </c>
      <c r="K147" s="809" t="s">
        <v>559</v>
      </c>
      <c r="L147" s="810">
        <v>8</v>
      </c>
      <c r="M147" s="810">
        <v>4</v>
      </c>
      <c r="N147" s="811">
        <v>4</v>
      </c>
      <c r="O147" s="812">
        <v>0</v>
      </c>
      <c r="P147" s="811">
        <v>0</v>
      </c>
      <c r="Q147" s="812">
        <v>0</v>
      </c>
      <c r="R147" s="811">
        <v>0</v>
      </c>
      <c r="S147" s="812">
        <v>0</v>
      </c>
      <c r="T147" s="811">
        <v>0</v>
      </c>
      <c r="U147" s="812">
        <v>0</v>
      </c>
      <c r="V147" s="811">
        <v>0</v>
      </c>
      <c r="W147" s="812">
        <v>0</v>
      </c>
      <c r="X147" s="811">
        <v>0</v>
      </c>
      <c r="Y147" s="812">
        <v>0</v>
      </c>
      <c r="Z147" s="811">
        <v>0</v>
      </c>
      <c r="AA147" s="812">
        <v>0</v>
      </c>
      <c r="AB147" s="811">
        <v>0</v>
      </c>
      <c r="AC147" s="812">
        <v>0</v>
      </c>
      <c r="AD147" s="811">
        <v>0</v>
      </c>
      <c r="AE147" s="807">
        <v>4</v>
      </c>
      <c r="AF147" s="807">
        <v>4</v>
      </c>
      <c r="AL147" s="813">
        <v>1</v>
      </c>
      <c r="AQ147" s="74" t="s">
        <v>559</v>
      </c>
    </row>
    <row r="148" spans="1:43" s="74" customFormat="1">
      <c r="A148" s="802"/>
      <c r="B148" s="797">
        <v>1</v>
      </c>
      <c r="C148" s="798">
        <v>10</v>
      </c>
      <c r="D148" s="803">
        <v>143</v>
      </c>
      <c r="E148" s="800" t="s">
        <v>565</v>
      </c>
      <c r="F148" s="804">
        <v>143</v>
      </c>
      <c r="G148" s="805">
        <v>50</v>
      </c>
      <c r="H148" s="806">
        <v>5</v>
      </c>
      <c r="I148" s="807">
        <v>5</v>
      </c>
      <c r="J148" s="808">
        <v>7.5</v>
      </c>
      <c r="K148" s="809" t="s">
        <v>559</v>
      </c>
      <c r="L148" s="810">
        <v>10</v>
      </c>
      <c r="M148" s="810">
        <v>5</v>
      </c>
      <c r="N148" s="811">
        <v>5</v>
      </c>
      <c r="O148" s="812">
        <v>0</v>
      </c>
      <c r="P148" s="811">
        <v>0</v>
      </c>
      <c r="Q148" s="812">
        <v>0</v>
      </c>
      <c r="R148" s="811">
        <v>0</v>
      </c>
      <c r="S148" s="812">
        <v>0</v>
      </c>
      <c r="T148" s="811">
        <v>0</v>
      </c>
      <c r="U148" s="812">
        <v>0</v>
      </c>
      <c r="V148" s="811">
        <v>0</v>
      </c>
      <c r="W148" s="812">
        <v>0</v>
      </c>
      <c r="X148" s="811">
        <v>0</v>
      </c>
      <c r="Y148" s="812">
        <v>0</v>
      </c>
      <c r="Z148" s="811">
        <v>0</v>
      </c>
      <c r="AA148" s="812">
        <v>0</v>
      </c>
      <c r="AB148" s="811">
        <v>0</v>
      </c>
      <c r="AC148" s="812">
        <v>0</v>
      </c>
      <c r="AD148" s="811">
        <v>0</v>
      </c>
      <c r="AE148" s="807">
        <v>5</v>
      </c>
      <c r="AF148" s="807">
        <v>5</v>
      </c>
      <c r="AL148" s="813">
        <v>1</v>
      </c>
      <c r="AQ148" s="74" t="s">
        <v>559</v>
      </c>
    </row>
    <row r="149" spans="1:43" s="74" customFormat="1">
      <c r="A149" s="802"/>
      <c r="B149" s="797">
        <v>1</v>
      </c>
      <c r="C149" s="798">
        <v>5</v>
      </c>
      <c r="D149" s="814">
        <v>144</v>
      </c>
      <c r="E149" s="800" t="s">
        <v>566</v>
      </c>
      <c r="F149" s="815">
        <v>144</v>
      </c>
      <c r="G149" s="816">
        <v>40</v>
      </c>
      <c r="H149" s="806">
        <v>2</v>
      </c>
      <c r="I149" s="807">
        <v>3</v>
      </c>
      <c r="J149" s="808">
        <v>6</v>
      </c>
      <c r="K149" s="809" t="s">
        <v>567</v>
      </c>
      <c r="L149" s="810">
        <v>5</v>
      </c>
      <c r="M149" s="810">
        <v>2</v>
      </c>
      <c r="N149" s="811">
        <v>3</v>
      </c>
      <c r="O149" s="812">
        <v>0</v>
      </c>
      <c r="P149" s="811">
        <v>0</v>
      </c>
      <c r="Q149" s="812">
        <v>0</v>
      </c>
      <c r="R149" s="811">
        <v>0</v>
      </c>
      <c r="S149" s="812">
        <v>0</v>
      </c>
      <c r="T149" s="811">
        <v>0</v>
      </c>
      <c r="U149" s="812">
        <v>0</v>
      </c>
      <c r="V149" s="811">
        <v>0</v>
      </c>
      <c r="W149" s="812">
        <v>0</v>
      </c>
      <c r="X149" s="811">
        <v>0</v>
      </c>
      <c r="Y149" s="812">
        <v>0</v>
      </c>
      <c r="Z149" s="811">
        <v>0</v>
      </c>
      <c r="AA149" s="812">
        <v>0</v>
      </c>
      <c r="AB149" s="811">
        <v>0</v>
      </c>
      <c r="AC149" s="812">
        <v>0</v>
      </c>
      <c r="AD149" s="811">
        <v>0</v>
      </c>
      <c r="AE149" s="807">
        <v>2</v>
      </c>
      <c r="AF149" s="807">
        <v>3</v>
      </c>
      <c r="AL149" s="813">
        <v>1</v>
      </c>
      <c r="AQ149" s="74" t="s">
        <v>567</v>
      </c>
    </row>
    <row r="150" spans="1:43" s="74" customFormat="1">
      <c r="A150" s="802"/>
      <c r="B150" s="797">
        <v>1</v>
      </c>
      <c r="C150" s="798">
        <v>6</v>
      </c>
      <c r="D150" s="803">
        <v>145</v>
      </c>
      <c r="E150" s="800" t="s">
        <v>568</v>
      </c>
      <c r="F150" s="804">
        <v>145</v>
      </c>
      <c r="G150" s="805">
        <v>33.333333333333329</v>
      </c>
      <c r="H150" s="806">
        <v>2</v>
      </c>
      <c r="I150" s="807">
        <v>4</v>
      </c>
      <c r="J150" s="808">
        <v>4.9999999999999991</v>
      </c>
      <c r="K150" s="809" t="s">
        <v>567</v>
      </c>
      <c r="L150" s="810">
        <v>6</v>
      </c>
      <c r="M150" s="810">
        <v>2</v>
      </c>
      <c r="N150" s="811">
        <v>4</v>
      </c>
      <c r="O150" s="812">
        <v>0</v>
      </c>
      <c r="P150" s="811">
        <v>0</v>
      </c>
      <c r="Q150" s="812">
        <v>0</v>
      </c>
      <c r="R150" s="811">
        <v>0</v>
      </c>
      <c r="S150" s="812">
        <v>0</v>
      </c>
      <c r="T150" s="811">
        <v>0</v>
      </c>
      <c r="U150" s="812">
        <v>0</v>
      </c>
      <c r="V150" s="811">
        <v>0</v>
      </c>
      <c r="W150" s="812">
        <v>0</v>
      </c>
      <c r="X150" s="811">
        <v>0</v>
      </c>
      <c r="Y150" s="812">
        <v>0</v>
      </c>
      <c r="Z150" s="811">
        <v>0</v>
      </c>
      <c r="AA150" s="812">
        <v>0</v>
      </c>
      <c r="AB150" s="811">
        <v>0</v>
      </c>
      <c r="AC150" s="812">
        <v>0</v>
      </c>
      <c r="AD150" s="811">
        <v>0</v>
      </c>
      <c r="AE150" s="807">
        <v>2</v>
      </c>
      <c r="AF150" s="807">
        <v>4</v>
      </c>
      <c r="AL150" s="813">
        <v>1</v>
      </c>
      <c r="AQ150" s="74" t="s">
        <v>567</v>
      </c>
    </row>
    <row r="151" spans="1:43" s="74" customFormat="1">
      <c r="A151" s="802"/>
      <c r="B151" s="797">
        <v>1</v>
      </c>
      <c r="C151" s="798">
        <v>8</v>
      </c>
      <c r="D151" s="814">
        <v>146</v>
      </c>
      <c r="E151" s="800" t="s">
        <v>569</v>
      </c>
      <c r="F151" s="815">
        <v>146</v>
      </c>
      <c r="G151" s="816">
        <v>25</v>
      </c>
      <c r="H151" s="806">
        <v>2</v>
      </c>
      <c r="I151" s="807">
        <v>6</v>
      </c>
      <c r="J151" s="808">
        <v>3.75</v>
      </c>
      <c r="K151" s="809" t="s">
        <v>567</v>
      </c>
      <c r="L151" s="810">
        <v>8</v>
      </c>
      <c r="M151" s="810">
        <v>2</v>
      </c>
      <c r="N151" s="811">
        <v>6</v>
      </c>
      <c r="O151" s="812">
        <v>0</v>
      </c>
      <c r="P151" s="811">
        <v>0</v>
      </c>
      <c r="Q151" s="812">
        <v>0</v>
      </c>
      <c r="R151" s="811">
        <v>0</v>
      </c>
      <c r="S151" s="812">
        <v>0</v>
      </c>
      <c r="T151" s="811">
        <v>0</v>
      </c>
      <c r="U151" s="812">
        <v>0</v>
      </c>
      <c r="V151" s="811">
        <v>0</v>
      </c>
      <c r="W151" s="812">
        <v>0</v>
      </c>
      <c r="X151" s="811">
        <v>0</v>
      </c>
      <c r="Y151" s="812">
        <v>0</v>
      </c>
      <c r="Z151" s="811">
        <v>0</v>
      </c>
      <c r="AA151" s="812">
        <v>0</v>
      </c>
      <c r="AB151" s="811">
        <v>0</v>
      </c>
      <c r="AC151" s="812">
        <v>0</v>
      </c>
      <c r="AD151" s="811">
        <v>0</v>
      </c>
      <c r="AE151" s="807">
        <v>2</v>
      </c>
      <c r="AF151" s="807">
        <v>6</v>
      </c>
      <c r="AL151" s="813">
        <v>1</v>
      </c>
      <c r="AQ151" s="74" t="s">
        <v>567</v>
      </c>
    </row>
    <row r="152" spans="1:43" s="74" customFormat="1">
      <c r="A152" s="802"/>
      <c r="B152" s="797">
        <v>1</v>
      </c>
      <c r="C152" s="798">
        <v>8</v>
      </c>
      <c r="D152" s="803">
        <v>147</v>
      </c>
      <c r="E152" s="800" t="s">
        <v>570</v>
      </c>
      <c r="F152" s="804">
        <v>147</v>
      </c>
      <c r="G152" s="805">
        <v>37.5</v>
      </c>
      <c r="H152" s="806">
        <v>3</v>
      </c>
      <c r="I152" s="807">
        <v>5</v>
      </c>
      <c r="J152" s="808">
        <v>5.625</v>
      </c>
      <c r="K152" s="809" t="s">
        <v>567</v>
      </c>
      <c r="L152" s="810">
        <v>8</v>
      </c>
      <c r="M152" s="810">
        <v>3</v>
      </c>
      <c r="N152" s="811">
        <v>5</v>
      </c>
      <c r="O152" s="812">
        <v>0</v>
      </c>
      <c r="P152" s="811">
        <v>0</v>
      </c>
      <c r="Q152" s="812">
        <v>0</v>
      </c>
      <c r="R152" s="811">
        <v>0</v>
      </c>
      <c r="S152" s="812">
        <v>0</v>
      </c>
      <c r="T152" s="811">
        <v>0</v>
      </c>
      <c r="U152" s="812">
        <v>0</v>
      </c>
      <c r="V152" s="811">
        <v>0</v>
      </c>
      <c r="W152" s="812">
        <v>0</v>
      </c>
      <c r="X152" s="811">
        <v>0</v>
      </c>
      <c r="Y152" s="812">
        <v>0</v>
      </c>
      <c r="Z152" s="811">
        <v>0</v>
      </c>
      <c r="AA152" s="812">
        <v>0</v>
      </c>
      <c r="AB152" s="811">
        <v>0</v>
      </c>
      <c r="AC152" s="812">
        <v>0</v>
      </c>
      <c r="AD152" s="811">
        <v>0</v>
      </c>
      <c r="AE152" s="807">
        <v>3</v>
      </c>
      <c r="AF152" s="807">
        <v>5</v>
      </c>
      <c r="AL152" s="813">
        <v>1</v>
      </c>
      <c r="AQ152" s="74" t="s">
        <v>567</v>
      </c>
    </row>
    <row r="153" spans="1:43" s="74" customFormat="1">
      <c r="A153" s="802"/>
      <c r="B153" s="797">
        <v>1</v>
      </c>
      <c r="C153" s="798">
        <v>10</v>
      </c>
      <c r="D153" s="814">
        <v>148</v>
      </c>
      <c r="E153" s="800" t="s">
        <v>571</v>
      </c>
      <c r="F153" s="815">
        <v>148</v>
      </c>
      <c r="G153" s="816">
        <v>20</v>
      </c>
      <c r="H153" s="806">
        <v>2</v>
      </c>
      <c r="I153" s="807">
        <v>8</v>
      </c>
      <c r="J153" s="808">
        <v>3</v>
      </c>
      <c r="K153" s="809" t="s">
        <v>567</v>
      </c>
      <c r="L153" s="810">
        <v>10</v>
      </c>
      <c r="M153" s="810">
        <v>2</v>
      </c>
      <c r="N153" s="811">
        <v>8</v>
      </c>
      <c r="O153" s="812">
        <v>0</v>
      </c>
      <c r="P153" s="811">
        <v>0</v>
      </c>
      <c r="Q153" s="812">
        <v>0</v>
      </c>
      <c r="R153" s="811">
        <v>0</v>
      </c>
      <c r="S153" s="812">
        <v>0</v>
      </c>
      <c r="T153" s="811">
        <v>0</v>
      </c>
      <c r="U153" s="812">
        <v>0</v>
      </c>
      <c r="V153" s="811">
        <v>0</v>
      </c>
      <c r="W153" s="812">
        <v>0</v>
      </c>
      <c r="X153" s="811">
        <v>0</v>
      </c>
      <c r="Y153" s="812">
        <v>0</v>
      </c>
      <c r="Z153" s="811">
        <v>0</v>
      </c>
      <c r="AA153" s="812">
        <v>0</v>
      </c>
      <c r="AB153" s="811">
        <v>0</v>
      </c>
      <c r="AC153" s="812">
        <v>0</v>
      </c>
      <c r="AD153" s="811">
        <v>0</v>
      </c>
      <c r="AE153" s="807">
        <v>2</v>
      </c>
      <c r="AF153" s="807">
        <v>8</v>
      </c>
      <c r="AL153" s="813">
        <v>1</v>
      </c>
      <c r="AQ153" s="74" t="s">
        <v>567</v>
      </c>
    </row>
    <row r="154" spans="1:43" s="74" customFormat="1">
      <c r="A154" s="802"/>
      <c r="B154" s="797">
        <v>1</v>
      </c>
      <c r="C154" s="798">
        <v>10</v>
      </c>
      <c r="D154" s="803">
        <v>149</v>
      </c>
      <c r="E154" s="800" t="s">
        <v>572</v>
      </c>
      <c r="F154" s="804">
        <v>149</v>
      </c>
      <c r="G154" s="805">
        <v>30</v>
      </c>
      <c r="H154" s="806">
        <v>3</v>
      </c>
      <c r="I154" s="807">
        <v>7</v>
      </c>
      <c r="J154" s="808">
        <v>4.5</v>
      </c>
      <c r="K154" s="809" t="s">
        <v>567</v>
      </c>
      <c r="L154" s="810">
        <v>10</v>
      </c>
      <c r="M154" s="810">
        <v>3</v>
      </c>
      <c r="N154" s="811">
        <v>7</v>
      </c>
      <c r="O154" s="812">
        <v>0</v>
      </c>
      <c r="P154" s="811">
        <v>0</v>
      </c>
      <c r="Q154" s="812">
        <v>0</v>
      </c>
      <c r="R154" s="811">
        <v>0</v>
      </c>
      <c r="S154" s="812">
        <v>0</v>
      </c>
      <c r="T154" s="811">
        <v>0</v>
      </c>
      <c r="U154" s="812">
        <v>0</v>
      </c>
      <c r="V154" s="811">
        <v>0</v>
      </c>
      <c r="W154" s="812">
        <v>0</v>
      </c>
      <c r="X154" s="811">
        <v>0</v>
      </c>
      <c r="Y154" s="812">
        <v>0</v>
      </c>
      <c r="Z154" s="811">
        <v>0</v>
      </c>
      <c r="AA154" s="812">
        <v>0</v>
      </c>
      <c r="AB154" s="811">
        <v>0</v>
      </c>
      <c r="AC154" s="812">
        <v>0</v>
      </c>
      <c r="AD154" s="811">
        <v>0</v>
      </c>
      <c r="AE154" s="807">
        <v>3</v>
      </c>
      <c r="AF154" s="807">
        <v>7</v>
      </c>
      <c r="AL154" s="813">
        <v>1</v>
      </c>
      <c r="AQ154" s="74" t="s">
        <v>567</v>
      </c>
    </row>
    <row r="155" spans="1:43" s="74" customFormat="1">
      <c r="A155" s="802"/>
      <c r="B155" s="797">
        <v>1</v>
      </c>
      <c r="C155" s="798">
        <v>10</v>
      </c>
      <c r="D155" s="814">
        <v>150</v>
      </c>
      <c r="E155" s="800" t="s">
        <v>573</v>
      </c>
      <c r="F155" s="815">
        <v>150</v>
      </c>
      <c r="G155" s="816">
        <v>40</v>
      </c>
      <c r="H155" s="806">
        <v>4</v>
      </c>
      <c r="I155" s="807">
        <v>6</v>
      </c>
      <c r="J155" s="808">
        <v>6</v>
      </c>
      <c r="K155" s="809" t="s">
        <v>567</v>
      </c>
      <c r="L155" s="810">
        <v>10</v>
      </c>
      <c r="M155" s="810">
        <v>4</v>
      </c>
      <c r="N155" s="811">
        <v>6</v>
      </c>
      <c r="O155" s="812">
        <v>0</v>
      </c>
      <c r="P155" s="811">
        <v>0</v>
      </c>
      <c r="Q155" s="812">
        <v>0</v>
      </c>
      <c r="R155" s="811">
        <v>0</v>
      </c>
      <c r="S155" s="812">
        <v>0</v>
      </c>
      <c r="T155" s="811">
        <v>0</v>
      </c>
      <c r="U155" s="812">
        <v>0</v>
      </c>
      <c r="V155" s="811">
        <v>0</v>
      </c>
      <c r="W155" s="812">
        <v>0</v>
      </c>
      <c r="X155" s="811">
        <v>0</v>
      </c>
      <c r="Y155" s="812">
        <v>0</v>
      </c>
      <c r="Z155" s="811">
        <v>0</v>
      </c>
      <c r="AA155" s="812">
        <v>0</v>
      </c>
      <c r="AB155" s="811">
        <v>0</v>
      </c>
      <c r="AC155" s="812">
        <v>0</v>
      </c>
      <c r="AD155" s="811">
        <v>0</v>
      </c>
      <c r="AE155" s="807">
        <v>4</v>
      </c>
      <c r="AF155" s="807">
        <v>6</v>
      </c>
      <c r="AL155" s="813">
        <v>1</v>
      </c>
      <c r="AQ155" s="74" t="s">
        <v>567</v>
      </c>
    </row>
    <row r="156" spans="1:43" s="74" customFormat="1">
      <c r="A156" s="802"/>
      <c r="B156" s="797">
        <v>1</v>
      </c>
      <c r="C156" s="798">
        <v>12</v>
      </c>
      <c r="D156" s="803">
        <v>151</v>
      </c>
      <c r="E156" s="800" t="s">
        <v>574</v>
      </c>
      <c r="F156" s="804">
        <v>151</v>
      </c>
      <c r="G156" s="805">
        <v>16.666666666666661</v>
      </c>
      <c r="H156" s="806">
        <v>2</v>
      </c>
      <c r="I156" s="807">
        <v>10</v>
      </c>
      <c r="J156" s="808">
        <v>2.5</v>
      </c>
      <c r="K156" s="809" t="s">
        <v>567</v>
      </c>
      <c r="L156" s="810">
        <v>12</v>
      </c>
      <c r="M156" s="810">
        <v>2</v>
      </c>
      <c r="N156" s="811">
        <v>10</v>
      </c>
      <c r="O156" s="812">
        <v>0</v>
      </c>
      <c r="P156" s="811">
        <v>0</v>
      </c>
      <c r="Q156" s="812">
        <v>0</v>
      </c>
      <c r="R156" s="811">
        <v>0</v>
      </c>
      <c r="S156" s="812">
        <v>0</v>
      </c>
      <c r="T156" s="811">
        <v>0</v>
      </c>
      <c r="U156" s="812">
        <v>0</v>
      </c>
      <c r="V156" s="811">
        <v>0</v>
      </c>
      <c r="W156" s="812">
        <v>0</v>
      </c>
      <c r="X156" s="811">
        <v>0</v>
      </c>
      <c r="Y156" s="812">
        <v>0</v>
      </c>
      <c r="Z156" s="811">
        <v>0</v>
      </c>
      <c r="AA156" s="812">
        <v>0</v>
      </c>
      <c r="AB156" s="811">
        <v>0</v>
      </c>
      <c r="AC156" s="812">
        <v>0</v>
      </c>
      <c r="AD156" s="811">
        <v>0</v>
      </c>
      <c r="AE156" s="807">
        <v>2</v>
      </c>
      <c r="AF156" s="807">
        <v>10</v>
      </c>
      <c r="AL156" s="813">
        <v>1</v>
      </c>
      <c r="AQ156" s="74" t="s">
        <v>567</v>
      </c>
    </row>
    <row r="157" spans="1:43" s="74" customFormat="1">
      <c r="A157" s="802"/>
      <c r="B157" s="797">
        <v>1</v>
      </c>
      <c r="C157" s="798">
        <v>15</v>
      </c>
      <c r="D157" s="814">
        <v>152</v>
      </c>
      <c r="E157" s="800" t="s">
        <v>575</v>
      </c>
      <c r="F157" s="815">
        <v>152</v>
      </c>
      <c r="G157" s="816">
        <v>26.666666666666671</v>
      </c>
      <c r="H157" s="806">
        <v>4</v>
      </c>
      <c r="I157" s="807">
        <v>11</v>
      </c>
      <c r="J157" s="808">
        <v>4</v>
      </c>
      <c r="K157" s="809" t="s">
        <v>567</v>
      </c>
      <c r="L157" s="810">
        <v>15</v>
      </c>
      <c r="M157" s="810">
        <v>4</v>
      </c>
      <c r="N157" s="811">
        <v>11</v>
      </c>
      <c r="O157" s="812">
        <v>0</v>
      </c>
      <c r="P157" s="811">
        <v>0</v>
      </c>
      <c r="Q157" s="812">
        <v>0</v>
      </c>
      <c r="R157" s="811">
        <v>0</v>
      </c>
      <c r="S157" s="812">
        <v>0</v>
      </c>
      <c r="T157" s="811">
        <v>0</v>
      </c>
      <c r="U157" s="812">
        <v>0</v>
      </c>
      <c r="V157" s="811">
        <v>0</v>
      </c>
      <c r="W157" s="812">
        <v>0</v>
      </c>
      <c r="X157" s="811">
        <v>0</v>
      </c>
      <c r="Y157" s="812">
        <v>0</v>
      </c>
      <c r="Z157" s="811">
        <v>0</v>
      </c>
      <c r="AA157" s="812">
        <v>0</v>
      </c>
      <c r="AB157" s="811">
        <v>0</v>
      </c>
      <c r="AC157" s="812">
        <v>0</v>
      </c>
      <c r="AD157" s="811">
        <v>0</v>
      </c>
      <c r="AE157" s="807">
        <v>4</v>
      </c>
      <c r="AF157" s="807">
        <v>11</v>
      </c>
      <c r="AL157" s="813">
        <v>1</v>
      </c>
      <c r="AQ157" s="74" t="s">
        <v>567</v>
      </c>
    </row>
    <row r="158" spans="1:43" s="74" customFormat="1">
      <c r="A158" s="802"/>
      <c r="B158" s="797">
        <v>2</v>
      </c>
      <c r="C158" s="798">
        <v>6</v>
      </c>
      <c r="D158" s="797">
        <v>153</v>
      </c>
      <c r="E158" s="800" t="s">
        <v>576</v>
      </c>
      <c r="F158" s="817">
        <v>153</v>
      </c>
      <c r="G158" s="805">
        <v>21.666666666666671</v>
      </c>
      <c r="H158" s="806">
        <v>1.3</v>
      </c>
      <c r="I158" s="807">
        <v>4.6999999999999993</v>
      </c>
      <c r="J158" s="808">
        <v>3.25</v>
      </c>
      <c r="K158" s="809" t="s">
        <v>577</v>
      </c>
      <c r="L158" s="810">
        <v>6</v>
      </c>
      <c r="M158" s="810">
        <v>0.3</v>
      </c>
      <c r="N158" s="811">
        <v>0.6</v>
      </c>
      <c r="O158" s="812">
        <v>1</v>
      </c>
      <c r="P158" s="811">
        <v>4.0999999999999996</v>
      </c>
      <c r="Q158" s="812">
        <v>0</v>
      </c>
      <c r="R158" s="811">
        <v>0</v>
      </c>
      <c r="S158" s="812">
        <v>0</v>
      </c>
      <c r="T158" s="811">
        <v>0</v>
      </c>
      <c r="U158" s="812">
        <v>0</v>
      </c>
      <c r="V158" s="811">
        <v>0</v>
      </c>
      <c r="W158" s="812">
        <v>0</v>
      </c>
      <c r="X158" s="811">
        <v>0</v>
      </c>
      <c r="Y158" s="812">
        <v>0</v>
      </c>
      <c r="Z158" s="811">
        <v>0</v>
      </c>
      <c r="AA158" s="812">
        <v>0</v>
      </c>
      <c r="AB158" s="811">
        <v>0</v>
      </c>
      <c r="AC158" s="812">
        <v>0</v>
      </c>
      <c r="AD158" s="811">
        <v>0</v>
      </c>
      <c r="AE158" s="807">
        <v>1.3</v>
      </c>
      <c r="AF158" s="807">
        <v>4.6999999999999993</v>
      </c>
      <c r="AL158" s="813">
        <v>2</v>
      </c>
      <c r="AQ158" s="74" t="s">
        <v>577</v>
      </c>
    </row>
    <row r="159" spans="1:43" s="74" customFormat="1">
      <c r="A159" s="802"/>
      <c r="B159" s="797">
        <v>2</v>
      </c>
      <c r="C159" s="798">
        <v>8</v>
      </c>
      <c r="D159" s="818">
        <v>154</v>
      </c>
      <c r="E159" s="800" t="s">
        <v>578</v>
      </c>
      <c r="F159" s="819">
        <v>154</v>
      </c>
      <c r="G159" s="816">
        <v>30</v>
      </c>
      <c r="H159" s="806">
        <v>2.4</v>
      </c>
      <c r="I159" s="807">
        <v>5.6</v>
      </c>
      <c r="J159" s="808">
        <v>4.5</v>
      </c>
      <c r="K159" s="809" t="s">
        <v>577</v>
      </c>
      <c r="L159" s="810">
        <v>8</v>
      </c>
      <c r="M159" s="810">
        <v>0.4</v>
      </c>
      <c r="N159" s="811">
        <v>0.6</v>
      </c>
      <c r="O159" s="812">
        <v>2</v>
      </c>
      <c r="P159" s="811">
        <v>5</v>
      </c>
      <c r="Q159" s="812">
        <v>0</v>
      </c>
      <c r="R159" s="811">
        <v>0</v>
      </c>
      <c r="S159" s="812">
        <v>0</v>
      </c>
      <c r="T159" s="811">
        <v>0</v>
      </c>
      <c r="U159" s="812">
        <v>0</v>
      </c>
      <c r="V159" s="811">
        <v>0</v>
      </c>
      <c r="W159" s="812">
        <v>0</v>
      </c>
      <c r="X159" s="811">
        <v>0</v>
      </c>
      <c r="Y159" s="812">
        <v>0</v>
      </c>
      <c r="Z159" s="811">
        <v>0</v>
      </c>
      <c r="AA159" s="812">
        <v>0</v>
      </c>
      <c r="AB159" s="811">
        <v>0</v>
      </c>
      <c r="AC159" s="812">
        <v>0</v>
      </c>
      <c r="AD159" s="811">
        <v>0</v>
      </c>
      <c r="AE159" s="807">
        <v>2.4</v>
      </c>
      <c r="AF159" s="807">
        <v>5.6</v>
      </c>
      <c r="AL159" s="813">
        <v>2</v>
      </c>
      <c r="AQ159" s="74" t="s">
        <v>577</v>
      </c>
    </row>
    <row r="160" spans="1:43" s="74" customFormat="1">
      <c r="A160" s="802"/>
      <c r="B160" s="797">
        <v>2</v>
      </c>
      <c r="C160" s="798">
        <v>8</v>
      </c>
      <c r="D160" s="797">
        <v>155</v>
      </c>
      <c r="E160" s="800" t="s">
        <v>579</v>
      </c>
      <c r="F160" s="817">
        <v>155</v>
      </c>
      <c r="G160" s="805">
        <v>40</v>
      </c>
      <c r="H160" s="806">
        <v>3.2</v>
      </c>
      <c r="I160" s="807">
        <v>4.8</v>
      </c>
      <c r="J160" s="808">
        <v>6</v>
      </c>
      <c r="K160" s="809" t="s">
        <v>577</v>
      </c>
      <c r="L160" s="810">
        <v>8</v>
      </c>
      <c r="M160" s="810">
        <v>0.8</v>
      </c>
      <c r="N160" s="811">
        <v>1.2</v>
      </c>
      <c r="O160" s="812">
        <v>2.4</v>
      </c>
      <c r="P160" s="811">
        <v>3.6</v>
      </c>
      <c r="Q160" s="812">
        <v>0</v>
      </c>
      <c r="R160" s="811">
        <v>0</v>
      </c>
      <c r="S160" s="812">
        <v>0</v>
      </c>
      <c r="T160" s="811">
        <v>0</v>
      </c>
      <c r="U160" s="812">
        <v>0</v>
      </c>
      <c r="V160" s="811">
        <v>0</v>
      </c>
      <c r="W160" s="812">
        <v>0</v>
      </c>
      <c r="X160" s="811">
        <v>0</v>
      </c>
      <c r="Y160" s="812">
        <v>0</v>
      </c>
      <c r="Z160" s="811">
        <v>0</v>
      </c>
      <c r="AA160" s="812">
        <v>0</v>
      </c>
      <c r="AB160" s="811">
        <v>0</v>
      </c>
      <c r="AC160" s="812">
        <v>0</v>
      </c>
      <c r="AD160" s="811">
        <v>0</v>
      </c>
      <c r="AE160" s="807">
        <v>3.2</v>
      </c>
      <c r="AF160" s="807">
        <v>4.8</v>
      </c>
      <c r="AL160" s="813">
        <v>2</v>
      </c>
      <c r="AQ160" s="74" t="s">
        <v>577</v>
      </c>
    </row>
    <row r="161" spans="1:43" s="74" customFormat="1">
      <c r="A161" s="802"/>
      <c r="B161" s="797">
        <v>2</v>
      </c>
      <c r="C161" s="798">
        <v>10</v>
      </c>
      <c r="D161" s="818">
        <v>156</v>
      </c>
      <c r="E161" s="800" t="s">
        <v>580</v>
      </c>
      <c r="F161" s="819">
        <v>156</v>
      </c>
      <c r="G161" s="816">
        <v>20</v>
      </c>
      <c r="H161" s="806">
        <v>2</v>
      </c>
      <c r="I161" s="807">
        <v>8</v>
      </c>
      <c r="J161" s="808">
        <v>3</v>
      </c>
      <c r="K161" s="809" t="s">
        <v>577</v>
      </c>
      <c r="L161" s="810">
        <v>10</v>
      </c>
      <c r="M161" s="810">
        <v>0.5</v>
      </c>
      <c r="N161" s="811">
        <v>0.5</v>
      </c>
      <c r="O161" s="812">
        <v>1.5</v>
      </c>
      <c r="P161" s="811">
        <v>7.5</v>
      </c>
      <c r="Q161" s="812">
        <v>0</v>
      </c>
      <c r="R161" s="811">
        <v>0</v>
      </c>
      <c r="S161" s="812">
        <v>0</v>
      </c>
      <c r="T161" s="811">
        <v>0</v>
      </c>
      <c r="U161" s="812">
        <v>0</v>
      </c>
      <c r="V161" s="811">
        <v>0</v>
      </c>
      <c r="W161" s="812">
        <v>0</v>
      </c>
      <c r="X161" s="811">
        <v>0</v>
      </c>
      <c r="Y161" s="812">
        <v>0</v>
      </c>
      <c r="Z161" s="811">
        <v>0</v>
      </c>
      <c r="AA161" s="812">
        <v>0</v>
      </c>
      <c r="AB161" s="811">
        <v>0</v>
      </c>
      <c r="AC161" s="812">
        <v>0</v>
      </c>
      <c r="AD161" s="811">
        <v>0</v>
      </c>
      <c r="AE161" s="807">
        <v>2</v>
      </c>
      <c r="AF161" s="807">
        <v>8</v>
      </c>
      <c r="AL161" s="813">
        <v>2</v>
      </c>
      <c r="AQ161" s="74" t="s">
        <v>577</v>
      </c>
    </row>
    <row r="162" spans="1:43" s="74" customFormat="1">
      <c r="A162" s="802"/>
      <c r="B162" s="797">
        <v>2</v>
      </c>
      <c r="C162" s="798">
        <v>15</v>
      </c>
      <c r="D162" s="797">
        <v>157</v>
      </c>
      <c r="E162" s="800" t="s">
        <v>581</v>
      </c>
      <c r="F162" s="817">
        <v>157</v>
      </c>
      <c r="G162" s="805">
        <v>16.666666666666661</v>
      </c>
      <c r="H162" s="806">
        <v>2.5</v>
      </c>
      <c r="I162" s="807">
        <v>12.5</v>
      </c>
      <c r="J162" s="808">
        <v>2.5</v>
      </c>
      <c r="K162" s="809" t="s">
        <v>577</v>
      </c>
      <c r="L162" s="810">
        <v>15</v>
      </c>
      <c r="M162" s="810">
        <v>0.5</v>
      </c>
      <c r="N162" s="811">
        <v>1.5</v>
      </c>
      <c r="O162" s="812">
        <v>2</v>
      </c>
      <c r="P162" s="811">
        <v>11</v>
      </c>
      <c r="Q162" s="812">
        <v>0</v>
      </c>
      <c r="R162" s="811">
        <v>0</v>
      </c>
      <c r="S162" s="812">
        <v>0</v>
      </c>
      <c r="T162" s="811">
        <v>0</v>
      </c>
      <c r="U162" s="812">
        <v>0</v>
      </c>
      <c r="V162" s="811">
        <v>0</v>
      </c>
      <c r="W162" s="812">
        <v>0</v>
      </c>
      <c r="X162" s="811">
        <v>0</v>
      </c>
      <c r="Y162" s="812">
        <v>0</v>
      </c>
      <c r="Z162" s="811">
        <v>0</v>
      </c>
      <c r="AA162" s="812">
        <v>0</v>
      </c>
      <c r="AB162" s="811">
        <v>0</v>
      </c>
      <c r="AC162" s="812">
        <v>0</v>
      </c>
      <c r="AD162" s="811">
        <v>0</v>
      </c>
      <c r="AE162" s="807">
        <v>2.5</v>
      </c>
      <c r="AF162" s="807">
        <v>12.5</v>
      </c>
      <c r="AL162" s="813">
        <v>2</v>
      </c>
      <c r="AQ162" s="74" t="s">
        <v>577</v>
      </c>
    </row>
    <row r="163" spans="1:43" s="74" customFormat="1">
      <c r="A163" s="802"/>
      <c r="B163" s="797">
        <v>4</v>
      </c>
      <c r="C163" s="798">
        <v>15</v>
      </c>
      <c r="D163" s="814">
        <v>158</v>
      </c>
      <c r="E163" s="800" t="s">
        <v>582</v>
      </c>
      <c r="F163" s="819">
        <v>158</v>
      </c>
      <c r="G163" s="816">
        <v>20</v>
      </c>
      <c r="H163" s="806">
        <v>3</v>
      </c>
      <c r="I163" s="807">
        <v>12</v>
      </c>
      <c r="J163" s="808">
        <v>3</v>
      </c>
      <c r="K163" s="809" t="s">
        <v>583</v>
      </c>
      <c r="L163" s="810">
        <v>15</v>
      </c>
      <c r="M163" s="810">
        <v>1.5</v>
      </c>
      <c r="N163" s="811">
        <v>0.5</v>
      </c>
      <c r="O163" s="812">
        <v>0.5</v>
      </c>
      <c r="P163" s="811">
        <v>0.5</v>
      </c>
      <c r="Q163" s="812">
        <v>0.5</v>
      </c>
      <c r="R163" s="811">
        <v>0.5</v>
      </c>
      <c r="S163" s="812">
        <v>0.5</v>
      </c>
      <c r="T163" s="811">
        <v>10.5</v>
      </c>
      <c r="U163" s="812">
        <v>0</v>
      </c>
      <c r="V163" s="811">
        <v>0</v>
      </c>
      <c r="W163" s="812">
        <v>0</v>
      </c>
      <c r="X163" s="811">
        <v>0</v>
      </c>
      <c r="Y163" s="812">
        <v>0</v>
      </c>
      <c r="Z163" s="811">
        <v>0</v>
      </c>
      <c r="AA163" s="812">
        <v>0</v>
      </c>
      <c r="AB163" s="811">
        <v>0</v>
      </c>
      <c r="AC163" s="812">
        <v>0</v>
      </c>
      <c r="AD163" s="811">
        <v>0</v>
      </c>
      <c r="AE163" s="807">
        <v>3</v>
      </c>
      <c r="AF163" s="807">
        <v>12</v>
      </c>
      <c r="AL163" s="813">
        <v>4</v>
      </c>
      <c r="AQ163" s="74" t="s">
        <v>583</v>
      </c>
    </row>
    <row r="164" spans="1:43" s="74" customFormat="1">
      <c r="A164" s="802"/>
      <c r="B164" s="797">
        <v>3</v>
      </c>
      <c r="C164" s="798">
        <v>10</v>
      </c>
      <c r="D164" s="803">
        <v>159</v>
      </c>
      <c r="E164" s="800" t="s">
        <v>584</v>
      </c>
      <c r="F164" s="817">
        <v>159</v>
      </c>
      <c r="G164" s="805">
        <v>70</v>
      </c>
      <c r="H164" s="806">
        <v>7</v>
      </c>
      <c r="I164" s="807">
        <v>3</v>
      </c>
      <c r="J164" s="808">
        <v>10.5</v>
      </c>
      <c r="K164" s="809" t="s">
        <v>585</v>
      </c>
      <c r="L164" s="810">
        <v>10</v>
      </c>
      <c r="M164" s="810">
        <v>5</v>
      </c>
      <c r="N164" s="811">
        <v>1</v>
      </c>
      <c r="O164" s="812">
        <v>1</v>
      </c>
      <c r="P164" s="811">
        <v>1</v>
      </c>
      <c r="Q164" s="812">
        <v>1</v>
      </c>
      <c r="R164" s="811">
        <v>1</v>
      </c>
      <c r="S164" s="812">
        <v>0</v>
      </c>
      <c r="T164" s="811">
        <v>0</v>
      </c>
      <c r="U164" s="812">
        <v>0</v>
      </c>
      <c r="V164" s="811">
        <v>0</v>
      </c>
      <c r="W164" s="812">
        <v>0</v>
      </c>
      <c r="X164" s="811">
        <v>0</v>
      </c>
      <c r="Y164" s="812">
        <v>0</v>
      </c>
      <c r="Z164" s="811">
        <v>0</v>
      </c>
      <c r="AA164" s="812">
        <v>0</v>
      </c>
      <c r="AB164" s="811">
        <v>0</v>
      </c>
      <c r="AC164" s="812">
        <v>0</v>
      </c>
      <c r="AD164" s="811">
        <v>0</v>
      </c>
      <c r="AE164" s="807">
        <v>7</v>
      </c>
      <c r="AF164" s="807">
        <v>3</v>
      </c>
      <c r="AL164" s="813">
        <v>3</v>
      </c>
      <c r="AQ164" s="74" t="s">
        <v>585</v>
      </c>
    </row>
    <row r="165" spans="1:43" s="74" customFormat="1">
      <c r="A165" s="802"/>
      <c r="B165" s="797">
        <v>2</v>
      </c>
      <c r="C165" s="798">
        <v>8</v>
      </c>
      <c r="D165" s="818">
        <v>160</v>
      </c>
      <c r="E165" s="800" t="s">
        <v>586</v>
      </c>
      <c r="F165" s="819">
        <v>160</v>
      </c>
      <c r="G165" s="816">
        <v>75</v>
      </c>
      <c r="H165" s="806">
        <v>6</v>
      </c>
      <c r="I165" s="807">
        <v>2</v>
      </c>
      <c r="J165" s="808">
        <v>11.25</v>
      </c>
      <c r="K165" s="809" t="s">
        <v>587</v>
      </c>
      <c r="L165" s="810">
        <v>8</v>
      </c>
      <c r="M165" s="810">
        <v>5</v>
      </c>
      <c r="N165" s="811">
        <v>1</v>
      </c>
      <c r="O165" s="812">
        <v>1</v>
      </c>
      <c r="P165" s="811">
        <v>1</v>
      </c>
      <c r="Q165" s="812">
        <v>0</v>
      </c>
      <c r="R165" s="811">
        <v>0</v>
      </c>
      <c r="S165" s="812">
        <v>0</v>
      </c>
      <c r="T165" s="811">
        <v>0</v>
      </c>
      <c r="U165" s="812">
        <v>0</v>
      </c>
      <c r="V165" s="811">
        <v>0</v>
      </c>
      <c r="W165" s="812">
        <v>0</v>
      </c>
      <c r="X165" s="811">
        <v>0</v>
      </c>
      <c r="Y165" s="812">
        <v>0</v>
      </c>
      <c r="Z165" s="811">
        <v>0</v>
      </c>
      <c r="AA165" s="812">
        <v>0</v>
      </c>
      <c r="AB165" s="811">
        <v>0</v>
      </c>
      <c r="AC165" s="812">
        <v>0</v>
      </c>
      <c r="AD165" s="811">
        <v>0</v>
      </c>
      <c r="AE165" s="807">
        <v>6</v>
      </c>
      <c r="AF165" s="807">
        <v>2</v>
      </c>
      <c r="AL165" s="813">
        <v>2</v>
      </c>
      <c r="AQ165" s="74" t="s">
        <v>587</v>
      </c>
    </row>
    <row r="166" spans="1:43" s="74" customFormat="1">
      <c r="A166" s="802"/>
      <c r="B166" s="797">
        <v>3</v>
      </c>
      <c r="C166" s="798">
        <v>10</v>
      </c>
      <c r="D166" s="803">
        <v>161</v>
      </c>
      <c r="E166" s="800" t="s">
        <v>588</v>
      </c>
      <c r="F166" s="817">
        <v>161</v>
      </c>
      <c r="G166" s="805">
        <v>10</v>
      </c>
      <c r="H166" s="806">
        <v>1</v>
      </c>
      <c r="I166" s="807">
        <v>9</v>
      </c>
      <c r="J166" s="808">
        <v>1.5</v>
      </c>
      <c r="K166" s="809" t="s">
        <v>589</v>
      </c>
      <c r="L166" s="810">
        <v>10</v>
      </c>
      <c r="M166" s="810">
        <v>0.2</v>
      </c>
      <c r="N166" s="811">
        <v>0.8</v>
      </c>
      <c r="O166" s="812">
        <v>0.2</v>
      </c>
      <c r="P166" s="811">
        <v>0.8</v>
      </c>
      <c r="Q166" s="812">
        <v>0.6</v>
      </c>
      <c r="R166" s="811">
        <v>7.4</v>
      </c>
      <c r="S166" s="812">
        <v>0</v>
      </c>
      <c r="T166" s="811">
        <v>0</v>
      </c>
      <c r="U166" s="812">
        <v>0</v>
      </c>
      <c r="V166" s="811">
        <v>0</v>
      </c>
      <c r="W166" s="812">
        <v>0</v>
      </c>
      <c r="X166" s="811">
        <v>0</v>
      </c>
      <c r="Y166" s="812">
        <v>0</v>
      </c>
      <c r="Z166" s="811">
        <v>0</v>
      </c>
      <c r="AA166" s="812">
        <v>0</v>
      </c>
      <c r="AB166" s="811">
        <v>0</v>
      </c>
      <c r="AC166" s="812">
        <v>0</v>
      </c>
      <c r="AD166" s="811">
        <v>0</v>
      </c>
      <c r="AE166" s="807">
        <v>1</v>
      </c>
      <c r="AF166" s="807">
        <v>9</v>
      </c>
      <c r="AL166" s="813">
        <v>3</v>
      </c>
      <c r="AQ166" s="74" t="s">
        <v>589</v>
      </c>
    </row>
    <row r="167" spans="1:43" s="74" customFormat="1">
      <c r="A167" s="802"/>
      <c r="B167" s="797">
        <v>3</v>
      </c>
      <c r="C167" s="798">
        <v>10</v>
      </c>
      <c r="D167" s="814">
        <v>162</v>
      </c>
      <c r="E167" s="800" t="s">
        <v>590</v>
      </c>
      <c r="F167" s="819">
        <v>162</v>
      </c>
      <c r="G167" s="816">
        <v>15</v>
      </c>
      <c r="H167" s="806">
        <v>1.5</v>
      </c>
      <c r="I167" s="807">
        <v>8.5</v>
      </c>
      <c r="J167" s="808">
        <v>2.25</v>
      </c>
      <c r="K167" s="809" t="s">
        <v>589</v>
      </c>
      <c r="L167" s="810">
        <v>10</v>
      </c>
      <c r="M167" s="810">
        <v>0.3</v>
      </c>
      <c r="N167" s="811">
        <v>0.7</v>
      </c>
      <c r="O167" s="812">
        <v>0.3</v>
      </c>
      <c r="P167" s="811">
        <v>0.7</v>
      </c>
      <c r="Q167" s="812">
        <v>0.9</v>
      </c>
      <c r="R167" s="811">
        <v>7.1</v>
      </c>
      <c r="S167" s="812">
        <v>0</v>
      </c>
      <c r="T167" s="811">
        <v>0</v>
      </c>
      <c r="U167" s="812">
        <v>0</v>
      </c>
      <c r="V167" s="811">
        <v>0</v>
      </c>
      <c r="W167" s="812">
        <v>0</v>
      </c>
      <c r="X167" s="811">
        <v>0</v>
      </c>
      <c r="Y167" s="812">
        <v>0</v>
      </c>
      <c r="Z167" s="811">
        <v>0</v>
      </c>
      <c r="AA167" s="812">
        <v>0</v>
      </c>
      <c r="AB167" s="811">
        <v>0</v>
      </c>
      <c r="AC167" s="812">
        <v>0</v>
      </c>
      <c r="AD167" s="811">
        <v>0</v>
      </c>
      <c r="AE167" s="807">
        <v>1.5</v>
      </c>
      <c r="AF167" s="807">
        <v>8.5</v>
      </c>
      <c r="AL167" s="813">
        <v>3</v>
      </c>
      <c r="AQ167" s="74" t="s">
        <v>589</v>
      </c>
    </row>
    <row r="168" spans="1:43" s="74" customFormat="1">
      <c r="A168" s="802"/>
      <c r="B168" s="797">
        <v>3</v>
      </c>
      <c r="C168" s="798">
        <v>10</v>
      </c>
      <c r="D168" s="803">
        <v>163</v>
      </c>
      <c r="E168" s="800" t="s">
        <v>591</v>
      </c>
      <c r="F168" s="817">
        <v>163</v>
      </c>
      <c r="G168" s="805">
        <v>20</v>
      </c>
      <c r="H168" s="806">
        <v>2</v>
      </c>
      <c r="I168" s="807">
        <v>8</v>
      </c>
      <c r="J168" s="808">
        <v>3</v>
      </c>
      <c r="K168" s="809" t="s">
        <v>589</v>
      </c>
      <c r="L168" s="810">
        <v>10</v>
      </c>
      <c r="M168" s="810">
        <v>0.4</v>
      </c>
      <c r="N168" s="811">
        <v>0.6</v>
      </c>
      <c r="O168" s="812">
        <v>0.4</v>
      </c>
      <c r="P168" s="811">
        <v>0.6</v>
      </c>
      <c r="Q168" s="812">
        <v>1.2</v>
      </c>
      <c r="R168" s="811">
        <v>6.8</v>
      </c>
      <c r="S168" s="812">
        <v>0</v>
      </c>
      <c r="T168" s="811">
        <v>0</v>
      </c>
      <c r="U168" s="812">
        <v>0</v>
      </c>
      <c r="V168" s="811">
        <v>0</v>
      </c>
      <c r="W168" s="812">
        <v>0</v>
      </c>
      <c r="X168" s="811">
        <v>0</v>
      </c>
      <c r="Y168" s="812">
        <v>0</v>
      </c>
      <c r="Z168" s="811">
        <v>0</v>
      </c>
      <c r="AA168" s="812">
        <v>0</v>
      </c>
      <c r="AB168" s="811">
        <v>0</v>
      </c>
      <c r="AC168" s="812">
        <v>0</v>
      </c>
      <c r="AD168" s="811">
        <v>0</v>
      </c>
      <c r="AE168" s="807">
        <v>2</v>
      </c>
      <c r="AF168" s="807">
        <v>8</v>
      </c>
      <c r="AL168" s="813">
        <v>3</v>
      </c>
      <c r="AQ168" s="74" t="s">
        <v>589</v>
      </c>
    </row>
    <row r="169" spans="1:43" s="74" customFormat="1">
      <c r="A169" s="802"/>
      <c r="B169" s="797">
        <v>3</v>
      </c>
      <c r="C169" s="798">
        <v>10</v>
      </c>
      <c r="D169" s="814">
        <v>164</v>
      </c>
      <c r="E169" s="800" t="s">
        <v>592</v>
      </c>
      <c r="F169" s="819">
        <v>164</v>
      </c>
      <c r="G169" s="816">
        <v>25</v>
      </c>
      <c r="H169" s="806">
        <v>2.5</v>
      </c>
      <c r="I169" s="807">
        <v>7.5</v>
      </c>
      <c r="J169" s="808">
        <v>3.75</v>
      </c>
      <c r="K169" s="809" t="s">
        <v>589</v>
      </c>
      <c r="L169" s="810">
        <v>10</v>
      </c>
      <c r="M169" s="810">
        <v>0.5</v>
      </c>
      <c r="N169" s="811">
        <v>0.5</v>
      </c>
      <c r="O169" s="812">
        <v>0.5</v>
      </c>
      <c r="P169" s="811">
        <v>0.5</v>
      </c>
      <c r="Q169" s="812">
        <v>1.5</v>
      </c>
      <c r="R169" s="811">
        <v>6.5</v>
      </c>
      <c r="S169" s="812">
        <v>0</v>
      </c>
      <c r="T169" s="811">
        <v>0</v>
      </c>
      <c r="U169" s="812">
        <v>0</v>
      </c>
      <c r="V169" s="811">
        <v>0</v>
      </c>
      <c r="W169" s="812">
        <v>0</v>
      </c>
      <c r="X169" s="811">
        <v>0</v>
      </c>
      <c r="Y169" s="812">
        <v>0</v>
      </c>
      <c r="Z169" s="811">
        <v>0</v>
      </c>
      <c r="AA169" s="812">
        <v>0</v>
      </c>
      <c r="AB169" s="811">
        <v>0</v>
      </c>
      <c r="AC169" s="812">
        <v>0</v>
      </c>
      <c r="AD169" s="811">
        <v>0</v>
      </c>
      <c r="AE169" s="807">
        <v>2.5</v>
      </c>
      <c r="AF169" s="807">
        <v>7.5</v>
      </c>
      <c r="AL169" s="813">
        <v>3</v>
      </c>
      <c r="AQ169" s="74" t="s">
        <v>589</v>
      </c>
    </row>
    <row r="170" spans="1:43" s="74" customFormat="1">
      <c r="A170" s="802"/>
      <c r="B170" s="797">
        <v>3</v>
      </c>
      <c r="C170" s="798">
        <v>15</v>
      </c>
      <c r="D170" s="803">
        <v>165</v>
      </c>
      <c r="E170" s="800" t="s">
        <v>593</v>
      </c>
      <c r="F170" s="817">
        <v>165</v>
      </c>
      <c r="G170" s="805">
        <v>15</v>
      </c>
      <c r="H170" s="806">
        <v>2.25</v>
      </c>
      <c r="I170" s="807">
        <v>12.75</v>
      </c>
      <c r="J170" s="808">
        <v>2.25</v>
      </c>
      <c r="K170" s="809" t="s">
        <v>589</v>
      </c>
      <c r="L170" s="810">
        <v>15</v>
      </c>
      <c r="M170" s="810">
        <v>0.45</v>
      </c>
      <c r="N170" s="811">
        <v>0.45</v>
      </c>
      <c r="O170" s="812">
        <v>0.45</v>
      </c>
      <c r="P170" s="811">
        <v>0.45</v>
      </c>
      <c r="Q170" s="812">
        <v>1.35</v>
      </c>
      <c r="R170" s="811">
        <v>11.85</v>
      </c>
      <c r="S170" s="812">
        <v>0</v>
      </c>
      <c r="T170" s="811">
        <v>0</v>
      </c>
      <c r="U170" s="812">
        <v>0</v>
      </c>
      <c r="V170" s="811">
        <v>0</v>
      </c>
      <c r="W170" s="812">
        <v>0</v>
      </c>
      <c r="X170" s="811">
        <v>0</v>
      </c>
      <c r="Y170" s="812">
        <v>0</v>
      </c>
      <c r="Z170" s="811">
        <v>0</v>
      </c>
      <c r="AA170" s="812">
        <v>0</v>
      </c>
      <c r="AB170" s="811">
        <v>0</v>
      </c>
      <c r="AC170" s="812">
        <v>0</v>
      </c>
      <c r="AD170" s="811">
        <v>0</v>
      </c>
      <c r="AE170" s="807">
        <v>2.25</v>
      </c>
      <c r="AF170" s="807">
        <v>12.75</v>
      </c>
      <c r="AL170" s="813">
        <v>3</v>
      </c>
      <c r="AQ170" s="74" t="s">
        <v>589</v>
      </c>
    </row>
    <row r="171" spans="1:43" s="74" customFormat="1">
      <c r="A171" s="802"/>
      <c r="B171" s="797">
        <v>3</v>
      </c>
      <c r="C171" s="798">
        <v>15</v>
      </c>
      <c r="D171" s="814">
        <v>166</v>
      </c>
      <c r="E171" s="800" t="s">
        <v>594</v>
      </c>
      <c r="F171" s="819">
        <v>166</v>
      </c>
      <c r="G171" s="816">
        <v>17</v>
      </c>
      <c r="H171" s="806">
        <v>2.5499999999999998</v>
      </c>
      <c r="I171" s="807">
        <v>12.45</v>
      </c>
      <c r="J171" s="808">
        <v>2.5499999999999998</v>
      </c>
      <c r="K171" s="809" t="s">
        <v>589</v>
      </c>
      <c r="L171" s="810">
        <v>15</v>
      </c>
      <c r="M171" s="810">
        <v>0.55000000000000004</v>
      </c>
      <c r="N171" s="811">
        <v>0.35</v>
      </c>
      <c r="O171" s="812">
        <v>0.55000000000000004</v>
      </c>
      <c r="P171" s="811">
        <v>0.35</v>
      </c>
      <c r="Q171" s="812">
        <v>1.45</v>
      </c>
      <c r="R171" s="811">
        <v>11.75</v>
      </c>
      <c r="S171" s="812">
        <v>0</v>
      </c>
      <c r="T171" s="811">
        <v>0</v>
      </c>
      <c r="U171" s="812">
        <v>0</v>
      </c>
      <c r="V171" s="811">
        <v>0</v>
      </c>
      <c r="W171" s="812">
        <v>0</v>
      </c>
      <c r="X171" s="811">
        <v>0</v>
      </c>
      <c r="Y171" s="812">
        <v>0</v>
      </c>
      <c r="Z171" s="811">
        <v>0</v>
      </c>
      <c r="AA171" s="812">
        <v>0</v>
      </c>
      <c r="AB171" s="811">
        <v>0</v>
      </c>
      <c r="AC171" s="812">
        <v>0</v>
      </c>
      <c r="AD171" s="811">
        <v>0</v>
      </c>
      <c r="AE171" s="807">
        <v>2.5499999999999998</v>
      </c>
      <c r="AF171" s="807">
        <v>12.45</v>
      </c>
      <c r="AL171" s="813">
        <v>3</v>
      </c>
      <c r="AQ171" s="74" t="s">
        <v>589</v>
      </c>
    </row>
    <row r="172" spans="1:43" s="74" customFormat="1">
      <c r="A172" s="802"/>
      <c r="B172" s="797">
        <v>3</v>
      </c>
      <c r="C172" s="798">
        <v>15</v>
      </c>
      <c r="D172" s="803">
        <v>167</v>
      </c>
      <c r="E172" s="800" t="s">
        <v>595</v>
      </c>
      <c r="F172" s="817">
        <v>167</v>
      </c>
      <c r="G172" s="805">
        <v>18</v>
      </c>
      <c r="H172" s="806">
        <v>2.7</v>
      </c>
      <c r="I172" s="807">
        <v>12.3</v>
      </c>
      <c r="J172" s="808">
        <v>2.7000000000000011</v>
      </c>
      <c r="K172" s="809" t="s">
        <v>589</v>
      </c>
      <c r="L172" s="810">
        <v>15</v>
      </c>
      <c r="M172" s="810">
        <v>0.6</v>
      </c>
      <c r="N172" s="811">
        <v>0.3</v>
      </c>
      <c r="O172" s="812">
        <v>0.6</v>
      </c>
      <c r="P172" s="811">
        <v>0.3</v>
      </c>
      <c r="Q172" s="812">
        <v>1.5</v>
      </c>
      <c r="R172" s="811">
        <v>11.7</v>
      </c>
      <c r="S172" s="812">
        <v>0</v>
      </c>
      <c r="T172" s="811">
        <v>0</v>
      </c>
      <c r="U172" s="812">
        <v>0</v>
      </c>
      <c r="V172" s="811">
        <v>0</v>
      </c>
      <c r="W172" s="812">
        <v>0</v>
      </c>
      <c r="X172" s="811">
        <v>0</v>
      </c>
      <c r="Y172" s="812">
        <v>0</v>
      </c>
      <c r="Z172" s="811">
        <v>0</v>
      </c>
      <c r="AA172" s="812">
        <v>0</v>
      </c>
      <c r="AB172" s="811">
        <v>0</v>
      </c>
      <c r="AC172" s="812">
        <v>0</v>
      </c>
      <c r="AD172" s="811">
        <v>0</v>
      </c>
      <c r="AE172" s="807">
        <v>2.7</v>
      </c>
      <c r="AF172" s="807">
        <v>12.3</v>
      </c>
      <c r="AL172" s="813">
        <v>3</v>
      </c>
      <c r="AQ172" s="74" t="s">
        <v>589</v>
      </c>
    </row>
    <row r="173" spans="1:43" s="74" customFormat="1">
      <c r="A173" s="802"/>
      <c r="B173" s="797">
        <v>3</v>
      </c>
      <c r="C173" s="798">
        <v>15</v>
      </c>
      <c r="D173" s="814">
        <v>168</v>
      </c>
      <c r="E173" s="800" t="s">
        <v>596</v>
      </c>
      <c r="F173" s="819">
        <v>168</v>
      </c>
      <c r="G173" s="816">
        <v>21</v>
      </c>
      <c r="H173" s="806">
        <v>3.15</v>
      </c>
      <c r="I173" s="807">
        <v>11.85</v>
      </c>
      <c r="J173" s="808">
        <v>3.15</v>
      </c>
      <c r="K173" s="809" t="s">
        <v>589</v>
      </c>
      <c r="L173" s="810">
        <v>15</v>
      </c>
      <c r="M173" s="810">
        <v>0.75</v>
      </c>
      <c r="N173" s="811">
        <v>0.15</v>
      </c>
      <c r="O173" s="812">
        <v>0.75</v>
      </c>
      <c r="P173" s="811">
        <v>0.15</v>
      </c>
      <c r="Q173" s="812">
        <v>1.65</v>
      </c>
      <c r="R173" s="811">
        <v>11.55</v>
      </c>
      <c r="S173" s="812">
        <v>0</v>
      </c>
      <c r="T173" s="811">
        <v>0</v>
      </c>
      <c r="U173" s="812">
        <v>0</v>
      </c>
      <c r="V173" s="811">
        <v>0</v>
      </c>
      <c r="W173" s="812">
        <v>0</v>
      </c>
      <c r="X173" s="811">
        <v>0</v>
      </c>
      <c r="Y173" s="812">
        <v>0</v>
      </c>
      <c r="Z173" s="811">
        <v>0</v>
      </c>
      <c r="AA173" s="812">
        <v>0</v>
      </c>
      <c r="AB173" s="811">
        <v>0</v>
      </c>
      <c r="AC173" s="812">
        <v>0</v>
      </c>
      <c r="AD173" s="811">
        <v>0</v>
      </c>
      <c r="AE173" s="807">
        <v>3.15</v>
      </c>
      <c r="AF173" s="807">
        <v>11.85</v>
      </c>
      <c r="AL173" s="813">
        <v>3</v>
      </c>
      <c r="AQ173" s="74" t="s">
        <v>589</v>
      </c>
    </row>
    <row r="174" spans="1:43" s="74" customFormat="1">
      <c r="A174" s="802"/>
      <c r="B174" s="797">
        <v>3</v>
      </c>
      <c r="C174" s="798">
        <v>15</v>
      </c>
      <c r="D174" s="803">
        <v>169</v>
      </c>
      <c r="E174" s="800" t="s">
        <v>597</v>
      </c>
      <c r="F174" s="817">
        <v>169</v>
      </c>
      <c r="G174" s="805">
        <v>16.666666666666661</v>
      </c>
      <c r="H174" s="806">
        <v>2.5</v>
      </c>
      <c r="I174" s="807">
        <v>12.5</v>
      </c>
      <c r="J174" s="808">
        <v>2.5</v>
      </c>
      <c r="K174" s="809" t="s">
        <v>589</v>
      </c>
      <c r="L174" s="810">
        <v>15</v>
      </c>
      <c r="M174" s="810">
        <v>0.5</v>
      </c>
      <c r="N174" s="811">
        <v>0.5</v>
      </c>
      <c r="O174" s="812">
        <v>0.5</v>
      </c>
      <c r="P174" s="811">
        <v>0.5</v>
      </c>
      <c r="Q174" s="812">
        <v>1.5</v>
      </c>
      <c r="R174" s="811">
        <v>11.5</v>
      </c>
      <c r="S174" s="812">
        <v>0</v>
      </c>
      <c r="T174" s="811">
        <v>0</v>
      </c>
      <c r="U174" s="812">
        <v>0</v>
      </c>
      <c r="V174" s="811">
        <v>0</v>
      </c>
      <c r="W174" s="812">
        <v>0</v>
      </c>
      <c r="X174" s="811">
        <v>0</v>
      </c>
      <c r="Y174" s="812">
        <v>0</v>
      </c>
      <c r="Z174" s="811">
        <v>0</v>
      </c>
      <c r="AA174" s="812">
        <v>0</v>
      </c>
      <c r="AB174" s="811">
        <v>0</v>
      </c>
      <c r="AC174" s="812">
        <v>0</v>
      </c>
      <c r="AD174" s="811">
        <v>0</v>
      </c>
      <c r="AE174" s="807">
        <v>2.5</v>
      </c>
      <c r="AF174" s="807">
        <v>12.5</v>
      </c>
      <c r="AL174" s="813">
        <v>3</v>
      </c>
      <c r="AQ174" s="74" t="s">
        <v>589</v>
      </c>
    </row>
    <row r="175" spans="1:43" s="74" customFormat="1">
      <c r="A175" s="802"/>
      <c r="B175" s="797">
        <v>3</v>
      </c>
      <c r="C175" s="798">
        <v>15</v>
      </c>
      <c r="D175" s="814">
        <v>170</v>
      </c>
      <c r="E175" s="800" t="s">
        <v>598</v>
      </c>
      <c r="F175" s="819">
        <v>170</v>
      </c>
      <c r="G175" s="816">
        <v>17.333333333333329</v>
      </c>
      <c r="H175" s="806">
        <v>2.6</v>
      </c>
      <c r="I175" s="807">
        <v>12.4</v>
      </c>
      <c r="J175" s="808">
        <v>2.6</v>
      </c>
      <c r="K175" s="809" t="s">
        <v>589</v>
      </c>
      <c r="L175" s="810">
        <v>15</v>
      </c>
      <c r="M175" s="810">
        <v>0.6</v>
      </c>
      <c r="N175" s="811">
        <v>0.3</v>
      </c>
      <c r="O175" s="812">
        <v>0.6</v>
      </c>
      <c r="P175" s="811">
        <v>0.3</v>
      </c>
      <c r="Q175" s="812">
        <v>1.4</v>
      </c>
      <c r="R175" s="811">
        <v>11.8</v>
      </c>
      <c r="S175" s="812">
        <v>0</v>
      </c>
      <c r="T175" s="811">
        <v>0</v>
      </c>
      <c r="U175" s="812">
        <v>0</v>
      </c>
      <c r="V175" s="811">
        <v>0</v>
      </c>
      <c r="W175" s="812">
        <v>0</v>
      </c>
      <c r="X175" s="811">
        <v>0</v>
      </c>
      <c r="Y175" s="812">
        <v>0</v>
      </c>
      <c r="Z175" s="811">
        <v>0</v>
      </c>
      <c r="AA175" s="812">
        <v>0</v>
      </c>
      <c r="AB175" s="811">
        <v>0</v>
      </c>
      <c r="AC175" s="812">
        <v>0</v>
      </c>
      <c r="AD175" s="811">
        <v>0</v>
      </c>
      <c r="AE175" s="807">
        <v>2.6</v>
      </c>
      <c r="AF175" s="807">
        <v>12.4</v>
      </c>
      <c r="AL175" s="813">
        <v>3</v>
      </c>
      <c r="AQ175" s="74" t="s">
        <v>589</v>
      </c>
    </row>
    <row r="176" spans="1:43" s="74" customFormat="1">
      <c r="A176" s="802"/>
      <c r="B176" s="797">
        <v>3</v>
      </c>
      <c r="C176" s="798">
        <v>15</v>
      </c>
      <c r="D176" s="803">
        <v>171</v>
      </c>
      <c r="E176" s="800" t="s">
        <v>599</v>
      </c>
      <c r="F176" s="817">
        <v>171</v>
      </c>
      <c r="G176" s="805">
        <v>22</v>
      </c>
      <c r="H176" s="806">
        <v>3.3</v>
      </c>
      <c r="I176" s="807">
        <v>11.7</v>
      </c>
      <c r="J176" s="808">
        <v>3.3</v>
      </c>
      <c r="K176" s="809" t="s">
        <v>589</v>
      </c>
      <c r="L176" s="810">
        <v>15</v>
      </c>
      <c r="M176" s="810">
        <v>0.7</v>
      </c>
      <c r="N176" s="811">
        <v>0.5</v>
      </c>
      <c r="O176" s="812">
        <v>0.7</v>
      </c>
      <c r="P176" s="811">
        <v>0.5</v>
      </c>
      <c r="Q176" s="812">
        <v>1.9</v>
      </c>
      <c r="R176" s="811">
        <v>10.7</v>
      </c>
      <c r="S176" s="812">
        <v>0</v>
      </c>
      <c r="T176" s="811">
        <v>0</v>
      </c>
      <c r="U176" s="812">
        <v>0</v>
      </c>
      <c r="V176" s="811">
        <v>0</v>
      </c>
      <c r="W176" s="812">
        <v>0</v>
      </c>
      <c r="X176" s="811">
        <v>0</v>
      </c>
      <c r="Y176" s="812">
        <v>0</v>
      </c>
      <c r="Z176" s="811">
        <v>0</v>
      </c>
      <c r="AA176" s="812">
        <v>0</v>
      </c>
      <c r="AB176" s="811">
        <v>0</v>
      </c>
      <c r="AC176" s="812">
        <v>0</v>
      </c>
      <c r="AD176" s="811">
        <v>0</v>
      </c>
      <c r="AE176" s="807">
        <v>3.3</v>
      </c>
      <c r="AF176" s="807">
        <v>11.7</v>
      </c>
      <c r="AL176" s="813">
        <v>3</v>
      </c>
      <c r="AQ176" s="74" t="s">
        <v>589</v>
      </c>
    </row>
    <row r="177" spans="1:43" s="74" customFormat="1">
      <c r="A177" s="802"/>
      <c r="B177" s="797">
        <v>3</v>
      </c>
      <c r="C177" s="798">
        <v>15</v>
      </c>
      <c r="D177" s="814">
        <v>172</v>
      </c>
      <c r="E177" s="800" t="s">
        <v>600</v>
      </c>
      <c r="F177" s="819">
        <v>172</v>
      </c>
      <c r="G177" s="816">
        <v>23.333333333333329</v>
      </c>
      <c r="H177" s="806">
        <v>3.5</v>
      </c>
      <c r="I177" s="807">
        <v>11.5</v>
      </c>
      <c r="J177" s="808">
        <v>3.5</v>
      </c>
      <c r="K177" s="809" t="s">
        <v>589</v>
      </c>
      <c r="L177" s="810">
        <v>15</v>
      </c>
      <c r="M177" s="810">
        <v>0.7</v>
      </c>
      <c r="N177" s="811">
        <v>0.7</v>
      </c>
      <c r="O177" s="812">
        <v>0.7</v>
      </c>
      <c r="P177" s="811">
        <v>0.7</v>
      </c>
      <c r="Q177" s="812">
        <v>2.1</v>
      </c>
      <c r="R177" s="811">
        <v>10.1</v>
      </c>
      <c r="S177" s="812">
        <v>0</v>
      </c>
      <c r="T177" s="811">
        <v>0</v>
      </c>
      <c r="U177" s="812">
        <v>0</v>
      </c>
      <c r="V177" s="811">
        <v>0</v>
      </c>
      <c r="W177" s="812">
        <v>0</v>
      </c>
      <c r="X177" s="811">
        <v>0</v>
      </c>
      <c r="Y177" s="812">
        <v>0</v>
      </c>
      <c r="Z177" s="811">
        <v>0</v>
      </c>
      <c r="AA177" s="812">
        <v>0</v>
      </c>
      <c r="AB177" s="811">
        <v>0</v>
      </c>
      <c r="AC177" s="812">
        <v>0</v>
      </c>
      <c r="AD177" s="811">
        <v>0</v>
      </c>
      <c r="AE177" s="807">
        <v>3.5</v>
      </c>
      <c r="AF177" s="807">
        <v>11.5</v>
      </c>
      <c r="AL177" s="813">
        <v>3</v>
      </c>
      <c r="AQ177" s="74" t="s">
        <v>589</v>
      </c>
    </row>
    <row r="178" spans="1:43" s="74" customFormat="1">
      <c r="A178" s="802"/>
      <c r="B178" s="797">
        <v>3</v>
      </c>
      <c r="C178" s="798">
        <v>15</v>
      </c>
      <c r="D178" s="803">
        <v>173</v>
      </c>
      <c r="E178" s="800" t="s">
        <v>601</v>
      </c>
      <c r="F178" s="817">
        <v>173</v>
      </c>
      <c r="G178" s="805">
        <v>23.333333333333329</v>
      </c>
      <c r="H178" s="806">
        <v>3.5</v>
      </c>
      <c r="I178" s="807">
        <v>11.5</v>
      </c>
      <c r="J178" s="808">
        <v>3.5</v>
      </c>
      <c r="K178" s="809" t="s">
        <v>589</v>
      </c>
      <c r="L178" s="810">
        <v>15</v>
      </c>
      <c r="M178" s="810">
        <v>0.75</v>
      </c>
      <c r="N178" s="811">
        <v>0.45</v>
      </c>
      <c r="O178" s="812">
        <v>0.75</v>
      </c>
      <c r="P178" s="811">
        <v>0.45</v>
      </c>
      <c r="Q178" s="812">
        <v>2</v>
      </c>
      <c r="R178" s="811">
        <v>10.6</v>
      </c>
      <c r="S178" s="812">
        <v>0</v>
      </c>
      <c r="T178" s="811">
        <v>0</v>
      </c>
      <c r="U178" s="812">
        <v>0</v>
      </c>
      <c r="V178" s="811">
        <v>0</v>
      </c>
      <c r="W178" s="812">
        <v>0</v>
      </c>
      <c r="X178" s="811">
        <v>0</v>
      </c>
      <c r="Y178" s="812">
        <v>0</v>
      </c>
      <c r="Z178" s="811">
        <v>0</v>
      </c>
      <c r="AA178" s="812">
        <v>0</v>
      </c>
      <c r="AB178" s="811">
        <v>0</v>
      </c>
      <c r="AC178" s="812">
        <v>0</v>
      </c>
      <c r="AD178" s="811">
        <v>0</v>
      </c>
      <c r="AE178" s="807">
        <v>3.5</v>
      </c>
      <c r="AF178" s="807">
        <v>11.5</v>
      </c>
      <c r="AL178" s="813">
        <v>3</v>
      </c>
      <c r="AQ178" s="74" t="s">
        <v>589</v>
      </c>
    </row>
    <row r="179" spans="1:43" s="74" customFormat="1">
      <c r="A179" s="802"/>
      <c r="B179" s="797">
        <v>3</v>
      </c>
      <c r="C179" s="798">
        <v>15</v>
      </c>
      <c r="D179" s="814">
        <v>174</v>
      </c>
      <c r="E179" s="800" t="s">
        <v>602</v>
      </c>
      <c r="F179" s="819">
        <v>174</v>
      </c>
      <c r="G179" s="816">
        <v>35.333333333333343</v>
      </c>
      <c r="H179" s="806">
        <v>5.3</v>
      </c>
      <c r="I179" s="807">
        <v>9.6999999999999993</v>
      </c>
      <c r="J179" s="808">
        <v>5.3</v>
      </c>
      <c r="K179" s="809" t="s">
        <v>589</v>
      </c>
      <c r="L179" s="810">
        <v>15</v>
      </c>
      <c r="M179" s="810">
        <v>1.1499999999999999</v>
      </c>
      <c r="N179" s="811">
        <v>0.75</v>
      </c>
      <c r="O179" s="812">
        <v>1.1499999999999999</v>
      </c>
      <c r="P179" s="811">
        <v>0.75</v>
      </c>
      <c r="Q179" s="812">
        <v>3</v>
      </c>
      <c r="R179" s="811">
        <v>8.1999999999999993</v>
      </c>
      <c r="S179" s="812">
        <v>0</v>
      </c>
      <c r="T179" s="811">
        <v>0</v>
      </c>
      <c r="U179" s="812">
        <v>0</v>
      </c>
      <c r="V179" s="811">
        <v>0</v>
      </c>
      <c r="W179" s="812">
        <v>0</v>
      </c>
      <c r="X179" s="811">
        <v>0</v>
      </c>
      <c r="Y179" s="812">
        <v>0</v>
      </c>
      <c r="Z179" s="811">
        <v>0</v>
      </c>
      <c r="AA179" s="812">
        <v>0</v>
      </c>
      <c r="AB179" s="811">
        <v>0</v>
      </c>
      <c r="AC179" s="812">
        <v>0</v>
      </c>
      <c r="AD179" s="811">
        <v>0</v>
      </c>
      <c r="AE179" s="807">
        <v>5.3</v>
      </c>
      <c r="AF179" s="807">
        <v>9.6999999999999993</v>
      </c>
      <c r="AL179" s="813">
        <v>3</v>
      </c>
      <c r="AQ179" s="74" t="s">
        <v>589</v>
      </c>
    </row>
    <row r="180" spans="1:43" s="74" customFormat="1">
      <c r="A180" s="802"/>
      <c r="B180" s="797">
        <v>3</v>
      </c>
      <c r="C180" s="798">
        <v>15</v>
      </c>
      <c r="D180" s="803">
        <v>175</v>
      </c>
      <c r="E180" s="800" t="s">
        <v>603</v>
      </c>
      <c r="F180" s="817">
        <v>175</v>
      </c>
      <c r="G180" s="805">
        <v>39.333333333333343</v>
      </c>
      <c r="H180" s="806">
        <v>5.9</v>
      </c>
      <c r="I180" s="807">
        <v>9.1</v>
      </c>
      <c r="J180" s="808">
        <v>5.9</v>
      </c>
      <c r="K180" s="809" t="s">
        <v>589</v>
      </c>
      <c r="L180" s="810">
        <v>15</v>
      </c>
      <c r="M180" s="810">
        <v>1.3</v>
      </c>
      <c r="N180" s="811">
        <v>0.7</v>
      </c>
      <c r="O180" s="812">
        <v>1.3</v>
      </c>
      <c r="P180" s="811">
        <v>0.7</v>
      </c>
      <c r="Q180" s="812">
        <v>3.3</v>
      </c>
      <c r="R180" s="811">
        <v>7.7</v>
      </c>
      <c r="S180" s="812">
        <v>0</v>
      </c>
      <c r="T180" s="811">
        <v>0</v>
      </c>
      <c r="U180" s="812">
        <v>0</v>
      </c>
      <c r="V180" s="811">
        <v>0</v>
      </c>
      <c r="W180" s="812">
        <v>0</v>
      </c>
      <c r="X180" s="811">
        <v>0</v>
      </c>
      <c r="Y180" s="812">
        <v>0</v>
      </c>
      <c r="Z180" s="811">
        <v>0</v>
      </c>
      <c r="AA180" s="812">
        <v>0</v>
      </c>
      <c r="AB180" s="811">
        <v>0</v>
      </c>
      <c r="AC180" s="812">
        <v>0</v>
      </c>
      <c r="AD180" s="811">
        <v>0</v>
      </c>
      <c r="AE180" s="807">
        <v>5.9</v>
      </c>
      <c r="AF180" s="807">
        <v>9.1</v>
      </c>
      <c r="AL180" s="813">
        <v>3</v>
      </c>
      <c r="AQ180" s="74" t="s">
        <v>589</v>
      </c>
    </row>
    <row r="181" spans="1:43" s="74" customFormat="1">
      <c r="A181" s="802"/>
      <c r="B181" s="797">
        <v>1</v>
      </c>
      <c r="C181" s="798">
        <v>1.25</v>
      </c>
      <c r="D181" s="814">
        <v>176</v>
      </c>
      <c r="E181" s="800" t="s">
        <v>604</v>
      </c>
      <c r="F181" s="815">
        <v>176</v>
      </c>
      <c r="G181" s="816">
        <v>60</v>
      </c>
      <c r="H181" s="806">
        <v>0.75</v>
      </c>
      <c r="I181" s="807">
        <v>0.5</v>
      </c>
      <c r="J181" s="808">
        <v>9</v>
      </c>
      <c r="K181" s="809" t="s">
        <v>605</v>
      </c>
      <c r="L181" s="810">
        <v>1.25</v>
      </c>
      <c r="M181" s="810">
        <v>0.75</v>
      </c>
      <c r="N181" s="811">
        <v>0.5</v>
      </c>
      <c r="O181" s="812">
        <v>0</v>
      </c>
      <c r="P181" s="811">
        <v>0</v>
      </c>
      <c r="Q181" s="812">
        <v>0</v>
      </c>
      <c r="R181" s="811">
        <v>0</v>
      </c>
      <c r="S181" s="812">
        <v>0</v>
      </c>
      <c r="T181" s="811">
        <v>0</v>
      </c>
      <c r="U181" s="812">
        <v>0</v>
      </c>
      <c r="V181" s="811">
        <v>0</v>
      </c>
      <c r="W181" s="812">
        <v>0</v>
      </c>
      <c r="X181" s="811">
        <v>0</v>
      </c>
      <c r="Y181" s="812">
        <v>0</v>
      </c>
      <c r="Z181" s="811">
        <v>0</v>
      </c>
      <c r="AA181" s="812">
        <v>0</v>
      </c>
      <c r="AB181" s="811">
        <v>0</v>
      </c>
      <c r="AC181" s="812">
        <v>0</v>
      </c>
      <c r="AD181" s="811">
        <v>0</v>
      </c>
      <c r="AE181" s="807">
        <v>0.75</v>
      </c>
      <c r="AF181" s="807">
        <v>0.5</v>
      </c>
      <c r="AL181" s="813">
        <v>1</v>
      </c>
      <c r="AQ181" s="74" t="s">
        <v>605</v>
      </c>
    </row>
    <row r="182" spans="1:43" s="74" customFormat="1">
      <c r="A182" s="802"/>
      <c r="B182" s="797">
        <v>1</v>
      </c>
      <c r="C182" s="798">
        <v>3</v>
      </c>
      <c r="D182" s="803">
        <v>177</v>
      </c>
      <c r="E182" s="800" t="s">
        <v>606</v>
      </c>
      <c r="F182" s="804">
        <v>177</v>
      </c>
      <c r="G182" s="805">
        <v>66.666666666666657</v>
      </c>
      <c r="H182" s="806">
        <v>2</v>
      </c>
      <c r="I182" s="807">
        <v>1</v>
      </c>
      <c r="J182" s="808">
        <v>9.9999999999999982</v>
      </c>
      <c r="K182" s="809" t="s">
        <v>605</v>
      </c>
      <c r="L182" s="810">
        <v>3</v>
      </c>
      <c r="M182" s="810">
        <v>2</v>
      </c>
      <c r="N182" s="811">
        <v>1</v>
      </c>
      <c r="O182" s="812">
        <v>0</v>
      </c>
      <c r="P182" s="811">
        <v>0</v>
      </c>
      <c r="Q182" s="812">
        <v>0</v>
      </c>
      <c r="R182" s="811">
        <v>0</v>
      </c>
      <c r="S182" s="812">
        <v>0</v>
      </c>
      <c r="T182" s="811">
        <v>0</v>
      </c>
      <c r="U182" s="812">
        <v>0</v>
      </c>
      <c r="V182" s="811">
        <v>0</v>
      </c>
      <c r="W182" s="812">
        <v>0</v>
      </c>
      <c r="X182" s="811">
        <v>0</v>
      </c>
      <c r="Y182" s="812">
        <v>0</v>
      </c>
      <c r="Z182" s="811">
        <v>0</v>
      </c>
      <c r="AA182" s="812">
        <v>0</v>
      </c>
      <c r="AB182" s="811">
        <v>0</v>
      </c>
      <c r="AC182" s="812">
        <v>0</v>
      </c>
      <c r="AD182" s="811">
        <v>0</v>
      </c>
      <c r="AE182" s="807">
        <v>2</v>
      </c>
      <c r="AF182" s="807">
        <v>1</v>
      </c>
      <c r="AL182" s="813">
        <v>1</v>
      </c>
      <c r="AQ182" s="74" t="s">
        <v>605</v>
      </c>
    </row>
    <row r="183" spans="1:43" s="74" customFormat="1">
      <c r="A183" s="802"/>
      <c r="B183" s="797">
        <v>1</v>
      </c>
      <c r="C183" s="798">
        <v>3</v>
      </c>
      <c r="D183" s="814">
        <v>178</v>
      </c>
      <c r="E183" s="800" t="s">
        <v>607</v>
      </c>
      <c r="F183" s="815">
        <v>178</v>
      </c>
      <c r="G183" s="816">
        <v>83.333333333333343</v>
      </c>
      <c r="H183" s="806">
        <v>2.5</v>
      </c>
      <c r="I183" s="807">
        <v>0.5</v>
      </c>
      <c r="J183" s="808">
        <v>12.5</v>
      </c>
      <c r="K183" s="809" t="s">
        <v>605</v>
      </c>
      <c r="L183" s="810">
        <v>3</v>
      </c>
      <c r="M183" s="810">
        <v>2.5</v>
      </c>
      <c r="N183" s="811">
        <v>0.5</v>
      </c>
      <c r="O183" s="812">
        <v>0</v>
      </c>
      <c r="P183" s="811">
        <v>0</v>
      </c>
      <c r="Q183" s="812">
        <v>0</v>
      </c>
      <c r="R183" s="811">
        <v>0</v>
      </c>
      <c r="S183" s="812">
        <v>0</v>
      </c>
      <c r="T183" s="811">
        <v>0</v>
      </c>
      <c r="U183" s="812">
        <v>0</v>
      </c>
      <c r="V183" s="811">
        <v>0</v>
      </c>
      <c r="W183" s="812">
        <v>0</v>
      </c>
      <c r="X183" s="811">
        <v>0</v>
      </c>
      <c r="Y183" s="812">
        <v>0</v>
      </c>
      <c r="Z183" s="811">
        <v>0</v>
      </c>
      <c r="AA183" s="812">
        <v>0</v>
      </c>
      <c r="AB183" s="811">
        <v>0</v>
      </c>
      <c r="AC183" s="812">
        <v>0</v>
      </c>
      <c r="AD183" s="811">
        <v>0</v>
      </c>
      <c r="AE183" s="807">
        <v>2.5</v>
      </c>
      <c r="AF183" s="807">
        <v>0.5</v>
      </c>
      <c r="AL183" s="813">
        <v>1</v>
      </c>
      <c r="AQ183" s="74" t="s">
        <v>605</v>
      </c>
    </row>
    <row r="184" spans="1:43" s="74" customFormat="1">
      <c r="A184" s="802"/>
      <c r="B184" s="797">
        <v>1</v>
      </c>
      <c r="C184" s="798">
        <v>3.5</v>
      </c>
      <c r="D184" s="803">
        <v>179</v>
      </c>
      <c r="E184" s="800" t="s">
        <v>608</v>
      </c>
      <c r="F184" s="804">
        <v>179</v>
      </c>
      <c r="G184" s="805">
        <v>71.428571428571431</v>
      </c>
      <c r="H184" s="806">
        <v>2.5</v>
      </c>
      <c r="I184" s="807">
        <v>1</v>
      </c>
      <c r="J184" s="808">
        <v>10.714285714285721</v>
      </c>
      <c r="K184" s="809" t="s">
        <v>605</v>
      </c>
      <c r="L184" s="810">
        <v>3.5</v>
      </c>
      <c r="M184" s="810">
        <v>2.5</v>
      </c>
      <c r="N184" s="811">
        <v>1</v>
      </c>
      <c r="O184" s="812">
        <v>0</v>
      </c>
      <c r="P184" s="811">
        <v>0</v>
      </c>
      <c r="Q184" s="812">
        <v>0</v>
      </c>
      <c r="R184" s="811">
        <v>0</v>
      </c>
      <c r="S184" s="812">
        <v>0</v>
      </c>
      <c r="T184" s="811">
        <v>0</v>
      </c>
      <c r="U184" s="812">
        <v>0</v>
      </c>
      <c r="V184" s="811">
        <v>0</v>
      </c>
      <c r="W184" s="812">
        <v>0</v>
      </c>
      <c r="X184" s="811">
        <v>0</v>
      </c>
      <c r="Y184" s="812">
        <v>0</v>
      </c>
      <c r="Z184" s="811">
        <v>0</v>
      </c>
      <c r="AA184" s="812">
        <v>0</v>
      </c>
      <c r="AB184" s="811">
        <v>0</v>
      </c>
      <c r="AC184" s="812">
        <v>0</v>
      </c>
      <c r="AD184" s="811">
        <v>0</v>
      </c>
      <c r="AE184" s="807">
        <v>2.5</v>
      </c>
      <c r="AF184" s="807">
        <v>1</v>
      </c>
      <c r="AL184" s="813">
        <v>1</v>
      </c>
      <c r="AQ184" s="74" t="s">
        <v>605</v>
      </c>
    </row>
    <row r="185" spans="1:43" s="74" customFormat="1">
      <c r="A185" s="802"/>
      <c r="B185" s="797">
        <v>1</v>
      </c>
      <c r="C185" s="798">
        <v>4</v>
      </c>
      <c r="D185" s="814">
        <v>180</v>
      </c>
      <c r="E185" s="800" t="s">
        <v>609</v>
      </c>
      <c r="F185" s="815">
        <v>180</v>
      </c>
      <c r="G185" s="816">
        <v>62.5</v>
      </c>
      <c r="H185" s="806">
        <v>2.5</v>
      </c>
      <c r="I185" s="807">
        <v>1.5</v>
      </c>
      <c r="J185" s="808">
        <v>9.375</v>
      </c>
      <c r="K185" s="809" t="s">
        <v>605</v>
      </c>
      <c r="L185" s="810">
        <v>4</v>
      </c>
      <c r="M185" s="810">
        <v>2.5</v>
      </c>
      <c r="N185" s="811">
        <v>1.5</v>
      </c>
      <c r="O185" s="812">
        <v>0</v>
      </c>
      <c r="P185" s="811">
        <v>0</v>
      </c>
      <c r="Q185" s="812">
        <v>0</v>
      </c>
      <c r="R185" s="811">
        <v>0</v>
      </c>
      <c r="S185" s="812">
        <v>0</v>
      </c>
      <c r="T185" s="811">
        <v>0</v>
      </c>
      <c r="U185" s="812">
        <v>0</v>
      </c>
      <c r="V185" s="811">
        <v>0</v>
      </c>
      <c r="W185" s="812">
        <v>0</v>
      </c>
      <c r="X185" s="811">
        <v>0</v>
      </c>
      <c r="Y185" s="812">
        <v>0</v>
      </c>
      <c r="Z185" s="811">
        <v>0</v>
      </c>
      <c r="AA185" s="812">
        <v>0</v>
      </c>
      <c r="AB185" s="811">
        <v>0</v>
      </c>
      <c r="AC185" s="812">
        <v>0</v>
      </c>
      <c r="AD185" s="811">
        <v>0</v>
      </c>
      <c r="AE185" s="807">
        <v>2.5</v>
      </c>
      <c r="AF185" s="807">
        <v>1.5</v>
      </c>
      <c r="AL185" s="813">
        <v>1</v>
      </c>
      <c r="AQ185" s="74" t="s">
        <v>605</v>
      </c>
    </row>
    <row r="186" spans="1:43" s="74" customFormat="1">
      <c r="A186" s="802"/>
      <c r="B186" s="797">
        <v>1</v>
      </c>
      <c r="C186" s="798">
        <v>4</v>
      </c>
      <c r="D186" s="803">
        <v>181</v>
      </c>
      <c r="E186" s="800" t="s">
        <v>610</v>
      </c>
      <c r="F186" s="804">
        <v>181</v>
      </c>
      <c r="G186" s="805">
        <v>75</v>
      </c>
      <c r="H186" s="806">
        <v>3</v>
      </c>
      <c r="I186" s="807">
        <v>1</v>
      </c>
      <c r="J186" s="808">
        <v>11.25</v>
      </c>
      <c r="K186" s="809" t="s">
        <v>605</v>
      </c>
      <c r="L186" s="810">
        <v>4</v>
      </c>
      <c r="M186" s="810">
        <v>3</v>
      </c>
      <c r="N186" s="811">
        <v>1</v>
      </c>
      <c r="O186" s="812">
        <v>0</v>
      </c>
      <c r="P186" s="811">
        <v>0</v>
      </c>
      <c r="Q186" s="812">
        <v>0</v>
      </c>
      <c r="R186" s="811">
        <v>0</v>
      </c>
      <c r="S186" s="812">
        <v>0</v>
      </c>
      <c r="T186" s="811">
        <v>0</v>
      </c>
      <c r="U186" s="812">
        <v>0</v>
      </c>
      <c r="V186" s="811">
        <v>0</v>
      </c>
      <c r="W186" s="812">
        <v>0</v>
      </c>
      <c r="X186" s="811">
        <v>0</v>
      </c>
      <c r="Y186" s="812">
        <v>0</v>
      </c>
      <c r="Z186" s="811">
        <v>0</v>
      </c>
      <c r="AA186" s="812">
        <v>0</v>
      </c>
      <c r="AB186" s="811">
        <v>0</v>
      </c>
      <c r="AC186" s="812">
        <v>0</v>
      </c>
      <c r="AD186" s="811">
        <v>0</v>
      </c>
      <c r="AE186" s="807">
        <v>3</v>
      </c>
      <c r="AF186" s="807">
        <v>1</v>
      </c>
      <c r="AL186" s="813">
        <v>1</v>
      </c>
      <c r="AQ186" s="74" t="s">
        <v>605</v>
      </c>
    </row>
    <row r="187" spans="1:43" s="74" customFormat="1">
      <c r="A187" s="802"/>
      <c r="B187" s="797">
        <v>1</v>
      </c>
      <c r="C187" s="798">
        <v>5</v>
      </c>
      <c r="D187" s="814">
        <v>182</v>
      </c>
      <c r="E187" s="800" t="s">
        <v>611</v>
      </c>
      <c r="F187" s="815">
        <v>182</v>
      </c>
      <c r="G187" s="816">
        <v>60</v>
      </c>
      <c r="H187" s="806">
        <v>3</v>
      </c>
      <c r="I187" s="807">
        <v>2</v>
      </c>
      <c r="J187" s="808">
        <v>9</v>
      </c>
      <c r="K187" s="809" t="s">
        <v>605</v>
      </c>
      <c r="L187" s="810">
        <v>5</v>
      </c>
      <c r="M187" s="810">
        <v>3</v>
      </c>
      <c r="N187" s="811">
        <v>2</v>
      </c>
      <c r="O187" s="812">
        <v>0</v>
      </c>
      <c r="P187" s="811">
        <v>0</v>
      </c>
      <c r="Q187" s="812">
        <v>0</v>
      </c>
      <c r="R187" s="811">
        <v>0</v>
      </c>
      <c r="S187" s="812">
        <v>0</v>
      </c>
      <c r="T187" s="811">
        <v>0</v>
      </c>
      <c r="U187" s="812">
        <v>0</v>
      </c>
      <c r="V187" s="811">
        <v>0</v>
      </c>
      <c r="W187" s="812">
        <v>0</v>
      </c>
      <c r="X187" s="811">
        <v>0</v>
      </c>
      <c r="Y187" s="812">
        <v>0</v>
      </c>
      <c r="Z187" s="811">
        <v>0</v>
      </c>
      <c r="AA187" s="812">
        <v>0</v>
      </c>
      <c r="AB187" s="811">
        <v>0</v>
      </c>
      <c r="AC187" s="812">
        <v>0</v>
      </c>
      <c r="AD187" s="811">
        <v>0</v>
      </c>
      <c r="AE187" s="807">
        <v>3</v>
      </c>
      <c r="AF187" s="807">
        <v>2</v>
      </c>
      <c r="AL187" s="813">
        <v>1</v>
      </c>
      <c r="AQ187" s="74" t="s">
        <v>605</v>
      </c>
    </row>
    <row r="188" spans="1:43" s="74" customFormat="1">
      <c r="A188" s="802"/>
      <c r="B188" s="797">
        <v>1</v>
      </c>
      <c r="C188" s="798">
        <v>5</v>
      </c>
      <c r="D188" s="803">
        <v>183</v>
      </c>
      <c r="E188" s="800" t="s">
        <v>612</v>
      </c>
      <c r="F188" s="804">
        <v>183</v>
      </c>
      <c r="G188" s="805">
        <v>80</v>
      </c>
      <c r="H188" s="806">
        <v>4</v>
      </c>
      <c r="I188" s="807">
        <v>1</v>
      </c>
      <c r="J188" s="808">
        <v>12</v>
      </c>
      <c r="K188" s="809" t="s">
        <v>605</v>
      </c>
      <c r="L188" s="810">
        <v>5</v>
      </c>
      <c r="M188" s="810">
        <v>4</v>
      </c>
      <c r="N188" s="811">
        <v>1</v>
      </c>
      <c r="O188" s="812">
        <v>0</v>
      </c>
      <c r="P188" s="811">
        <v>0</v>
      </c>
      <c r="Q188" s="812">
        <v>0</v>
      </c>
      <c r="R188" s="811">
        <v>0</v>
      </c>
      <c r="S188" s="812">
        <v>0</v>
      </c>
      <c r="T188" s="811">
        <v>0</v>
      </c>
      <c r="U188" s="812">
        <v>0</v>
      </c>
      <c r="V188" s="811">
        <v>0</v>
      </c>
      <c r="W188" s="812">
        <v>0</v>
      </c>
      <c r="X188" s="811">
        <v>0</v>
      </c>
      <c r="Y188" s="812">
        <v>0</v>
      </c>
      <c r="Z188" s="811">
        <v>0</v>
      </c>
      <c r="AA188" s="812">
        <v>0</v>
      </c>
      <c r="AB188" s="811">
        <v>0</v>
      </c>
      <c r="AC188" s="812">
        <v>0</v>
      </c>
      <c r="AD188" s="811">
        <v>0</v>
      </c>
      <c r="AE188" s="807">
        <v>4</v>
      </c>
      <c r="AF188" s="807">
        <v>1</v>
      </c>
      <c r="AL188" s="813">
        <v>1</v>
      </c>
      <c r="AQ188" s="74" t="s">
        <v>605</v>
      </c>
    </row>
    <row r="189" spans="1:43" s="74" customFormat="1">
      <c r="A189" s="802"/>
      <c r="B189" s="797">
        <v>1</v>
      </c>
      <c r="C189" s="798">
        <v>5</v>
      </c>
      <c r="D189" s="814">
        <v>184</v>
      </c>
      <c r="E189" s="800" t="s">
        <v>613</v>
      </c>
      <c r="F189" s="815">
        <v>184</v>
      </c>
      <c r="G189" s="816">
        <v>90</v>
      </c>
      <c r="H189" s="806">
        <v>4.5</v>
      </c>
      <c r="I189" s="807">
        <v>0.5</v>
      </c>
      <c r="J189" s="808">
        <v>13.5</v>
      </c>
      <c r="K189" s="809" t="s">
        <v>605</v>
      </c>
      <c r="L189" s="810">
        <v>5</v>
      </c>
      <c r="M189" s="810">
        <v>4.5</v>
      </c>
      <c r="N189" s="811">
        <v>0.5</v>
      </c>
      <c r="O189" s="812">
        <v>0</v>
      </c>
      <c r="P189" s="811">
        <v>0</v>
      </c>
      <c r="Q189" s="812">
        <v>0</v>
      </c>
      <c r="R189" s="811">
        <v>0</v>
      </c>
      <c r="S189" s="812">
        <v>0</v>
      </c>
      <c r="T189" s="811">
        <v>0</v>
      </c>
      <c r="U189" s="812">
        <v>0</v>
      </c>
      <c r="V189" s="811">
        <v>0</v>
      </c>
      <c r="W189" s="812">
        <v>0</v>
      </c>
      <c r="X189" s="811">
        <v>0</v>
      </c>
      <c r="Y189" s="812">
        <v>0</v>
      </c>
      <c r="Z189" s="811">
        <v>0</v>
      </c>
      <c r="AA189" s="812">
        <v>0</v>
      </c>
      <c r="AB189" s="811">
        <v>0</v>
      </c>
      <c r="AC189" s="812">
        <v>0</v>
      </c>
      <c r="AD189" s="811">
        <v>0</v>
      </c>
      <c r="AE189" s="807">
        <v>4.5</v>
      </c>
      <c r="AF189" s="807">
        <v>0.5</v>
      </c>
      <c r="AL189" s="813">
        <v>1</v>
      </c>
      <c r="AQ189" s="74" t="s">
        <v>605</v>
      </c>
    </row>
    <row r="190" spans="1:43" s="74" customFormat="1">
      <c r="A190" s="802"/>
      <c r="B190" s="797">
        <v>1</v>
      </c>
      <c r="C190" s="798">
        <v>6</v>
      </c>
      <c r="D190" s="803">
        <v>185</v>
      </c>
      <c r="E190" s="800" t="s">
        <v>614</v>
      </c>
      <c r="F190" s="804">
        <v>185</v>
      </c>
      <c r="G190" s="805">
        <v>66.666666666666657</v>
      </c>
      <c r="H190" s="806">
        <v>4</v>
      </c>
      <c r="I190" s="807">
        <v>2</v>
      </c>
      <c r="J190" s="808">
        <v>9.9999999999999982</v>
      </c>
      <c r="K190" s="809" t="s">
        <v>605</v>
      </c>
      <c r="L190" s="810">
        <v>6</v>
      </c>
      <c r="M190" s="810">
        <v>4</v>
      </c>
      <c r="N190" s="811">
        <v>2</v>
      </c>
      <c r="O190" s="812">
        <v>0</v>
      </c>
      <c r="P190" s="811">
        <v>0</v>
      </c>
      <c r="Q190" s="812">
        <v>0</v>
      </c>
      <c r="R190" s="811">
        <v>0</v>
      </c>
      <c r="S190" s="812">
        <v>0</v>
      </c>
      <c r="T190" s="811">
        <v>0</v>
      </c>
      <c r="U190" s="812">
        <v>0</v>
      </c>
      <c r="V190" s="811">
        <v>0</v>
      </c>
      <c r="W190" s="812">
        <v>0</v>
      </c>
      <c r="X190" s="811">
        <v>0</v>
      </c>
      <c r="Y190" s="812">
        <v>0</v>
      </c>
      <c r="Z190" s="811">
        <v>0</v>
      </c>
      <c r="AA190" s="812">
        <v>0</v>
      </c>
      <c r="AB190" s="811">
        <v>0</v>
      </c>
      <c r="AC190" s="812">
        <v>0</v>
      </c>
      <c r="AD190" s="811">
        <v>0</v>
      </c>
      <c r="AE190" s="807">
        <v>4</v>
      </c>
      <c r="AF190" s="807">
        <v>2</v>
      </c>
      <c r="AL190" s="813">
        <v>1</v>
      </c>
      <c r="AQ190" s="74" t="s">
        <v>605</v>
      </c>
    </row>
    <row r="191" spans="1:43" s="74" customFormat="1">
      <c r="A191" s="802"/>
      <c r="B191" s="797">
        <v>1</v>
      </c>
      <c r="C191" s="798">
        <v>6</v>
      </c>
      <c r="D191" s="814">
        <v>186</v>
      </c>
      <c r="E191" s="800" t="s">
        <v>615</v>
      </c>
      <c r="F191" s="815">
        <v>186</v>
      </c>
      <c r="G191" s="816">
        <v>75</v>
      </c>
      <c r="H191" s="806">
        <v>4.5</v>
      </c>
      <c r="I191" s="807">
        <v>1.5</v>
      </c>
      <c r="J191" s="808">
        <v>11.25</v>
      </c>
      <c r="K191" s="809" t="s">
        <v>605</v>
      </c>
      <c r="L191" s="810">
        <v>6</v>
      </c>
      <c r="M191" s="810">
        <v>4.5</v>
      </c>
      <c r="N191" s="811">
        <v>1.5</v>
      </c>
      <c r="O191" s="812">
        <v>0</v>
      </c>
      <c r="P191" s="811">
        <v>0</v>
      </c>
      <c r="Q191" s="812">
        <v>0</v>
      </c>
      <c r="R191" s="811">
        <v>0</v>
      </c>
      <c r="S191" s="812">
        <v>0</v>
      </c>
      <c r="T191" s="811">
        <v>0</v>
      </c>
      <c r="U191" s="812">
        <v>0</v>
      </c>
      <c r="V191" s="811">
        <v>0</v>
      </c>
      <c r="W191" s="812">
        <v>0</v>
      </c>
      <c r="X191" s="811">
        <v>0</v>
      </c>
      <c r="Y191" s="812">
        <v>0</v>
      </c>
      <c r="Z191" s="811">
        <v>0</v>
      </c>
      <c r="AA191" s="812">
        <v>0</v>
      </c>
      <c r="AB191" s="811">
        <v>0</v>
      </c>
      <c r="AC191" s="812">
        <v>0</v>
      </c>
      <c r="AD191" s="811">
        <v>0</v>
      </c>
      <c r="AE191" s="807">
        <v>4.5</v>
      </c>
      <c r="AF191" s="807">
        <v>1.5</v>
      </c>
      <c r="AL191" s="813">
        <v>1</v>
      </c>
      <c r="AQ191" s="74" t="s">
        <v>605</v>
      </c>
    </row>
    <row r="192" spans="1:43" s="74" customFormat="1">
      <c r="A192" s="802"/>
      <c r="B192" s="797">
        <v>1</v>
      </c>
      <c r="C192" s="798">
        <v>6</v>
      </c>
      <c r="D192" s="803">
        <v>187</v>
      </c>
      <c r="E192" s="800" t="s">
        <v>616</v>
      </c>
      <c r="F192" s="804">
        <v>187</v>
      </c>
      <c r="G192" s="805">
        <v>83.333333333333343</v>
      </c>
      <c r="H192" s="806">
        <v>5</v>
      </c>
      <c r="I192" s="807">
        <v>1</v>
      </c>
      <c r="J192" s="808">
        <v>12.5</v>
      </c>
      <c r="K192" s="809" t="s">
        <v>605</v>
      </c>
      <c r="L192" s="810">
        <v>6</v>
      </c>
      <c r="M192" s="810">
        <v>5</v>
      </c>
      <c r="N192" s="811">
        <v>1</v>
      </c>
      <c r="O192" s="812">
        <v>0</v>
      </c>
      <c r="P192" s="811">
        <v>0</v>
      </c>
      <c r="Q192" s="812">
        <v>0</v>
      </c>
      <c r="R192" s="811">
        <v>0</v>
      </c>
      <c r="S192" s="812">
        <v>0</v>
      </c>
      <c r="T192" s="811">
        <v>0</v>
      </c>
      <c r="U192" s="812">
        <v>0</v>
      </c>
      <c r="V192" s="811">
        <v>0</v>
      </c>
      <c r="W192" s="812">
        <v>0</v>
      </c>
      <c r="X192" s="811">
        <v>0</v>
      </c>
      <c r="Y192" s="812">
        <v>0</v>
      </c>
      <c r="Z192" s="811">
        <v>0</v>
      </c>
      <c r="AA192" s="812">
        <v>0</v>
      </c>
      <c r="AB192" s="811">
        <v>0</v>
      </c>
      <c r="AC192" s="812">
        <v>0</v>
      </c>
      <c r="AD192" s="811">
        <v>0</v>
      </c>
      <c r="AE192" s="807">
        <v>5</v>
      </c>
      <c r="AF192" s="807">
        <v>1</v>
      </c>
      <c r="AL192" s="813">
        <v>1</v>
      </c>
      <c r="AQ192" s="74" t="s">
        <v>605</v>
      </c>
    </row>
    <row r="193" spans="1:43" s="74" customFormat="1">
      <c r="A193" s="802"/>
      <c r="B193" s="797">
        <v>1</v>
      </c>
      <c r="C193" s="798">
        <v>7</v>
      </c>
      <c r="D193" s="814">
        <v>188</v>
      </c>
      <c r="E193" s="800" t="s">
        <v>617</v>
      </c>
      <c r="F193" s="815">
        <v>188</v>
      </c>
      <c r="G193" s="816">
        <v>64.285714285714292</v>
      </c>
      <c r="H193" s="806">
        <v>4.5</v>
      </c>
      <c r="I193" s="807">
        <v>2.5</v>
      </c>
      <c r="J193" s="808">
        <v>9.6428571428571441</v>
      </c>
      <c r="K193" s="809" t="s">
        <v>605</v>
      </c>
      <c r="L193" s="810">
        <v>7</v>
      </c>
      <c r="M193" s="810">
        <v>4.5</v>
      </c>
      <c r="N193" s="811">
        <v>2.5</v>
      </c>
      <c r="O193" s="812">
        <v>0</v>
      </c>
      <c r="P193" s="811">
        <v>0</v>
      </c>
      <c r="Q193" s="812">
        <v>0</v>
      </c>
      <c r="R193" s="811">
        <v>0</v>
      </c>
      <c r="S193" s="812">
        <v>0</v>
      </c>
      <c r="T193" s="811">
        <v>0</v>
      </c>
      <c r="U193" s="812">
        <v>0</v>
      </c>
      <c r="V193" s="811">
        <v>0</v>
      </c>
      <c r="W193" s="812">
        <v>0</v>
      </c>
      <c r="X193" s="811">
        <v>0</v>
      </c>
      <c r="Y193" s="812">
        <v>0</v>
      </c>
      <c r="Z193" s="811">
        <v>0</v>
      </c>
      <c r="AA193" s="812">
        <v>0</v>
      </c>
      <c r="AB193" s="811">
        <v>0</v>
      </c>
      <c r="AC193" s="812">
        <v>0</v>
      </c>
      <c r="AD193" s="811">
        <v>0</v>
      </c>
      <c r="AE193" s="807">
        <v>4.5</v>
      </c>
      <c r="AF193" s="807">
        <v>2.5</v>
      </c>
      <c r="AL193" s="813">
        <v>1</v>
      </c>
      <c r="AQ193" s="74" t="s">
        <v>605</v>
      </c>
    </row>
    <row r="194" spans="1:43" s="74" customFormat="1">
      <c r="A194" s="802"/>
      <c r="B194" s="797">
        <v>1</v>
      </c>
      <c r="C194" s="798">
        <v>8</v>
      </c>
      <c r="D194" s="803">
        <v>189</v>
      </c>
      <c r="E194" s="800" t="s">
        <v>618</v>
      </c>
      <c r="F194" s="804">
        <v>189</v>
      </c>
      <c r="G194" s="805">
        <v>62.5</v>
      </c>
      <c r="H194" s="806">
        <v>5</v>
      </c>
      <c r="I194" s="807">
        <v>3</v>
      </c>
      <c r="J194" s="808">
        <v>9.375</v>
      </c>
      <c r="K194" s="809" t="s">
        <v>605</v>
      </c>
      <c r="L194" s="810">
        <v>8</v>
      </c>
      <c r="M194" s="810">
        <v>5</v>
      </c>
      <c r="N194" s="811">
        <v>3</v>
      </c>
      <c r="O194" s="812">
        <v>0</v>
      </c>
      <c r="P194" s="811">
        <v>0</v>
      </c>
      <c r="Q194" s="812">
        <v>0</v>
      </c>
      <c r="R194" s="811">
        <v>0</v>
      </c>
      <c r="S194" s="812">
        <v>0</v>
      </c>
      <c r="T194" s="811">
        <v>0</v>
      </c>
      <c r="U194" s="812">
        <v>0</v>
      </c>
      <c r="V194" s="811">
        <v>0</v>
      </c>
      <c r="W194" s="812">
        <v>0</v>
      </c>
      <c r="X194" s="811">
        <v>0</v>
      </c>
      <c r="Y194" s="812">
        <v>0</v>
      </c>
      <c r="Z194" s="811">
        <v>0</v>
      </c>
      <c r="AA194" s="812">
        <v>0</v>
      </c>
      <c r="AB194" s="811">
        <v>0</v>
      </c>
      <c r="AC194" s="812">
        <v>0</v>
      </c>
      <c r="AD194" s="811">
        <v>0</v>
      </c>
      <c r="AE194" s="807">
        <v>5</v>
      </c>
      <c r="AF194" s="807">
        <v>3</v>
      </c>
      <c r="AL194" s="813">
        <v>1</v>
      </c>
      <c r="AQ194" s="74" t="s">
        <v>605</v>
      </c>
    </row>
    <row r="195" spans="1:43" s="74" customFormat="1">
      <c r="A195" s="802"/>
      <c r="B195" s="797">
        <v>1</v>
      </c>
      <c r="C195" s="798">
        <v>9</v>
      </c>
      <c r="D195" s="814">
        <v>190</v>
      </c>
      <c r="E195" s="800" t="s">
        <v>619</v>
      </c>
      <c r="F195" s="815">
        <v>190</v>
      </c>
      <c r="G195" s="816">
        <v>66.666666666666657</v>
      </c>
      <c r="H195" s="806">
        <v>6</v>
      </c>
      <c r="I195" s="807">
        <v>3</v>
      </c>
      <c r="J195" s="808">
        <v>9.9999999999999982</v>
      </c>
      <c r="K195" s="809" t="s">
        <v>605</v>
      </c>
      <c r="L195" s="810">
        <v>9</v>
      </c>
      <c r="M195" s="810">
        <v>6</v>
      </c>
      <c r="N195" s="811">
        <v>3</v>
      </c>
      <c r="O195" s="812">
        <v>0</v>
      </c>
      <c r="P195" s="811">
        <v>0</v>
      </c>
      <c r="Q195" s="812">
        <v>0</v>
      </c>
      <c r="R195" s="811">
        <v>0</v>
      </c>
      <c r="S195" s="812">
        <v>0</v>
      </c>
      <c r="T195" s="811">
        <v>0</v>
      </c>
      <c r="U195" s="812">
        <v>0</v>
      </c>
      <c r="V195" s="811">
        <v>0</v>
      </c>
      <c r="W195" s="812">
        <v>0</v>
      </c>
      <c r="X195" s="811">
        <v>0</v>
      </c>
      <c r="Y195" s="812">
        <v>0</v>
      </c>
      <c r="Z195" s="811">
        <v>0</v>
      </c>
      <c r="AA195" s="812">
        <v>0</v>
      </c>
      <c r="AB195" s="811">
        <v>0</v>
      </c>
      <c r="AC195" s="812">
        <v>0</v>
      </c>
      <c r="AD195" s="811">
        <v>0</v>
      </c>
      <c r="AE195" s="807">
        <v>6</v>
      </c>
      <c r="AF195" s="807">
        <v>3</v>
      </c>
      <c r="AL195" s="813">
        <v>1</v>
      </c>
      <c r="AQ195" s="74" t="s">
        <v>605</v>
      </c>
    </row>
    <row r="196" spans="1:43" s="74" customFormat="1">
      <c r="A196" s="802"/>
      <c r="B196" s="797">
        <v>1</v>
      </c>
      <c r="C196" s="798">
        <v>10</v>
      </c>
      <c r="D196" s="803">
        <v>191</v>
      </c>
      <c r="E196" s="800" t="s">
        <v>620</v>
      </c>
      <c r="F196" s="804">
        <v>191</v>
      </c>
      <c r="G196" s="805">
        <v>60</v>
      </c>
      <c r="H196" s="806">
        <v>6</v>
      </c>
      <c r="I196" s="807">
        <v>4</v>
      </c>
      <c r="J196" s="808">
        <v>9</v>
      </c>
      <c r="K196" s="809" t="s">
        <v>605</v>
      </c>
      <c r="L196" s="810">
        <v>10</v>
      </c>
      <c r="M196" s="810">
        <v>6</v>
      </c>
      <c r="N196" s="811">
        <v>4</v>
      </c>
      <c r="O196" s="812">
        <v>0</v>
      </c>
      <c r="P196" s="811">
        <v>0</v>
      </c>
      <c r="Q196" s="812">
        <v>0</v>
      </c>
      <c r="R196" s="811">
        <v>0</v>
      </c>
      <c r="S196" s="812">
        <v>0</v>
      </c>
      <c r="T196" s="811">
        <v>0</v>
      </c>
      <c r="U196" s="812">
        <v>0</v>
      </c>
      <c r="V196" s="811">
        <v>0</v>
      </c>
      <c r="W196" s="812">
        <v>0</v>
      </c>
      <c r="X196" s="811">
        <v>0</v>
      </c>
      <c r="Y196" s="812">
        <v>0</v>
      </c>
      <c r="Z196" s="811">
        <v>0</v>
      </c>
      <c r="AA196" s="812">
        <v>0</v>
      </c>
      <c r="AB196" s="811">
        <v>0</v>
      </c>
      <c r="AC196" s="812">
        <v>0</v>
      </c>
      <c r="AD196" s="811">
        <v>0</v>
      </c>
      <c r="AE196" s="807">
        <v>6</v>
      </c>
      <c r="AF196" s="807">
        <v>4</v>
      </c>
      <c r="AL196" s="813">
        <v>1</v>
      </c>
      <c r="AQ196" s="74" t="s">
        <v>605</v>
      </c>
    </row>
    <row r="197" spans="1:43" s="74" customFormat="1">
      <c r="A197" s="802"/>
      <c r="B197" s="797">
        <v>1</v>
      </c>
      <c r="C197" s="798">
        <v>10</v>
      </c>
      <c r="D197" s="814">
        <v>192</v>
      </c>
      <c r="E197" s="800" t="s">
        <v>621</v>
      </c>
      <c r="F197" s="815">
        <v>192</v>
      </c>
      <c r="G197" s="816">
        <v>70</v>
      </c>
      <c r="H197" s="806">
        <v>7</v>
      </c>
      <c r="I197" s="807">
        <v>3</v>
      </c>
      <c r="J197" s="808">
        <v>10.5</v>
      </c>
      <c r="K197" s="809" t="s">
        <v>605</v>
      </c>
      <c r="L197" s="810">
        <v>10</v>
      </c>
      <c r="M197" s="810">
        <v>7</v>
      </c>
      <c r="N197" s="811">
        <v>3</v>
      </c>
      <c r="O197" s="812">
        <v>0</v>
      </c>
      <c r="P197" s="811">
        <v>0</v>
      </c>
      <c r="Q197" s="812">
        <v>0</v>
      </c>
      <c r="R197" s="811">
        <v>0</v>
      </c>
      <c r="S197" s="812">
        <v>0</v>
      </c>
      <c r="T197" s="811">
        <v>0</v>
      </c>
      <c r="U197" s="812">
        <v>0</v>
      </c>
      <c r="V197" s="811">
        <v>0</v>
      </c>
      <c r="W197" s="812">
        <v>0</v>
      </c>
      <c r="X197" s="811">
        <v>0</v>
      </c>
      <c r="Y197" s="812">
        <v>0</v>
      </c>
      <c r="Z197" s="811">
        <v>0</v>
      </c>
      <c r="AA197" s="812">
        <v>0</v>
      </c>
      <c r="AB197" s="811">
        <v>0</v>
      </c>
      <c r="AC197" s="812">
        <v>0</v>
      </c>
      <c r="AD197" s="811">
        <v>0</v>
      </c>
      <c r="AE197" s="807">
        <v>7</v>
      </c>
      <c r="AF197" s="807">
        <v>3</v>
      </c>
      <c r="AL197" s="813">
        <v>1</v>
      </c>
      <c r="AQ197" s="74" t="s">
        <v>605</v>
      </c>
    </row>
    <row r="198" spans="1:43" s="74" customFormat="1">
      <c r="A198" s="802"/>
      <c r="B198" s="797">
        <v>1</v>
      </c>
      <c r="C198" s="798">
        <v>10</v>
      </c>
      <c r="D198" s="803">
        <v>193</v>
      </c>
      <c r="E198" s="800" t="s">
        <v>622</v>
      </c>
      <c r="F198" s="804">
        <v>193</v>
      </c>
      <c r="G198" s="805">
        <v>75</v>
      </c>
      <c r="H198" s="806">
        <v>7.5</v>
      </c>
      <c r="I198" s="807">
        <v>2.5</v>
      </c>
      <c r="J198" s="808">
        <v>11.25</v>
      </c>
      <c r="K198" s="809" t="s">
        <v>605</v>
      </c>
      <c r="L198" s="810">
        <v>10</v>
      </c>
      <c r="M198" s="810">
        <v>7.5</v>
      </c>
      <c r="N198" s="811">
        <v>2.5</v>
      </c>
      <c r="O198" s="812">
        <v>0</v>
      </c>
      <c r="P198" s="811">
        <v>0</v>
      </c>
      <c r="Q198" s="812">
        <v>0</v>
      </c>
      <c r="R198" s="811">
        <v>0</v>
      </c>
      <c r="S198" s="812">
        <v>0</v>
      </c>
      <c r="T198" s="811">
        <v>0</v>
      </c>
      <c r="U198" s="812">
        <v>0</v>
      </c>
      <c r="V198" s="811">
        <v>0</v>
      </c>
      <c r="W198" s="812">
        <v>0</v>
      </c>
      <c r="X198" s="811">
        <v>0</v>
      </c>
      <c r="Y198" s="812">
        <v>0</v>
      </c>
      <c r="Z198" s="811">
        <v>0</v>
      </c>
      <c r="AA198" s="812">
        <v>0</v>
      </c>
      <c r="AB198" s="811">
        <v>0</v>
      </c>
      <c r="AC198" s="812">
        <v>0</v>
      </c>
      <c r="AD198" s="811">
        <v>0</v>
      </c>
      <c r="AE198" s="807">
        <v>7.5</v>
      </c>
      <c r="AF198" s="807">
        <v>2.5</v>
      </c>
      <c r="AL198" s="813">
        <v>1</v>
      </c>
      <c r="AQ198" s="74" t="s">
        <v>605</v>
      </c>
    </row>
    <row r="199" spans="1:43" s="74" customFormat="1">
      <c r="A199" s="802"/>
      <c r="B199" s="797">
        <v>1</v>
      </c>
      <c r="C199" s="798">
        <v>15</v>
      </c>
      <c r="D199" s="814">
        <v>194</v>
      </c>
      <c r="E199" s="800" t="s">
        <v>623</v>
      </c>
      <c r="F199" s="815">
        <v>194</v>
      </c>
      <c r="G199" s="816">
        <v>66.666666666666657</v>
      </c>
      <c r="H199" s="806">
        <v>10</v>
      </c>
      <c r="I199" s="807">
        <v>5</v>
      </c>
      <c r="J199" s="808">
        <v>9.9999999999999982</v>
      </c>
      <c r="K199" s="809" t="s">
        <v>605</v>
      </c>
      <c r="L199" s="810">
        <v>15</v>
      </c>
      <c r="M199" s="810">
        <v>10</v>
      </c>
      <c r="N199" s="811">
        <v>5</v>
      </c>
      <c r="O199" s="812">
        <v>0</v>
      </c>
      <c r="P199" s="811">
        <v>0</v>
      </c>
      <c r="Q199" s="812">
        <v>0</v>
      </c>
      <c r="R199" s="811">
        <v>0</v>
      </c>
      <c r="S199" s="812">
        <v>0</v>
      </c>
      <c r="T199" s="811">
        <v>0</v>
      </c>
      <c r="U199" s="812">
        <v>0</v>
      </c>
      <c r="V199" s="811">
        <v>0</v>
      </c>
      <c r="W199" s="812">
        <v>0</v>
      </c>
      <c r="X199" s="811">
        <v>0</v>
      </c>
      <c r="Y199" s="812">
        <v>0</v>
      </c>
      <c r="Z199" s="811">
        <v>0</v>
      </c>
      <c r="AA199" s="812">
        <v>0</v>
      </c>
      <c r="AB199" s="811">
        <v>0</v>
      </c>
      <c r="AC199" s="812">
        <v>0</v>
      </c>
      <c r="AD199" s="811">
        <v>0</v>
      </c>
      <c r="AE199" s="807">
        <v>10</v>
      </c>
      <c r="AF199" s="807">
        <v>5</v>
      </c>
      <c r="AL199" s="813">
        <v>1</v>
      </c>
      <c r="AQ199" s="74" t="s">
        <v>605</v>
      </c>
    </row>
    <row r="200" spans="1:43" s="74" customFormat="1">
      <c r="A200" s="802"/>
      <c r="B200" s="797">
        <v>2</v>
      </c>
      <c r="C200" s="798">
        <v>8</v>
      </c>
      <c r="D200" s="797">
        <v>195</v>
      </c>
      <c r="E200" s="800" t="s">
        <v>624</v>
      </c>
      <c r="F200" s="817">
        <v>195</v>
      </c>
      <c r="G200" s="805">
        <v>50</v>
      </c>
      <c r="H200" s="806">
        <v>4</v>
      </c>
      <c r="I200" s="807">
        <v>4</v>
      </c>
      <c r="J200" s="808">
        <v>7.5</v>
      </c>
      <c r="K200" s="809" t="s">
        <v>625</v>
      </c>
      <c r="L200" s="810">
        <v>8</v>
      </c>
      <c r="M200" s="810">
        <v>3</v>
      </c>
      <c r="N200" s="811">
        <v>2</v>
      </c>
      <c r="O200" s="812">
        <v>1</v>
      </c>
      <c r="P200" s="811">
        <v>2</v>
      </c>
      <c r="Q200" s="812">
        <v>0</v>
      </c>
      <c r="R200" s="811">
        <v>0</v>
      </c>
      <c r="S200" s="812">
        <v>0</v>
      </c>
      <c r="T200" s="811">
        <v>0</v>
      </c>
      <c r="U200" s="812">
        <v>0</v>
      </c>
      <c r="V200" s="811">
        <v>0</v>
      </c>
      <c r="W200" s="812">
        <v>0</v>
      </c>
      <c r="X200" s="811">
        <v>0</v>
      </c>
      <c r="Y200" s="812">
        <v>0</v>
      </c>
      <c r="Z200" s="811">
        <v>0</v>
      </c>
      <c r="AA200" s="812">
        <v>0</v>
      </c>
      <c r="AB200" s="811">
        <v>0</v>
      </c>
      <c r="AC200" s="812">
        <v>0</v>
      </c>
      <c r="AD200" s="811">
        <v>0</v>
      </c>
      <c r="AE200" s="807">
        <v>4</v>
      </c>
      <c r="AF200" s="807">
        <v>4</v>
      </c>
      <c r="AL200" s="813">
        <v>2</v>
      </c>
      <c r="AQ200" s="74" t="s">
        <v>625</v>
      </c>
    </row>
    <row r="201" spans="1:43" s="74" customFormat="1">
      <c r="A201" s="802"/>
      <c r="B201" s="797">
        <v>1</v>
      </c>
      <c r="C201" s="798">
        <v>1</v>
      </c>
      <c r="D201" s="814">
        <v>196</v>
      </c>
      <c r="E201" s="800" t="s">
        <v>626</v>
      </c>
      <c r="F201" s="815">
        <v>196</v>
      </c>
      <c r="G201" s="816">
        <v>20</v>
      </c>
      <c r="H201" s="806">
        <v>0.2</v>
      </c>
      <c r="I201" s="807">
        <v>0.8</v>
      </c>
      <c r="J201" s="808">
        <v>3</v>
      </c>
      <c r="K201" s="809" t="s">
        <v>627</v>
      </c>
      <c r="L201" s="810">
        <v>1</v>
      </c>
      <c r="M201" s="810">
        <v>0.2</v>
      </c>
      <c r="N201" s="811">
        <v>0.8</v>
      </c>
      <c r="O201" s="812">
        <v>0</v>
      </c>
      <c r="P201" s="811">
        <v>0</v>
      </c>
      <c r="Q201" s="812">
        <v>0</v>
      </c>
      <c r="R201" s="811">
        <v>0</v>
      </c>
      <c r="S201" s="812">
        <v>0</v>
      </c>
      <c r="T201" s="811">
        <v>0</v>
      </c>
      <c r="U201" s="812">
        <v>0</v>
      </c>
      <c r="V201" s="811">
        <v>0</v>
      </c>
      <c r="W201" s="812">
        <v>0</v>
      </c>
      <c r="X201" s="811">
        <v>0</v>
      </c>
      <c r="Y201" s="812">
        <v>0</v>
      </c>
      <c r="Z201" s="811">
        <v>0</v>
      </c>
      <c r="AA201" s="812">
        <v>0</v>
      </c>
      <c r="AB201" s="811">
        <v>0</v>
      </c>
      <c r="AC201" s="812">
        <v>0</v>
      </c>
      <c r="AD201" s="811">
        <v>0</v>
      </c>
      <c r="AE201" s="807">
        <v>0.2</v>
      </c>
      <c r="AF201" s="807">
        <v>0.8</v>
      </c>
      <c r="AL201" s="813">
        <v>1</v>
      </c>
      <c r="AQ201" s="74" t="s">
        <v>627</v>
      </c>
    </row>
    <row r="202" spans="1:43" s="74" customFormat="1">
      <c r="A202" s="802"/>
      <c r="B202" s="797">
        <v>1</v>
      </c>
      <c r="C202" s="798">
        <v>1</v>
      </c>
      <c r="D202" s="803">
        <v>197</v>
      </c>
      <c r="E202" s="800" t="s">
        <v>628</v>
      </c>
      <c r="F202" s="804">
        <v>197</v>
      </c>
      <c r="G202" s="805">
        <v>30</v>
      </c>
      <c r="H202" s="806">
        <v>0.3</v>
      </c>
      <c r="I202" s="807">
        <v>0.7</v>
      </c>
      <c r="J202" s="808">
        <v>4.5</v>
      </c>
      <c r="K202" s="809" t="s">
        <v>627</v>
      </c>
      <c r="L202" s="810">
        <v>1</v>
      </c>
      <c r="M202" s="810">
        <v>0.3</v>
      </c>
      <c r="N202" s="811">
        <v>0.7</v>
      </c>
      <c r="O202" s="812">
        <v>0</v>
      </c>
      <c r="P202" s="811">
        <v>0</v>
      </c>
      <c r="Q202" s="812">
        <v>0</v>
      </c>
      <c r="R202" s="811">
        <v>0</v>
      </c>
      <c r="S202" s="812">
        <v>0</v>
      </c>
      <c r="T202" s="811">
        <v>0</v>
      </c>
      <c r="U202" s="812">
        <v>0</v>
      </c>
      <c r="V202" s="811">
        <v>0</v>
      </c>
      <c r="W202" s="812">
        <v>0</v>
      </c>
      <c r="X202" s="811">
        <v>0</v>
      </c>
      <c r="Y202" s="812">
        <v>0</v>
      </c>
      <c r="Z202" s="811">
        <v>0</v>
      </c>
      <c r="AA202" s="812">
        <v>0</v>
      </c>
      <c r="AB202" s="811">
        <v>0</v>
      </c>
      <c r="AC202" s="812">
        <v>0</v>
      </c>
      <c r="AD202" s="811">
        <v>0</v>
      </c>
      <c r="AE202" s="807">
        <v>0.3</v>
      </c>
      <c r="AF202" s="807">
        <v>0.7</v>
      </c>
      <c r="AL202" s="813">
        <v>1</v>
      </c>
      <c r="AQ202" s="74" t="s">
        <v>627</v>
      </c>
    </row>
    <row r="203" spans="1:43" s="74" customFormat="1">
      <c r="A203" s="802"/>
      <c r="B203" s="797">
        <v>1</v>
      </c>
      <c r="C203" s="798">
        <v>1</v>
      </c>
      <c r="D203" s="814">
        <v>198</v>
      </c>
      <c r="E203" s="800" t="s">
        <v>629</v>
      </c>
      <c r="F203" s="815">
        <v>198</v>
      </c>
      <c r="G203" s="816">
        <v>40</v>
      </c>
      <c r="H203" s="806">
        <v>0.4</v>
      </c>
      <c r="I203" s="807">
        <v>0.6</v>
      </c>
      <c r="J203" s="808">
        <v>6</v>
      </c>
      <c r="K203" s="809" t="s">
        <v>627</v>
      </c>
      <c r="L203" s="810">
        <v>1</v>
      </c>
      <c r="M203" s="810">
        <v>0.4</v>
      </c>
      <c r="N203" s="811">
        <v>0.6</v>
      </c>
      <c r="O203" s="812">
        <v>0</v>
      </c>
      <c r="P203" s="811">
        <v>0</v>
      </c>
      <c r="Q203" s="812">
        <v>0</v>
      </c>
      <c r="R203" s="811">
        <v>0</v>
      </c>
      <c r="S203" s="812">
        <v>0</v>
      </c>
      <c r="T203" s="811">
        <v>0</v>
      </c>
      <c r="U203" s="812">
        <v>0</v>
      </c>
      <c r="V203" s="811">
        <v>0</v>
      </c>
      <c r="W203" s="812">
        <v>0</v>
      </c>
      <c r="X203" s="811">
        <v>0</v>
      </c>
      <c r="Y203" s="812">
        <v>0</v>
      </c>
      <c r="Z203" s="811">
        <v>0</v>
      </c>
      <c r="AA203" s="812">
        <v>0</v>
      </c>
      <c r="AB203" s="811">
        <v>0</v>
      </c>
      <c r="AC203" s="812">
        <v>0</v>
      </c>
      <c r="AD203" s="811">
        <v>0</v>
      </c>
      <c r="AE203" s="807">
        <v>0.4</v>
      </c>
      <c r="AF203" s="807">
        <v>0.6</v>
      </c>
      <c r="AL203" s="813">
        <v>1</v>
      </c>
      <c r="AQ203" s="74" t="s">
        <v>627</v>
      </c>
    </row>
    <row r="204" spans="1:43" s="74" customFormat="1">
      <c r="A204" s="802"/>
      <c r="B204" s="797">
        <v>1</v>
      </c>
      <c r="C204" s="798">
        <v>1</v>
      </c>
      <c r="D204" s="803">
        <v>199</v>
      </c>
      <c r="E204" s="800" t="s">
        <v>630</v>
      </c>
      <c r="F204" s="804">
        <v>199</v>
      </c>
      <c r="G204" s="805">
        <v>50</v>
      </c>
      <c r="H204" s="806">
        <v>0.5</v>
      </c>
      <c r="I204" s="807">
        <v>0.5</v>
      </c>
      <c r="J204" s="808">
        <v>7.5</v>
      </c>
      <c r="K204" s="809" t="s">
        <v>627</v>
      </c>
      <c r="L204" s="810">
        <v>1</v>
      </c>
      <c r="M204" s="810">
        <v>0.5</v>
      </c>
      <c r="N204" s="811">
        <v>0.5</v>
      </c>
      <c r="O204" s="812">
        <v>0</v>
      </c>
      <c r="P204" s="811">
        <v>0</v>
      </c>
      <c r="Q204" s="812">
        <v>0</v>
      </c>
      <c r="R204" s="811">
        <v>0</v>
      </c>
      <c r="S204" s="812">
        <v>0</v>
      </c>
      <c r="T204" s="811">
        <v>0</v>
      </c>
      <c r="U204" s="812">
        <v>0</v>
      </c>
      <c r="V204" s="811">
        <v>0</v>
      </c>
      <c r="W204" s="812">
        <v>0</v>
      </c>
      <c r="X204" s="811">
        <v>0</v>
      </c>
      <c r="Y204" s="812">
        <v>0</v>
      </c>
      <c r="Z204" s="811">
        <v>0</v>
      </c>
      <c r="AA204" s="812">
        <v>0</v>
      </c>
      <c r="AB204" s="811">
        <v>0</v>
      </c>
      <c r="AC204" s="812">
        <v>0</v>
      </c>
      <c r="AD204" s="811">
        <v>0</v>
      </c>
      <c r="AE204" s="807">
        <v>0.5</v>
      </c>
      <c r="AF204" s="807">
        <v>0.5</v>
      </c>
      <c r="AL204" s="813">
        <v>1</v>
      </c>
      <c r="AQ204" s="74" t="s">
        <v>627</v>
      </c>
    </row>
    <row r="205" spans="1:43" s="74" customFormat="1">
      <c r="A205" s="802"/>
      <c r="B205" s="797">
        <v>1</v>
      </c>
      <c r="C205" s="798">
        <v>1</v>
      </c>
      <c r="D205" s="814">
        <v>200</v>
      </c>
      <c r="E205" s="800" t="s">
        <v>631</v>
      </c>
      <c r="F205" s="815">
        <v>200</v>
      </c>
      <c r="G205" s="816">
        <v>80</v>
      </c>
      <c r="H205" s="806">
        <v>0.8</v>
      </c>
      <c r="I205" s="807">
        <v>0.2</v>
      </c>
      <c r="J205" s="808">
        <v>12</v>
      </c>
      <c r="K205" s="809" t="s">
        <v>627</v>
      </c>
      <c r="L205" s="810">
        <v>1</v>
      </c>
      <c r="M205" s="810">
        <v>0.8</v>
      </c>
      <c r="N205" s="811">
        <v>0.2</v>
      </c>
      <c r="O205" s="812">
        <v>0</v>
      </c>
      <c r="P205" s="811">
        <v>0</v>
      </c>
      <c r="Q205" s="812">
        <v>0</v>
      </c>
      <c r="R205" s="811">
        <v>0</v>
      </c>
      <c r="S205" s="812">
        <v>0</v>
      </c>
      <c r="T205" s="811">
        <v>0</v>
      </c>
      <c r="U205" s="812">
        <v>0</v>
      </c>
      <c r="V205" s="811">
        <v>0</v>
      </c>
      <c r="W205" s="812">
        <v>0</v>
      </c>
      <c r="X205" s="811">
        <v>0</v>
      </c>
      <c r="Y205" s="812">
        <v>0</v>
      </c>
      <c r="Z205" s="811">
        <v>0</v>
      </c>
      <c r="AA205" s="812">
        <v>0</v>
      </c>
      <c r="AB205" s="811">
        <v>0</v>
      </c>
      <c r="AC205" s="812">
        <v>0</v>
      </c>
      <c r="AD205" s="811">
        <v>0</v>
      </c>
      <c r="AE205" s="807">
        <v>0.8</v>
      </c>
      <c r="AF205" s="807">
        <v>0.2</v>
      </c>
      <c r="AL205" s="813">
        <v>1</v>
      </c>
      <c r="AQ205" s="74" t="s">
        <v>627</v>
      </c>
    </row>
    <row r="206" spans="1:43" s="74" customFormat="1">
      <c r="A206" s="802"/>
      <c r="B206" s="797">
        <v>1</v>
      </c>
      <c r="C206" s="798">
        <v>1.2</v>
      </c>
      <c r="D206" s="803">
        <v>201</v>
      </c>
      <c r="E206" s="800" t="s">
        <v>632</v>
      </c>
      <c r="F206" s="804">
        <v>201</v>
      </c>
      <c r="G206" s="805">
        <v>25</v>
      </c>
      <c r="H206" s="806">
        <v>0.3</v>
      </c>
      <c r="I206" s="807">
        <v>0.9</v>
      </c>
      <c r="J206" s="808">
        <v>3.75</v>
      </c>
      <c r="K206" s="809" t="s">
        <v>627</v>
      </c>
      <c r="L206" s="810">
        <v>1.2</v>
      </c>
      <c r="M206" s="810">
        <v>0.3</v>
      </c>
      <c r="N206" s="811">
        <v>0.9</v>
      </c>
      <c r="O206" s="812">
        <v>0</v>
      </c>
      <c r="P206" s="811">
        <v>0</v>
      </c>
      <c r="Q206" s="812">
        <v>0</v>
      </c>
      <c r="R206" s="811">
        <v>0</v>
      </c>
      <c r="S206" s="812">
        <v>0</v>
      </c>
      <c r="T206" s="811">
        <v>0</v>
      </c>
      <c r="U206" s="812">
        <v>0</v>
      </c>
      <c r="V206" s="811">
        <v>0</v>
      </c>
      <c r="W206" s="812">
        <v>0</v>
      </c>
      <c r="X206" s="811">
        <v>0</v>
      </c>
      <c r="Y206" s="812">
        <v>0</v>
      </c>
      <c r="Z206" s="811">
        <v>0</v>
      </c>
      <c r="AA206" s="812">
        <v>0</v>
      </c>
      <c r="AB206" s="811">
        <v>0</v>
      </c>
      <c r="AC206" s="812">
        <v>0</v>
      </c>
      <c r="AD206" s="811">
        <v>0</v>
      </c>
      <c r="AE206" s="807">
        <v>0.3</v>
      </c>
      <c r="AF206" s="807">
        <v>0.9</v>
      </c>
      <c r="AL206" s="813">
        <v>1</v>
      </c>
      <c r="AQ206" s="74" t="s">
        <v>627</v>
      </c>
    </row>
    <row r="207" spans="1:43" s="74" customFormat="1">
      <c r="A207" s="802"/>
      <c r="B207" s="797">
        <v>1</v>
      </c>
      <c r="C207" s="798">
        <v>1.2</v>
      </c>
      <c r="D207" s="814">
        <v>202</v>
      </c>
      <c r="E207" s="800" t="s">
        <v>633</v>
      </c>
      <c r="F207" s="815">
        <v>202</v>
      </c>
      <c r="G207" s="816">
        <v>41.666666666666671</v>
      </c>
      <c r="H207" s="806">
        <v>0.5</v>
      </c>
      <c r="I207" s="807">
        <v>0.7</v>
      </c>
      <c r="J207" s="808">
        <v>6.2500000000000009</v>
      </c>
      <c r="K207" s="809" t="s">
        <v>627</v>
      </c>
      <c r="L207" s="810">
        <v>1.2</v>
      </c>
      <c r="M207" s="810">
        <v>0.5</v>
      </c>
      <c r="N207" s="811">
        <v>0.7</v>
      </c>
      <c r="O207" s="812">
        <v>0</v>
      </c>
      <c r="P207" s="811">
        <v>0</v>
      </c>
      <c r="Q207" s="812">
        <v>0</v>
      </c>
      <c r="R207" s="811">
        <v>0</v>
      </c>
      <c r="S207" s="812">
        <v>0</v>
      </c>
      <c r="T207" s="811">
        <v>0</v>
      </c>
      <c r="U207" s="812">
        <v>0</v>
      </c>
      <c r="V207" s="811">
        <v>0</v>
      </c>
      <c r="W207" s="812">
        <v>0</v>
      </c>
      <c r="X207" s="811">
        <v>0</v>
      </c>
      <c r="Y207" s="812">
        <v>0</v>
      </c>
      <c r="Z207" s="811">
        <v>0</v>
      </c>
      <c r="AA207" s="812">
        <v>0</v>
      </c>
      <c r="AB207" s="811">
        <v>0</v>
      </c>
      <c r="AC207" s="812">
        <v>0</v>
      </c>
      <c r="AD207" s="811">
        <v>0</v>
      </c>
      <c r="AE207" s="807">
        <v>0.5</v>
      </c>
      <c r="AF207" s="807">
        <v>0.7</v>
      </c>
      <c r="AL207" s="813">
        <v>1</v>
      </c>
      <c r="AQ207" s="74" t="s">
        <v>627</v>
      </c>
    </row>
    <row r="208" spans="1:43" s="74" customFormat="1">
      <c r="A208" s="802"/>
      <c r="B208" s="797">
        <v>1</v>
      </c>
      <c r="C208" s="798">
        <v>1.2</v>
      </c>
      <c r="D208" s="803">
        <v>203</v>
      </c>
      <c r="E208" s="800" t="s">
        <v>634</v>
      </c>
      <c r="F208" s="804">
        <v>203</v>
      </c>
      <c r="G208" s="805">
        <v>50</v>
      </c>
      <c r="H208" s="806">
        <v>0.6</v>
      </c>
      <c r="I208" s="807">
        <v>0.6</v>
      </c>
      <c r="J208" s="808">
        <v>7.5</v>
      </c>
      <c r="K208" s="809" t="s">
        <v>627</v>
      </c>
      <c r="L208" s="810">
        <v>1.2</v>
      </c>
      <c r="M208" s="810">
        <v>0.6</v>
      </c>
      <c r="N208" s="811">
        <v>0.6</v>
      </c>
      <c r="O208" s="812">
        <v>0</v>
      </c>
      <c r="P208" s="811">
        <v>0</v>
      </c>
      <c r="Q208" s="812">
        <v>0</v>
      </c>
      <c r="R208" s="811">
        <v>0</v>
      </c>
      <c r="S208" s="812">
        <v>0</v>
      </c>
      <c r="T208" s="811">
        <v>0</v>
      </c>
      <c r="U208" s="812">
        <v>0</v>
      </c>
      <c r="V208" s="811">
        <v>0</v>
      </c>
      <c r="W208" s="812">
        <v>0</v>
      </c>
      <c r="X208" s="811">
        <v>0</v>
      </c>
      <c r="Y208" s="812">
        <v>0</v>
      </c>
      <c r="Z208" s="811">
        <v>0</v>
      </c>
      <c r="AA208" s="812">
        <v>0</v>
      </c>
      <c r="AB208" s="811">
        <v>0</v>
      </c>
      <c r="AC208" s="812">
        <v>0</v>
      </c>
      <c r="AD208" s="811">
        <v>0</v>
      </c>
      <c r="AE208" s="807">
        <v>0.6</v>
      </c>
      <c r="AF208" s="807">
        <v>0.6</v>
      </c>
      <c r="AL208" s="813">
        <v>1</v>
      </c>
      <c r="AQ208" s="74" t="s">
        <v>627</v>
      </c>
    </row>
    <row r="209" spans="1:43" s="74" customFormat="1">
      <c r="A209" s="802"/>
      <c r="B209" s="797">
        <v>2</v>
      </c>
      <c r="C209" s="798">
        <v>5</v>
      </c>
      <c r="D209" s="818">
        <v>204</v>
      </c>
      <c r="E209" s="800" t="s">
        <v>635</v>
      </c>
      <c r="F209" s="819">
        <v>204</v>
      </c>
      <c r="G209" s="816">
        <v>12</v>
      </c>
      <c r="H209" s="806">
        <v>0.6</v>
      </c>
      <c r="I209" s="807">
        <v>4.4000000000000004</v>
      </c>
      <c r="J209" s="808">
        <v>1.8</v>
      </c>
      <c r="K209" s="809" t="s">
        <v>636</v>
      </c>
      <c r="L209" s="810">
        <v>5</v>
      </c>
      <c r="M209" s="810">
        <v>0.3</v>
      </c>
      <c r="N209" s="811">
        <v>0.7</v>
      </c>
      <c r="O209" s="812">
        <v>0.3</v>
      </c>
      <c r="P209" s="811">
        <v>3.7</v>
      </c>
      <c r="Q209" s="812">
        <v>0</v>
      </c>
      <c r="R209" s="811">
        <v>0</v>
      </c>
      <c r="S209" s="812">
        <v>0</v>
      </c>
      <c r="T209" s="811">
        <v>0</v>
      </c>
      <c r="U209" s="812">
        <v>0</v>
      </c>
      <c r="V209" s="811">
        <v>0</v>
      </c>
      <c r="W209" s="812">
        <v>0</v>
      </c>
      <c r="X209" s="811">
        <v>0</v>
      </c>
      <c r="Y209" s="812">
        <v>0</v>
      </c>
      <c r="Z209" s="811">
        <v>0</v>
      </c>
      <c r="AA209" s="812">
        <v>0</v>
      </c>
      <c r="AB209" s="811">
        <v>0</v>
      </c>
      <c r="AC209" s="812">
        <v>0</v>
      </c>
      <c r="AD209" s="811">
        <v>0</v>
      </c>
      <c r="AE209" s="807">
        <v>0.6</v>
      </c>
      <c r="AF209" s="807">
        <v>4.4000000000000004</v>
      </c>
      <c r="AL209" s="813">
        <v>2</v>
      </c>
      <c r="AQ209" s="74" t="s">
        <v>636</v>
      </c>
    </row>
    <row r="210" spans="1:43" s="74" customFormat="1">
      <c r="A210" s="802"/>
      <c r="B210" s="797">
        <v>2</v>
      </c>
      <c r="C210" s="798">
        <v>5</v>
      </c>
      <c r="D210" s="797">
        <v>205</v>
      </c>
      <c r="E210" s="800" t="s">
        <v>637</v>
      </c>
      <c r="F210" s="817">
        <v>205</v>
      </c>
      <c r="G210" s="805">
        <v>20</v>
      </c>
      <c r="H210" s="806">
        <v>1</v>
      </c>
      <c r="I210" s="807">
        <v>4</v>
      </c>
      <c r="J210" s="808">
        <v>3</v>
      </c>
      <c r="K210" s="809" t="s">
        <v>636</v>
      </c>
      <c r="L210" s="810">
        <v>5</v>
      </c>
      <c r="M210" s="810">
        <v>0.5</v>
      </c>
      <c r="N210" s="811">
        <v>0.5</v>
      </c>
      <c r="O210" s="812">
        <v>0.5</v>
      </c>
      <c r="P210" s="811">
        <v>3.5</v>
      </c>
      <c r="Q210" s="812">
        <v>0</v>
      </c>
      <c r="R210" s="811">
        <v>0</v>
      </c>
      <c r="S210" s="812">
        <v>0</v>
      </c>
      <c r="T210" s="811">
        <v>0</v>
      </c>
      <c r="U210" s="812">
        <v>0</v>
      </c>
      <c r="V210" s="811">
        <v>0</v>
      </c>
      <c r="W210" s="812">
        <v>0</v>
      </c>
      <c r="X210" s="811">
        <v>0</v>
      </c>
      <c r="Y210" s="812">
        <v>0</v>
      </c>
      <c r="Z210" s="811">
        <v>0</v>
      </c>
      <c r="AA210" s="812">
        <v>0</v>
      </c>
      <c r="AB210" s="811">
        <v>0</v>
      </c>
      <c r="AC210" s="812">
        <v>0</v>
      </c>
      <c r="AD210" s="811">
        <v>0</v>
      </c>
      <c r="AE210" s="807">
        <v>1</v>
      </c>
      <c r="AF210" s="807">
        <v>4</v>
      </c>
      <c r="AL210" s="813">
        <v>2</v>
      </c>
      <c r="AQ210" s="74" t="s">
        <v>636</v>
      </c>
    </row>
    <row r="211" spans="1:43" s="74" customFormat="1">
      <c r="A211" s="802"/>
      <c r="B211" s="797">
        <v>2</v>
      </c>
      <c r="C211" s="798">
        <v>6</v>
      </c>
      <c r="D211" s="818">
        <v>206</v>
      </c>
      <c r="E211" s="800" t="s">
        <v>638</v>
      </c>
      <c r="F211" s="819">
        <v>206</v>
      </c>
      <c r="G211" s="816">
        <v>10</v>
      </c>
      <c r="H211" s="806">
        <v>0.6</v>
      </c>
      <c r="I211" s="807">
        <v>5.4</v>
      </c>
      <c r="J211" s="808">
        <v>1.5</v>
      </c>
      <c r="K211" s="809" t="s">
        <v>636</v>
      </c>
      <c r="L211" s="810">
        <v>6</v>
      </c>
      <c r="M211" s="810">
        <v>0.3</v>
      </c>
      <c r="N211" s="811">
        <v>0.7</v>
      </c>
      <c r="O211" s="812">
        <v>0.3</v>
      </c>
      <c r="P211" s="811">
        <v>4.7</v>
      </c>
      <c r="Q211" s="812">
        <v>0</v>
      </c>
      <c r="R211" s="811">
        <v>0</v>
      </c>
      <c r="S211" s="812">
        <v>0</v>
      </c>
      <c r="T211" s="811">
        <v>0</v>
      </c>
      <c r="U211" s="812">
        <v>0</v>
      </c>
      <c r="V211" s="811">
        <v>0</v>
      </c>
      <c r="W211" s="812">
        <v>0</v>
      </c>
      <c r="X211" s="811">
        <v>0</v>
      </c>
      <c r="Y211" s="812">
        <v>0</v>
      </c>
      <c r="Z211" s="811">
        <v>0</v>
      </c>
      <c r="AA211" s="812">
        <v>0</v>
      </c>
      <c r="AB211" s="811">
        <v>0</v>
      </c>
      <c r="AC211" s="812">
        <v>0</v>
      </c>
      <c r="AD211" s="811">
        <v>0</v>
      </c>
      <c r="AE211" s="807">
        <v>0.6</v>
      </c>
      <c r="AF211" s="807">
        <v>5.4</v>
      </c>
      <c r="AL211" s="813">
        <v>2</v>
      </c>
      <c r="AQ211" s="74" t="s">
        <v>636</v>
      </c>
    </row>
    <row r="212" spans="1:43" s="74" customFormat="1">
      <c r="A212" s="802"/>
      <c r="B212" s="797">
        <v>2</v>
      </c>
      <c r="C212" s="798">
        <v>6</v>
      </c>
      <c r="D212" s="797">
        <v>207</v>
      </c>
      <c r="E212" s="800" t="s">
        <v>639</v>
      </c>
      <c r="F212" s="817">
        <v>207</v>
      </c>
      <c r="G212" s="805">
        <v>11.66666666666667</v>
      </c>
      <c r="H212" s="806">
        <v>0.7</v>
      </c>
      <c r="I212" s="807">
        <v>5.3</v>
      </c>
      <c r="J212" s="808">
        <v>1.75</v>
      </c>
      <c r="K212" s="809" t="s">
        <v>636</v>
      </c>
      <c r="L212" s="810">
        <v>6</v>
      </c>
      <c r="M212" s="810">
        <v>0.35</v>
      </c>
      <c r="N212" s="811">
        <v>0.7</v>
      </c>
      <c r="O212" s="812">
        <v>0.35</v>
      </c>
      <c r="P212" s="811">
        <v>4.5999999999999996</v>
      </c>
      <c r="Q212" s="812">
        <v>0</v>
      </c>
      <c r="R212" s="811">
        <v>0</v>
      </c>
      <c r="S212" s="812">
        <v>0</v>
      </c>
      <c r="T212" s="811">
        <v>0</v>
      </c>
      <c r="U212" s="812">
        <v>0</v>
      </c>
      <c r="V212" s="811">
        <v>0</v>
      </c>
      <c r="W212" s="812">
        <v>0</v>
      </c>
      <c r="X212" s="811">
        <v>0</v>
      </c>
      <c r="Y212" s="812">
        <v>0</v>
      </c>
      <c r="Z212" s="811">
        <v>0</v>
      </c>
      <c r="AA212" s="812">
        <v>0</v>
      </c>
      <c r="AB212" s="811">
        <v>0</v>
      </c>
      <c r="AC212" s="812">
        <v>0</v>
      </c>
      <c r="AD212" s="811">
        <v>0</v>
      </c>
      <c r="AE212" s="807">
        <v>0.7</v>
      </c>
      <c r="AF212" s="807">
        <v>5.3</v>
      </c>
      <c r="AL212" s="813">
        <v>2</v>
      </c>
      <c r="AQ212" s="74" t="s">
        <v>636</v>
      </c>
    </row>
    <row r="213" spans="1:43" s="74" customFormat="1">
      <c r="A213" s="802"/>
      <c r="B213" s="797">
        <v>2</v>
      </c>
      <c r="C213" s="798">
        <v>10</v>
      </c>
      <c r="D213" s="818">
        <v>208</v>
      </c>
      <c r="E213" s="800" t="s">
        <v>485</v>
      </c>
      <c r="F213" s="819">
        <v>208</v>
      </c>
      <c r="G213" s="816">
        <v>10</v>
      </c>
      <c r="H213" s="806">
        <v>1</v>
      </c>
      <c r="I213" s="807">
        <v>9</v>
      </c>
      <c r="J213" s="808">
        <v>1.5</v>
      </c>
      <c r="K213" s="809" t="s">
        <v>636</v>
      </c>
      <c r="L213" s="810">
        <v>10</v>
      </c>
      <c r="M213" s="810">
        <v>0.5</v>
      </c>
      <c r="N213" s="811">
        <v>1.5</v>
      </c>
      <c r="O213" s="812">
        <v>0.5</v>
      </c>
      <c r="P213" s="811">
        <v>7.5</v>
      </c>
      <c r="Q213" s="812">
        <v>0</v>
      </c>
      <c r="R213" s="811">
        <v>0</v>
      </c>
      <c r="S213" s="812">
        <v>0</v>
      </c>
      <c r="T213" s="811">
        <v>0</v>
      </c>
      <c r="U213" s="812">
        <v>0</v>
      </c>
      <c r="V213" s="811">
        <v>0</v>
      </c>
      <c r="W213" s="812">
        <v>0</v>
      </c>
      <c r="X213" s="811">
        <v>0</v>
      </c>
      <c r="Y213" s="812">
        <v>0</v>
      </c>
      <c r="Z213" s="811">
        <v>0</v>
      </c>
      <c r="AA213" s="812">
        <v>0</v>
      </c>
      <c r="AB213" s="811">
        <v>0</v>
      </c>
      <c r="AC213" s="812">
        <v>0</v>
      </c>
      <c r="AD213" s="811">
        <v>0</v>
      </c>
      <c r="AE213" s="807">
        <v>1</v>
      </c>
      <c r="AF213" s="807">
        <v>9</v>
      </c>
      <c r="AL213" s="813">
        <v>2</v>
      </c>
      <c r="AQ213" s="74" t="s">
        <v>636</v>
      </c>
    </row>
    <row r="214" spans="1:43" s="74" customFormat="1">
      <c r="A214" s="802"/>
      <c r="B214" s="797">
        <v>2</v>
      </c>
      <c r="C214" s="798">
        <v>10</v>
      </c>
      <c r="D214" s="797">
        <v>209</v>
      </c>
      <c r="E214" s="800" t="s">
        <v>640</v>
      </c>
      <c r="F214" s="817">
        <v>209</v>
      </c>
      <c r="G214" s="805">
        <v>12</v>
      </c>
      <c r="H214" s="806">
        <v>1.2</v>
      </c>
      <c r="I214" s="807">
        <v>8.8000000000000007</v>
      </c>
      <c r="J214" s="808">
        <v>1.8</v>
      </c>
      <c r="K214" s="809" t="s">
        <v>636</v>
      </c>
      <c r="L214" s="810">
        <v>10</v>
      </c>
      <c r="M214" s="810">
        <v>0.6</v>
      </c>
      <c r="N214" s="811">
        <v>0.4</v>
      </c>
      <c r="O214" s="812">
        <v>0.6</v>
      </c>
      <c r="P214" s="811">
        <v>8.4</v>
      </c>
      <c r="Q214" s="812">
        <v>0</v>
      </c>
      <c r="R214" s="811">
        <v>0</v>
      </c>
      <c r="S214" s="812">
        <v>0</v>
      </c>
      <c r="T214" s="811">
        <v>0</v>
      </c>
      <c r="U214" s="812">
        <v>0</v>
      </c>
      <c r="V214" s="811">
        <v>0</v>
      </c>
      <c r="W214" s="812">
        <v>0</v>
      </c>
      <c r="X214" s="811">
        <v>0</v>
      </c>
      <c r="Y214" s="812">
        <v>0</v>
      </c>
      <c r="Z214" s="811">
        <v>0</v>
      </c>
      <c r="AA214" s="812">
        <v>0</v>
      </c>
      <c r="AB214" s="811">
        <v>0</v>
      </c>
      <c r="AC214" s="812">
        <v>0</v>
      </c>
      <c r="AD214" s="811">
        <v>0</v>
      </c>
      <c r="AE214" s="807">
        <v>1.2</v>
      </c>
      <c r="AF214" s="807">
        <v>8.8000000000000007</v>
      </c>
      <c r="AL214" s="813">
        <v>2</v>
      </c>
      <c r="AQ214" s="74" t="s">
        <v>636</v>
      </c>
    </row>
    <row r="215" spans="1:43" s="74" customFormat="1">
      <c r="A215" s="802"/>
      <c r="B215" s="797">
        <v>2</v>
      </c>
      <c r="C215" s="798">
        <v>15</v>
      </c>
      <c r="D215" s="818">
        <v>210</v>
      </c>
      <c r="E215" s="800" t="s">
        <v>641</v>
      </c>
      <c r="F215" s="819">
        <v>210</v>
      </c>
      <c r="G215" s="816">
        <v>2.666666666666667</v>
      </c>
      <c r="H215" s="806">
        <v>0.4</v>
      </c>
      <c r="I215" s="807">
        <v>14.6</v>
      </c>
      <c r="J215" s="808">
        <v>0.4</v>
      </c>
      <c r="K215" s="809" t="s">
        <v>636</v>
      </c>
      <c r="L215" s="810">
        <v>15</v>
      </c>
      <c r="M215" s="810">
        <v>0.2</v>
      </c>
      <c r="N215" s="811">
        <v>0.8</v>
      </c>
      <c r="O215" s="812">
        <v>0.2</v>
      </c>
      <c r="P215" s="811">
        <v>13.8</v>
      </c>
      <c r="Q215" s="812">
        <v>0</v>
      </c>
      <c r="R215" s="811">
        <v>0</v>
      </c>
      <c r="S215" s="812">
        <v>0</v>
      </c>
      <c r="T215" s="811">
        <v>0</v>
      </c>
      <c r="U215" s="812">
        <v>0</v>
      </c>
      <c r="V215" s="811">
        <v>0</v>
      </c>
      <c r="W215" s="812">
        <v>0</v>
      </c>
      <c r="X215" s="811">
        <v>0</v>
      </c>
      <c r="Y215" s="812">
        <v>0</v>
      </c>
      <c r="Z215" s="811">
        <v>0</v>
      </c>
      <c r="AA215" s="812">
        <v>0</v>
      </c>
      <c r="AB215" s="811">
        <v>0</v>
      </c>
      <c r="AC215" s="812">
        <v>0</v>
      </c>
      <c r="AD215" s="811">
        <v>0</v>
      </c>
      <c r="AE215" s="807">
        <v>0.4</v>
      </c>
      <c r="AF215" s="807">
        <v>14.6</v>
      </c>
      <c r="AL215" s="813">
        <v>2</v>
      </c>
      <c r="AQ215" s="74" t="s">
        <v>636</v>
      </c>
    </row>
    <row r="216" spans="1:43" s="74" customFormat="1">
      <c r="A216" s="802"/>
      <c r="B216" s="797">
        <v>3</v>
      </c>
      <c r="C216" s="798">
        <v>5</v>
      </c>
      <c r="D216" s="803">
        <v>211</v>
      </c>
      <c r="E216" s="800" t="s">
        <v>642</v>
      </c>
      <c r="F216" s="817">
        <v>211</v>
      </c>
      <c r="G216" s="805">
        <v>30</v>
      </c>
      <c r="H216" s="806">
        <v>1.5</v>
      </c>
      <c r="I216" s="807">
        <v>3.5</v>
      </c>
      <c r="J216" s="808">
        <v>4.5</v>
      </c>
      <c r="K216" s="809" t="s">
        <v>643</v>
      </c>
      <c r="L216" s="810">
        <v>5</v>
      </c>
      <c r="M216" s="810">
        <v>0.5</v>
      </c>
      <c r="N216" s="811">
        <v>0.5</v>
      </c>
      <c r="O216" s="812">
        <v>0.5</v>
      </c>
      <c r="P216" s="811">
        <v>0.5</v>
      </c>
      <c r="Q216" s="812">
        <v>0.5</v>
      </c>
      <c r="R216" s="811">
        <v>2.5</v>
      </c>
      <c r="S216" s="812">
        <v>0</v>
      </c>
      <c r="T216" s="811">
        <v>0</v>
      </c>
      <c r="U216" s="812">
        <v>0</v>
      </c>
      <c r="V216" s="811">
        <v>0</v>
      </c>
      <c r="W216" s="812">
        <v>0</v>
      </c>
      <c r="X216" s="811">
        <v>0</v>
      </c>
      <c r="Y216" s="812">
        <v>0</v>
      </c>
      <c r="Z216" s="811">
        <v>0</v>
      </c>
      <c r="AA216" s="812">
        <v>0</v>
      </c>
      <c r="AB216" s="811">
        <v>0</v>
      </c>
      <c r="AC216" s="812">
        <v>0</v>
      </c>
      <c r="AD216" s="811">
        <v>0</v>
      </c>
      <c r="AE216" s="807">
        <v>1.5</v>
      </c>
      <c r="AF216" s="807">
        <v>3.5</v>
      </c>
      <c r="AL216" s="813">
        <v>3</v>
      </c>
      <c r="AQ216" s="74" t="s">
        <v>643</v>
      </c>
    </row>
    <row r="217" spans="1:43" s="74" customFormat="1">
      <c r="A217" s="802"/>
      <c r="B217" s="797">
        <v>3</v>
      </c>
      <c r="C217" s="798">
        <v>6</v>
      </c>
      <c r="D217" s="814">
        <v>212</v>
      </c>
      <c r="E217" s="800" t="s">
        <v>644</v>
      </c>
      <c r="F217" s="819">
        <v>212</v>
      </c>
      <c r="G217" s="816">
        <v>15</v>
      </c>
      <c r="H217" s="806">
        <v>0.89999999999999991</v>
      </c>
      <c r="I217" s="807">
        <v>5.0999999999999996</v>
      </c>
      <c r="J217" s="808">
        <v>2.25</v>
      </c>
      <c r="K217" s="809" t="s">
        <v>643</v>
      </c>
      <c r="L217" s="810">
        <v>6</v>
      </c>
      <c r="M217" s="810">
        <v>0.3</v>
      </c>
      <c r="N217" s="811">
        <v>0.7</v>
      </c>
      <c r="O217" s="812">
        <v>0.3</v>
      </c>
      <c r="P217" s="811">
        <v>0.7</v>
      </c>
      <c r="Q217" s="812">
        <v>0.3</v>
      </c>
      <c r="R217" s="811">
        <v>3.7</v>
      </c>
      <c r="S217" s="812">
        <v>0</v>
      </c>
      <c r="T217" s="811">
        <v>0</v>
      </c>
      <c r="U217" s="812">
        <v>0</v>
      </c>
      <c r="V217" s="811">
        <v>0</v>
      </c>
      <c r="W217" s="812">
        <v>0</v>
      </c>
      <c r="X217" s="811">
        <v>0</v>
      </c>
      <c r="Y217" s="812">
        <v>0</v>
      </c>
      <c r="Z217" s="811">
        <v>0</v>
      </c>
      <c r="AA217" s="812">
        <v>0</v>
      </c>
      <c r="AB217" s="811">
        <v>0</v>
      </c>
      <c r="AC217" s="812">
        <v>0</v>
      </c>
      <c r="AD217" s="811">
        <v>0</v>
      </c>
      <c r="AE217" s="807">
        <v>0.89999999999999991</v>
      </c>
      <c r="AF217" s="807">
        <v>5.0999999999999996</v>
      </c>
      <c r="AL217" s="813">
        <v>3</v>
      </c>
      <c r="AQ217" s="74" t="s">
        <v>643</v>
      </c>
    </row>
    <row r="218" spans="1:43" s="74" customFormat="1">
      <c r="A218" s="802"/>
      <c r="B218" s="797">
        <v>3</v>
      </c>
      <c r="C218" s="798">
        <v>10</v>
      </c>
      <c r="D218" s="803">
        <v>213</v>
      </c>
      <c r="E218" s="800" t="s">
        <v>645</v>
      </c>
      <c r="F218" s="817">
        <v>213</v>
      </c>
      <c r="G218" s="805">
        <v>9</v>
      </c>
      <c r="H218" s="806">
        <v>0.89999999999999991</v>
      </c>
      <c r="I218" s="807">
        <v>9.1</v>
      </c>
      <c r="J218" s="808">
        <v>1.35</v>
      </c>
      <c r="K218" s="809" t="s">
        <v>643</v>
      </c>
      <c r="L218" s="810">
        <v>10</v>
      </c>
      <c r="M218" s="810">
        <v>0.3</v>
      </c>
      <c r="N218" s="811">
        <v>0.7</v>
      </c>
      <c r="O218" s="812">
        <v>0.3</v>
      </c>
      <c r="P218" s="811">
        <v>0.7</v>
      </c>
      <c r="Q218" s="812">
        <v>0.3</v>
      </c>
      <c r="R218" s="811">
        <v>7.7</v>
      </c>
      <c r="S218" s="812">
        <v>0</v>
      </c>
      <c r="T218" s="811">
        <v>0</v>
      </c>
      <c r="U218" s="812">
        <v>0</v>
      </c>
      <c r="V218" s="811">
        <v>0</v>
      </c>
      <c r="W218" s="812">
        <v>0</v>
      </c>
      <c r="X218" s="811">
        <v>0</v>
      </c>
      <c r="Y218" s="812">
        <v>0</v>
      </c>
      <c r="Z218" s="811">
        <v>0</v>
      </c>
      <c r="AA218" s="812">
        <v>0</v>
      </c>
      <c r="AB218" s="811">
        <v>0</v>
      </c>
      <c r="AC218" s="812">
        <v>0</v>
      </c>
      <c r="AD218" s="811">
        <v>0</v>
      </c>
      <c r="AE218" s="807">
        <v>0.89999999999999991</v>
      </c>
      <c r="AF218" s="807">
        <v>9.1</v>
      </c>
      <c r="AL218" s="813">
        <v>3</v>
      </c>
      <c r="AQ218" s="74" t="s">
        <v>643</v>
      </c>
    </row>
    <row r="219" spans="1:43" s="74" customFormat="1">
      <c r="A219" s="802"/>
      <c r="B219" s="797">
        <v>3</v>
      </c>
      <c r="C219" s="798">
        <v>10</v>
      </c>
      <c r="D219" s="814">
        <v>214</v>
      </c>
      <c r="E219" s="800" t="s">
        <v>646</v>
      </c>
      <c r="F219" s="819">
        <v>214</v>
      </c>
      <c r="G219" s="816">
        <v>10.5</v>
      </c>
      <c r="H219" s="806">
        <v>1.05</v>
      </c>
      <c r="I219" s="807">
        <v>8.9500000000000011</v>
      </c>
      <c r="J219" s="808">
        <v>1.575</v>
      </c>
      <c r="K219" s="809" t="s">
        <v>643</v>
      </c>
      <c r="L219" s="810">
        <v>10</v>
      </c>
      <c r="M219" s="810">
        <v>0.35</v>
      </c>
      <c r="N219" s="811">
        <v>0.65</v>
      </c>
      <c r="O219" s="812">
        <v>0.35</v>
      </c>
      <c r="P219" s="811">
        <v>0.65</v>
      </c>
      <c r="Q219" s="812">
        <v>0.35</v>
      </c>
      <c r="R219" s="811">
        <v>7.65</v>
      </c>
      <c r="S219" s="812">
        <v>0</v>
      </c>
      <c r="T219" s="811">
        <v>0</v>
      </c>
      <c r="U219" s="812">
        <v>0</v>
      </c>
      <c r="V219" s="811">
        <v>0</v>
      </c>
      <c r="W219" s="812">
        <v>0</v>
      </c>
      <c r="X219" s="811">
        <v>0</v>
      </c>
      <c r="Y219" s="812">
        <v>0</v>
      </c>
      <c r="Z219" s="811">
        <v>0</v>
      </c>
      <c r="AA219" s="812">
        <v>0</v>
      </c>
      <c r="AB219" s="811">
        <v>0</v>
      </c>
      <c r="AC219" s="812">
        <v>0</v>
      </c>
      <c r="AD219" s="811">
        <v>0</v>
      </c>
      <c r="AE219" s="807">
        <v>1.05</v>
      </c>
      <c r="AF219" s="807">
        <v>8.9500000000000011</v>
      </c>
      <c r="AL219" s="813">
        <v>3</v>
      </c>
      <c r="AQ219" s="74" t="s">
        <v>643</v>
      </c>
    </row>
    <row r="220" spans="1:43" s="74" customFormat="1">
      <c r="A220" s="802"/>
      <c r="B220" s="797">
        <v>3</v>
      </c>
      <c r="C220" s="798">
        <v>10</v>
      </c>
      <c r="D220" s="803">
        <v>215</v>
      </c>
      <c r="E220" s="800" t="s">
        <v>647</v>
      </c>
      <c r="F220" s="817">
        <v>215</v>
      </c>
      <c r="G220" s="805">
        <v>15</v>
      </c>
      <c r="H220" s="806">
        <v>1.5</v>
      </c>
      <c r="I220" s="807">
        <v>8.5</v>
      </c>
      <c r="J220" s="808">
        <v>2.25</v>
      </c>
      <c r="K220" s="809" t="s">
        <v>643</v>
      </c>
      <c r="L220" s="810">
        <v>10</v>
      </c>
      <c r="M220" s="810">
        <v>0.5</v>
      </c>
      <c r="N220" s="811">
        <v>0.5</v>
      </c>
      <c r="O220" s="812">
        <v>0.5</v>
      </c>
      <c r="P220" s="811">
        <v>0.5</v>
      </c>
      <c r="Q220" s="812">
        <v>0.5</v>
      </c>
      <c r="R220" s="811">
        <v>7.5</v>
      </c>
      <c r="S220" s="812">
        <v>0</v>
      </c>
      <c r="T220" s="811">
        <v>0</v>
      </c>
      <c r="U220" s="812">
        <v>0</v>
      </c>
      <c r="V220" s="811">
        <v>0</v>
      </c>
      <c r="W220" s="812">
        <v>0</v>
      </c>
      <c r="X220" s="811">
        <v>0</v>
      </c>
      <c r="Y220" s="812">
        <v>0</v>
      </c>
      <c r="Z220" s="811">
        <v>0</v>
      </c>
      <c r="AA220" s="812">
        <v>0</v>
      </c>
      <c r="AB220" s="811">
        <v>0</v>
      </c>
      <c r="AC220" s="812">
        <v>0</v>
      </c>
      <c r="AD220" s="811">
        <v>0</v>
      </c>
      <c r="AE220" s="807">
        <v>1.5</v>
      </c>
      <c r="AF220" s="807">
        <v>8.5</v>
      </c>
      <c r="AL220" s="813">
        <v>3</v>
      </c>
      <c r="AQ220" s="74" t="s">
        <v>643</v>
      </c>
    </row>
    <row r="221" spans="1:43" s="74" customFormat="1">
      <c r="A221" s="802"/>
      <c r="B221" s="797">
        <v>3</v>
      </c>
      <c r="C221" s="798">
        <v>10</v>
      </c>
      <c r="D221" s="814">
        <v>216</v>
      </c>
      <c r="E221" s="800" t="s">
        <v>648</v>
      </c>
      <c r="F221" s="819">
        <v>216</v>
      </c>
      <c r="G221" s="816">
        <v>18</v>
      </c>
      <c r="H221" s="806">
        <v>1.8</v>
      </c>
      <c r="I221" s="807">
        <v>8.1999999999999993</v>
      </c>
      <c r="J221" s="808">
        <v>2.7</v>
      </c>
      <c r="K221" s="809" t="s">
        <v>643</v>
      </c>
      <c r="L221" s="810">
        <v>10</v>
      </c>
      <c r="M221" s="810">
        <v>0.6</v>
      </c>
      <c r="N221" s="811">
        <v>0.6</v>
      </c>
      <c r="O221" s="812">
        <v>0.6</v>
      </c>
      <c r="P221" s="811">
        <v>0.6</v>
      </c>
      <c r="Q221" s="812">
        <v>0.6</v>
      </c>
      <c r="R221" s="811">
        <v>7</v>
      </c>
      <c r="S221" s="812">
        <v>0</v>
      </c>
      <c r="T221" s="811">
        <v>0</v>
      </c>
      <c r="U221" s="812">
        <v>0</v>
      </c>
      <c r="V221" s="811">
        <v>0</v>
      </c>
      <c r="W221" s="812">
        <v>0</v>
      </c>
      <c r="X221" s="811">
        <v>0</v>
      </c>
      <c r="Y221" s="812">
        <v>0</v>
      </c>
      <c r="Z221" s="811">
        <v>0</v>
      </c>
      <c r="AA221" s="812">
        <v>0</v>
      </c>
      <c r="AB221" s="811">
        <v>0</v>
      </c>
      <c r="AC221" s="812">
        <v>0</v>
      </c>
      <c r="AD221" s="811">
        <v>0</v>
      </c>
      <c r="AE221" s="807">
        <v>1.8</v>
      </c>
      <c r="AF221" s="807">
        <v>8.1999999999999993</v>
      </c>
      <c r="AL221" s="813">
        <v>3</v>
      </c>
      <c r="AQ221" s="74" t="s">
        <v>643</v>
      </c>
    </row>
    <row r="222" spans="1:43" s="74" customFormat="1">
      <c r="A222" s="802"/>
      <c r="B222" s="797">
        <v>4</v>
      </c>
      <c r="C222" s="798">
        <v>6</v>
      </c>
      <c r="D222" s="803">
        <v>217</v>
      </c>
      <c r="E222" s="800" t="s">
        <v>649</v>
      </c>
      <c r="F222" s="817">
        <v>217</v>
      </c>
      <c r="G222" s="805">
        <v>20</v>
      </c>
      <c r="H222" s="806">
        <v>1.2</v>
      </c>
      <c r="I222" s="807">
        <v>4.8</v>
      </c>
      <c r="J222" s="808">
        <v>3</v>
      </c>
      <c r="K222" s="809" t="s">
        <v>650</v>
      </c>
      <c r="L222" s="810">
        <v>6</v>
      </c>
      <c r="M222" s="810">
        <v>0.3</v>
      </c>
      <c r="N222" s="811">
        <v>0.7</v>
      </c>
      <c r="O222" s="812">
        <v>0.3</v>
      </c>
      <c r="P222" s="811">
        <v>0.7</v>
      </c>
      <c r="Q222" s="812">
        <v>0.3</v>
      </c>
      <c r="R222" s="811">
        <v>0.7</v>
      </c>
      <c r="S222" s="812">
        <v>0.3</v>
      </c>
      <c r="T222" s="811">
        <v>2.7</v>
      </c>
      <c r="U222" s="812">
        <v>0</v>
      </c>
      <c r="V222" s="811">
        <v>0</v>
      </c>
      <c r="W222" s="812">
        <v>0</v>
      </c>
      <c r="X222" s="811">
        <v>0</v>
      </c>
      <c r="Y222" s="812">
        <v>0</v>
      </c>
      <c r="Z222" s="811">
        <v>0</v>
      </c>
      <c r="AA222" s="812">
        <v>0</v>
      </c>
      <c r="AB222" s="811">
        <v>0</v>
      </c>
      <c r="AC222" s="812">
        <v>0</v>
      </c>
      <c r="AD222" s="811">
        <v>0</v>
      </c>
      <c r="AE222" s="807">
        <v>1.2</v>
      </c>
      <c r="AF222" s="807">
        <v>4.8</v>
      </c>
      <c r="AL222" s="813">
        <v>4</v>
      </c>
      <c r="AQ222" s="74" t="s">
        <v>650</v>
      </c>
    </row>
    <row r="223" spans="1:43" s="74" customFormat="1">
      <c r="A223" s="802"/>
      <c r="B223" s="797">
        <v>4</v>
      </c>
      <c r="C223" s="798">
        <v>6</v>
      </c>
      <c r="D223" s="814">
        <v>218</v>
      </c>
      <c r="E223" s="800" t="s">
        <v>651</v>
      </c>
      <c r="F223" s="819">
        <v>218</v>
      </c>
      <c r="G223" s="816">
        <v>26.666666666666671</v>
      </c>
      <c r="H223" s="806">
        <v>1.6</v>
      </c>
      <c r="I223" s="807">
        <v>4.4000000000000004</v>
      </c>
      <c r="J223" s="808">
        <v>4</v>
      </c>
      <c r="K223" s="809" t="s">
        <v>650</v>
      </c>
      <c r="L223" s="810">
        <v>6</v>
      </c>
      <c r="M223" s="810">
        <v>0.4</v>
      </c>
      <c r="N223" s="811">
        <v>0.6</v>
      </c>
      <c r="O223" s="812">
        <v>0.4</v>
      </c>
      <c r="P223" s="811">
        <v>0.6</v>
      </c>
      <c r="Q223" s="812">
        <v>0.4</v>
      </c>
      <c r="R223" s="811">
        <v>0.6</v>
      </c>
      <c r="S223" s="812">
        <v>0.4</v>
      </c>
      <c r="T223" s="811">
        <v>2.6</v>
      </c>
      <c r="U223" s="812">
        <v>0</v>
      </c>
      <c r="V223" s="811">
        <v>0</v>
      </c>
      <c r="W223" s="812">
        <v>0</v>
      </c>
      <c r="X223" s="811">
        <v>0</v>
      </c>
      <c r="Y223" s="812">
        <v>0</v>
      </c>
      <c r="Z223" s="811">
        <v>0</v>
      </c>
      <c r="AA223" s="812">
        <v>0</v>
      </c>
      <c r="AB223" s="811">
        <v>0</v>
      </c>
      <c r="AC223" s="812">
        <v>0</v>
      </c>
      <c r="AD223" s="811">
        <v>0</v>
      </c>
      <c r="AE223" s="807">
        <v>1.6</v>
      </c>
      <c r="AF223" s="807">
        <v>4.4000000000000004</v>
      </c>
      <c r="AL223" s="813">
        <v>4</v>
      </c>
      <c r="AQ223" s="74" t="s">
        <v>650</v>
      </c>
    </row>
    <row r="224" spans="1:43" s="74" customFormat="1">
      <c r="A224" s="802"/>
      <c r="B224" s="797">
        <v>4</v>
      </c>
      <c r="C224" s="798">
        <v>10</v>
      </c>
      <c r="D224" s="803">
        <v>219</v>
      </c>
      <c r="E224" s="800" t="s">
        <v>652</v>
      </c>
      <c r="F224" s="817">
        <v>219</v>
      </c>
      <c r="G224" s="805">
        <v>12</v>
      </c>
      <c r="H224" s="806">
        <v>1.2</v>
      </c>
      <c r="I224" s="807">
        <v>8.8000000000000007</v>
      </c>
      <c r="J224" s="808">
        <v>1.8</v>
      </c>
      <c r="K224" s="809" t="s">
        <v>650</v>
      </c>
      <c r="L224" s="810">
        <v>10</v>
      </c>
      <c r="M224" s="810">
        <v>0.3</v>
      </c>
      <c r="N224" s="811">
        <v>0.7</v>
      </c>
      <c r="O224" s="812">
        <v>0.3</v>
      </c>
      <c r="P224" s="811">
        <v>0.7</v>
      </c>
      <c r="Q224" s="812">
        <v>0.3</v>
      </c>
      <c r="R224" s="811">
        <v>0.7</v>
      </c>
      <c r="S224" s="812">
        <v>0.3</v>
      </c>
      <c r="T224" s="811">
        <v>6.7</v>
      </c>
      <c r="U224" s="812">
        <v>0</v>
      </c>
      <c r="V224" s="811">
        <v>0</v>
      </c>
      <c r="W224" s="812">
        <v>0</v>
      </c>
      <c r="X224" s="811">
        <v>0</v>
      </c>
      <c r="Y224" s="812">
        <v>0</v>
      </c>
      <c r="Z224" s="811">
        <v>0</v>
      </c>
      <c r="AA224" s="812">
        <v>0</v>
      </c>
      <c r="AB224" s="811">
        <v>0</v>
      </c>
      <c r="AC224" s="812">
        <v>0</v>
      </c>
      <c r="AD224" s="811">
        <v>0</v>
      </c>
      <c r="AE224" s="807">
        <v>1.2</v>
      </c>
      <c r="AF224" s="807">
        <v>8.8000000000000007</v>
      </c>
      <c r="AL224" s="813">
        <v>4</v>
      </c>
      <c r="AQ224" s="74" t="s">
        <v>650</v>
      </c>
    </row>
    <row r="225" spans="1:43" s="74" customFormat="1">
      <c r="A225" s="802"/>
      <c r="B225" s="797">
        <v>4</v>
      </c>
      <c r="C225" s="798">
        <v>12</v>
      </c>
      <c r="D225" s="814">
        <v>220</v>
      </c>
      <c r="E225" s="800" t="s">
        <v>653</v>
      </c>
      <c r="F225" s="819">
        <v>220</v>
      </c>
      <c r="G225" s="816">
        <v>10</v>
      </c>
      <c r="H225" s="806">
        <v>1.2</v>
      </c>
      <c r="I225" s="807">
        <v>10.8</v>
      </c>
      <c r="J225" s="808">
        <v>1.5</v>
      </c>
      <c r="K225" s="809" t="s">
        <v>650</v>
      </c>
      <c r="L225" s="810">
        <v>12</v>
      </c>
      <c r="M225" s="810">
        <v>0.3</v>
      </c>
      <c r="N225" s="811">
        <v>0.7</v>
      </c>
      <c r="O225" s="812">
        <v>0.3</v>
      </c>
      <c r="P225" s="811">
        <v>0.7</v>
      </c>
      <c r="Q225" s="812">
        <v>0.3</v>
      </c>
      <c r="R225" s="811">
        <v>0.7</v>
      </c>
      <c r="S225" s="812">
        <v>0.3</v>
      </c>
      <c r="T225" s="811">
        <v>8.6999999999999993</v>
      </c>
      <c r="U225" s="812">
        <v>0</v>
      </c>
      <c r="V225" s="811">
        <v>0</v>
      </c>
      <c r="W225" s="812">
        <v>0</v>
      </c>
      <c r="X225" s="811">
        <v>0</v>
      </c>
      <c r="Y225" s="812">
        <v>0</v>
      </c>
      <c r="Z225" s="811">
        <v>0</v>
      </c>
      <c r="AA225" s="812">
        <v>0</v>
      </c>
      <c r="AB225" s="811">
        <v>0</v>
      </c>
      <c r="AC225" s="812">
        <v>0</v>
      </c>
      <c r="AD225" s="811">
        <v>0</v>
      </c>
      <c r="AE225" s="807">
        <v>1.2</v>
      </c>
      <c r="AF225" s="807">
        <v>10.8</v>
      </c>
      <c r="AL225" s="813">
        <v>4</v>
      </c>
      <c r="AQ225" s="74" t="s">
        <v>650</v>
      </c>
    </row>
    <row r="226" spans="1:43" s="74" customFormat="1">
      <c r="A226" s="802"/>
      <c r="B226" s="797">
        <v>4</v>
      </c>
      <c r="C226" s="798">
        <v>15</v>
      </c>
      <c r="D226" s="803">
        <v>221</v>
      </c>
      <c r="E226" s="800" t="s">
        <v>654</v>
      </c>
      <c r="F226" s="817">
        <v>221</v>
      </c>
      <c r="G226" s="805">
        <v>9.3333333333333321</v>
      </c>
      <c r="H226" s="806">
        <v>1.4</v>
      </c>
      <c r="I226" s="807">
        <v>13.6</v>
      </c>
      <c r="J226" s="808">
        <v>1.4</v>
      </c>
      <c r="K226" s="809" t="s">
        <v>650</v>
      </c>
      <c r="L226" s="810">
        <v>15</v>
      </c>
      <c r="M226" s="810">
        <v>0.35</v>
      </c>
      <c r="N226" s="811">
        <v>0.7</v>
      </c>
      <c r="O226" s="812">
        <v>0.35</v>
      </c>
      <c r="P226" s="811">
        <v>0.7</v>
      </c>
      <c r="Q226" s="812">
        <v>0.35</v>
      </c>
      <c r="R226" s="811">
        <v>0.7</v>
      </c>
      <c r="S226" s="812">
        <v>0.35</v>
      </c>
      <c r="T226" s="811">
        <v>11.5</v>
      </c>
      <c r="U226" s="812">
        <v>0</v>
      </c>
      <c r="V226" s="811">
        <v>0</v>
      </c>
      <c r="W226" s="812">
        <v>0</v>
      </c>
      <c r="X226" s="811">
        <v>0</v>
      </c>
      <c r="Y226" s="812">
        <v>0</v>
      </c>
      <c r="Z226" s="811">
        <v>0</v>
      </c>
      <c r="AA226" s="812">
        <v>0</v>
      </c>
      <c r="AB226" s="811">
        <v>0</v>
      </c>
      <c r="AC226" s="812">
        <v>0</v>
      </c>
      <c r="AD226" s="811">
        <v>0</v>
      </c>
      <c r="AE226" s="807">
        <v>1.4</v>
      </c>
      <c r="AF226" s="807">
        <v>13.6</v>
      </c>
      <c r="AL226" s="813">
        <v>4</v>
      </c>
      <c r="AQ226" s="74" t="s">
        <v>650</v>
      </c>
    </row>
    <row r="227" spans="1:43" s="74" customFormat="1">
      <c r="A227" s="802"/>
      <c r="B227" s="797">
        <v>4</v>
      </c>
      <c r="C227" s="798">
        <v>20</v>
      </c>
      <c r="D227" s="814">
        <v>222</v>
      </c>
      <c r="E227" s="800" t="s">
        <v>655</v>
      </c>
      <c r="F227" s="819">
        <v>222</v>
      </c>
      <c r="G227" s="816">
        <v>10</v>
      </c>
      <c r="H227" s="806">
        <v>2</v>
      </c>
      <c r="I227" s="807">
        <v>18</v>
      </c>
      <c r="J227" s="808">
        <v>1.5</v>
      </c>
      <c r="K227" s="809" t="s">
        <v>650</v>
      </c>
      <c r="L227" s="810">
        <v>20</v>
      </c>
      <c r="M227" s="810">
        <v>0.5</v>
      </c>
      <c r="N227" s="811">
        <v>0.5</v>
      </c>
      <c r="O227" s="812">
        <v>0.5</v>
      </c>
      <c r="P227" s="811">
        <v>0.5</v>
      </c>
      <c r="Q227" s="812">
        <v>0.5</v>
      </c>
      <c r="R227" s="811">
        <v>0.5</v>
      </c>
      <c r="S227" s="812">
        <v>0.5</v>
      </c>
      <c r="T227" s="811">
        <v>16.5</v>
      </c>
      <c r="U227" s="812">
        <v>0</v>
      </c>
      <c r="V227" s="811">
        <v>0</v>
      </c>
      <c r="W227" s="812">
        <v>0</v>
      </c>
      <c r="X227" s="811">
        <v>0</v>
      </c>
      <c r="Y227" s="812">
        <v>0</v>
      </c>
      <c r="Z227" s="811">
        <v>0</v>
      </c>
      <c r="AA227" s="812">
        <v>0</v>
      </c>
      <c r="AB227" s="811">
        <v>0</v>
      </c>
      <c r="AC227" s="812">
        <v>0</v>
      </c>
      <c r="AD227" s="811">
        <v>0</v>
      </c>
      <c r="AE227" s="807">
        <v>2</v>
      </c>
      <c r="AF227" s="807">
        <v>18</v>
      </c>
      <c r="AL227" s="813">
        <v>4</v>
      </c>
      <c r="AQ227" s="74" t="s">
        <v>650</v>
      </c>
    </row>
    <row r="228" spans="1:43" s="74" customFormat="1">
      <c r="A228" s="802"/>
      <c r="B228" s="797">
        <v>5</v>
      </c>
      <c r="C228" s="798">
        <v>7</v>
      </c>
      <c r="D228" s="803">
        <v>223</v>
      </c>
      <c r="E228" s="800" t="s">
        <v>656</v>
      </c>
      <c r="F228" s="817">
        <v>223</v>
      </c>
      <c r="G228" s="805">
        <v>21.428571428571431</v>
      </c>
      <c r="H228" s="806">
        <v>1.5</v>
      </c>
      <c r="I228" s="807">
        <v>5.5</v>
      </c>
      <c r="J228" s="808">
        <v>3.214285714285714</v>
      </c>
      <c r="K228" s="809" t="s">
        <v>657</v>
      </c>
      <c r="L228" s="810">
        <v>7</v>
      </c>
      <c r="M228" s="810">
        <v>0.3</v>
      </c>
      <c r="N228" s="811">
        <v>0.7</v>
      </c>
      <c r="O228" s="812">
        <v>0.3</v>
      </c>
      <c r="P228" s="811">
        <v>0.7</v>
      </c>
      <c r="Q228" s="812">
        <v>0.3</v>
      </c>
      <c r="R228" s="811">
        <v>0.7</v>
      </c>
      <c r="S228" s="812">
        <v>0.3</v>
      </c>
      <c r="T228" s="811">
        <v>0.7</v>
      </c>
      <c r="U228" s="812">
        <v>0.3</v>
      </c>
      <c r="V228" s="811">
        <v>2.7</v>
      </c>
      <c r="W228" s="812">
        <v>0</v>
      </c>
      <c r="X228" s="811">
        <v>0</v>
      </c>
      <c r="Y228" s="812">
        <v>0</v>
      </c>
      <c r="Z228" s="811">
        <v>0</v>
      </c>
      <c r="AA228" s="812">
        <v>0</v>
      </c>
      <c r="AB228" s="811">
        <v>0</v>
      </c>
      <c r="AC228" s="812">
        <v>0</v>
      </c>
      <c r="AD228" s="811">
        <v>0</v>
      </c>
      <c r="AE228" s="807">
        <v>1.5</v>
      </c>
      <c r="AF228" s="807">
        <v>5.5</v>
      </c>
      <c r="AL228" s="813">
        <v>5</v>
      </c>
      <c r="AQ228" s="74" t="s">
        <v>657</v>
      </c>
    </row>
    <row r="229" spans="1:43" s="74" customFormat="1">
      <c r="A229" s="802"/>
      <c r="B229" s="797">
        <v>5</v>
      </c>
      <c r="C229" s="798">
        <v>10</v>
      </c>
      <c r="D229" s="814">
        <v>224</v>
      </c>
      <c r="E229" s="800" t="s">
        <v>658</v>
      </c>
      <c r="F229" s="819">
        <v>224</v>
      </c>
      <c r="G229" s="816">
        <v>15</v>
      </c>
      <c r="H229" s="806">
        <v>1.5</v>
      </c>
      <c r="I229" s="807">
        <v>8.5</v>
      </c>
      <c r="J229" s="808">
        <v>2.25</v>
      </c>
      <c r="K229" s="809" t="s">
        <v>657</v>
      </c>
      <c r="L229" s="810">
        <v>10</v>
      </c>
      <c r="M229" s="810">
        <v>0.3</v>
      </c>
      <c r="N229" s="811">
        <v>0.7</v>
      </c>
      <c r="O229" s="812">
        <v>0.3</v>
      </c>
      <c r="P229" s="811">
        <v>0.7</v>
      </c>
      <c r="Q229" s="812">
        <v>0.3</v>
      </c>
      <c r="R229" s="811">
        <v>0.7</v>
      </c>
      <c r="S229" s="812">
        <v>0.3</v>
      </c>
      <c r="T229" s="811">
        <v>0.7</v>
      </c>
      <c r="U229" s="812">
        <v>0.3</v>
      </c>
      <c r="V229" s="811">
        <v>5.7</v>
      </c>
      <c r="W229" s="812">
        <v>0</v>
      </c>
      <c r="X229" s="811">
        <v>0</v>
      </c>
      <c r="Y229" s="812">
        <v>0</v>
      </c>
      <c r="Z229" s="811">
        <v>0</v>
      </c>
      <c r="AA229" s="812">
        <v>0</v>
      </c>
      <c r="AB229" s="811">
        <v>0</v>
      </c>
      <c r="AC229" s="812">
        <v>0</v>
      </c>
      <c r="AD229" s="811">
        <v>0</v>
      </c>
      <c r="AE229" s="807">
        <v>1.5</v>
      </c>
      <c r="AF229" s="807">
        <v>8.5</v>
      </c>
      <c r="AL229" s="813">
        <v>5</v>
      </c>
      <c r="AQ229" s="74" t="s">
        <v>657</v>
      </c>
    </row>
    <row r="230" spans="1:43" s="74" customFormat="1">
      <c r="A230" s="802"/>
      <c r="B230" s="797">
        <v>6</v>
      </c>
      <c r="C230" s="798">
        <v>10</v>
      </c>
      <c r="D230" s="803">
        <v>225</v>
      </c>
      <c r="E230" s="800" t="s">
        <v>659</v>
      </c>
      <c r="F230" s="817">
        <v>225</v>
      </c>
      <c r="G230" s="805">
        <v>18</v>
      </c>
      <c r="H230" s="806">
        <v>1.8</v>
      </c>
      <c r="I230" s="807">
        <v>8.1999999999999993</v>
      </c>
      <c r="J230" s="808">
        <v>2.7</v>
      </c>
      <c r="K230" s="809" t="s">
        <v>660</v>
      </c>
      <c r="L230" s="810">
        <v>10</v>
      </c>
      <c r="M230" s="810">
        <v>0.3</v>
      </c>
      <c r="N230" s="811">
        <v>0.7</v>
      </c>
      <c r="O230" s="812">
        <v>0.3</v>
      </c>
      <c r="P230" s="811">
        <v>0.7</v>
      </c>
      <c r="Q230" s="812">
        <v>0.3</v>
      </c>
      <c r="R230" s="811">
        <v>0.7</v>
      </c>
      <c r="S230" s="812">
        <v>0.3</v>
      </c>
      <c r="T230" s="811">
        <v>0.7</v>
      </c>
      <c r="U230" s="812">
        <v>0.3</v>
      </c>
      <c r="V230" s="811">
        <v>0.7</v>
      </c>
      <c r="W230" s="812">
        <v>0.3</v>
      </c>
      <c r="X230" s="811">
        <v>4.7</v>
      </c>
      <c r="Y230" s="812">
        <v>0</v>
      </c>
      <c r="Z230" s="811">
        <v>0</v>
      </c>
      <c r="AA230" s="812">
        <v>0</v>
      </c>
      <c r="AB230" s="811">
        <v>0</v>
      </c>
      <c r="AC230" s="812">
        <v>0</v>
      </c>
      <c r="AD230" s="811">
        <v>0</v>
      </c>
      <c r="AE230" s="807">
        <v>1.8</v>
      </c>
      <c r="AF230" s="807">
        <v>8.1999999999999993</v>
      </c>
      <c r="AL230" s="813">
        <v>6</v>
      </c>
      <c r="AQ230" s="74" t="s">
        <v>660</v>
      </c>
    </row>
    <row r="231" spans="1:43" s="74" customFormat="1">
      <c r="A231" s="802"/>
      <c r="B231" s="797">
        <v>9</v>
      </c>
      <c r="C231" s="798">
        <v>15</v>
      </c>
      <c r="D231" s="814">
        <v>226</v>
      </c>
      <c r="E231" s="800" t="s">
        <v>661</v>
      </c>
      <c r="F231" s="819">
        <v>226</v>
      </c>
      <c r="G231" s="816">
        <v>12</v>
      </c>
      <c r="H231" s="806">
        <v>1.8</v>
      </c>
      <c r="I231" s="807">
        <v>13.2</v>
      </c>
      <c r="J231" s="808">
        <v>1.8</v>
      </c>
      <c r="K231" s="809" t="s">
        <v>662</v>
      </c>
      <c r="L231" s="810">
        <v>15</v>
      </c>
      <c r="M231" s="810">
        <v>0.2</v>
      </c>
      <c r="N231" s="811">
        <v>0.8</v>
      </c>
      <c r="O231" s="812">
        <v>0.2</v>
      </c>
      <c r="P231" s="811">
        <v>0.8</v>
      </c>
      <c r="Q231" s="812">
        <v>0.2</v>
      </c>
      <c r="R231" s="811">
        <v>0.8</v>
      </c>
      <c r="S231" s="812">
        <v>0.2</v>
      </c>
      <c r="T231" s="811">
        <v>0.8</v>
      </c>
      <c r="U231" s="812">
        <v>0.2</v>
      </c>
      <c r="V231" s="811">
        <v>0.8</v>
      </c>
      <c r="W231" s="812">
        <v>0.2</v>
      </c>
      <c r="X231" s="811">
        <v>0.8</v>
      </c>
      <c r="Y231" s="812">
        <v>0.2</v>
      </c>
      <c r="Z231" s="811">
        <v>0.8</v>
      </c>
      <c r="AA231" s="812">
        <v>0.2</v>
      </c>
      <c r="AB231" s="811">
        <v>0.8</v>
      </c>
      <c r="AC231" s="812">
        <v>0.2</v>
      </c>
      <c r="AD231" s="811">
        <v>6.8</v>
      </c>
      <c r="AE231" s="807">
        <v>1.8</v>
      </c>
      <c r="AF231" s="807">
        <v>13.2</v>
      </c>
      <c r="AL231" s="813">
        <v>9</v>
      </c>
      <c r="AQ231" s="74" t="s">
        <v>662</v>
      </c>
    </row>
    <row r="232" spans="1:43" s="74" customFormat="1">
      <c r="A232" s="802"/>
      <c r="B232" s="797">
        <v>9</v>
      </c>
      <c r="C232" s="798">
        <v>15</v>
      </c>
      <c r="D232" s="803">
        <v>227</v>
      </c>
      <c r="E232" s="800" t="s">
        <v>663</v>
      </c>
      <c r="F232" s="817">
        <v>227</v>
      </c>
      <c r="G232" s="805">
        <v>18</v>
      </c>
      <c r="H232" s="806">
        <v>2.7</v>
      </c>
      <c r="I232" s="807">
        <v>12.3</v>
      </c>
      <c r="J232" s="808">
        <v>2.7</v>
      </c>
      <c r="K232" s="809" t="s">
        <v>662</v>
      </c>
      <c r="L232" s="810">
        <v>15</v>
      </c>
      <c r="M232" s="810">
        <v>0.3</v>
      </c>
      <c r="N232" s="811">
        <v>0.7</v>
      </c>
      <c r="O232" s="812">
        <v>0.3</v>
      </c>
      <c r="P232" s="811">
        <v>0.7</v>
      </c>
      <c r="Q232" s="812">
        <v>0.3</v>
      </c>
      <c r="R232" s="811">
        <v>0.7</v>
      </c>
      <c r="S232" s="812">
        <v>0.3</v>
      </c>
      <c r="T232" s="811">
        <v>0.7</v>
      </c>
      <c r="U232" s="812">
        <v>0.3</v>
      </c>
      <c r="V232" s="811">
        <v>0.7</v>
      </c>
      <c r="W232" s="812">
        <v>0.3</v>
      </c>
      <c r="X232" s="811">
        <v>0.7</v>
      </c>
      <c r="Y232" s="812">
        <v>0.3</v>
      </c>
      <c r="Z232" s="811">
        <v>0.7</v>
      </c>
      <c r="AA232" s="812">
        <v>0.3</v>
      </c>
      <c r="AB232" s="811">
        <v>0.7</v>
      </c>
      <c r="AC232" s="812">
        <v>0.3</v>
      </c>
      <c r="AD232" s="811">
        <v>6.7</v>
      </c>
      <c r="AE232" s="807">
        <v>2.7</v>
      </c>
      <c r="AF232" s="807">
        <v>12.3</v>
      </c>
      <c r="AL232" s="813">
        <v>9</v>
      </c>
      <c r="AQ232" s="74" t="s">
        <v>662</v>
      </c>
    </row>
    <row r="233" spans="1:43" s="74" customFormat="1">
      <c r="A233" s="802"/>
      <c r="B233" s="797">
        <v>9</v>
      </c>
      <c r="C233" s="798">
        <v>15</v>
      </c>
      <c r="D233" s="814">
        <v>228</v>
      </c>
      <c r="E233" s="800" t="s">
        <v>664</v>
      </c>
      <c r="F233" s="819">
        <v>228</v>
      </c>
      <c r="G233" s="816">
        <v>21</v>
      </c>
      <c r="H233" s="806">
        <v>3.15</v>
      </c>
      <c r="I233" s="807">
        <v>11.85</v>
      </c>
      <c r="J233" s="808">
        <v>3.1500000000000008</v>
      </c>
      <c r="K233" s="809" t="s">
        <v>662</v>
      </c>
      <c r="L233" s="810">
        <v>15</v>
      </c>
      <c r="M233" s="810">
        <v>0.35</v>
      </c>
      <c r="N233" s="811">
        <v>0.65</v>
      </c>
      <c r="O233" s="812">
        <v>0.35</v>
      </c>
      <c r="P233" s="811">
        <v>0.65</v>
      </c>
      <c r="Q233" s="812">
        <v>0.35</v>
      </c>
      <c r="R233" s="811">
        <v>0.65</v>
      </c>
      <c r="S233" s="812">
        <v>0.35</v>
      </c>
      <c r="T233" s="811">
        <v>0.65</v>
      </c>
      <c r="U233" s="812">
        <v>0.35</v>
      </c>
      <c r="V233" s="811">
        <v>0.65</v>
      </c>
      <c r="W233" s="812">
        <v>0.35</v>
      </c>
      <c r="X233" s="811">
        <v>0.65</v>
      </c>
      <c r="Y233" s="812">
        <v>0.35</v>
      </c>
      <c r="Z233" s="811">
        <v>0.65</v>
      </c>
      <c r="AA233" s="812">
        <v>0.35</v>
      </c>
      <c r="AB233" s="811">
        <v>0.65</v>
      </c>
      <c r="AC233" s="812">
        <v>0.35</v>
      </c>
      <c r="AD233" s="811">
        <v>6.65</v>
      </c>
      <c r="AE233" s="807">
        <v>3.15</v>
      </c>
      <c r="AF233" s="807">
        <v>11.85</v>
      </c>
      <c r="AL233" s="813">
        <v>9</v>
      </c>
      <c r="AQ233" s="74" t="s">
        <v>662</v>
      </c>
    </row>
    <row r="234" spans="1:43" s="74" customFormat="1">
      <c r="A234" s="802"/>
      <c r="B234" s="797">
        <v>9</v>
      </c>
      <c r="C234" s="798">
        <v>15</v>
      </c>
      <c r="D234" s="803">
        <v>229</v>
      </c>
      <c r="E234" s="800" t="s">
        <v>665</v>
      </c>
      <c r="F234" s="817">
        <v>229</v>
      </c>
      <c r="G234" s="805">
        <v>36.000000000000007</v>
      </c>
      <c r="H234" s="806">
        <v>5.3999999999999986</v>
      </c>
      <c r="I234" s="807">
        <v>9.6</v>
      </c>
      <c r="J234" s="808">
        <v>5.4000000000000012</v>
      </c>
      <c r="K234" s="809" t="s">
        <v>662</v>
      </c>
      <c r="L234" s="810">
        <v>15</v>
      </c>
      <c r="M234" s="810">
        <v>0.6</v>
      </c>
      <c r="N234" s="811">
        <v>0.6</v>
      </c>
      <c r="O234" s="812">
        <v>0.6</v>
      </c>
      <c r="P234" s="811">
        <v>0.6</v>
      </c>
      <c r="Q234" s="812">
        <v>0.6</v>
      </c>
      <c r="R234" s="811">
        <v>0.6</v>
      </c>
      <c r="S234" s="812">
        <v>0.6</v>
      </c>
      <c r="T234" s="811">
        <v>0.6</v>
      </c>
      <c r="U234" s="812">
        <v>0.6</v>
      </c>
      <c r="V234" s="811">
        <v>0.6</v>
      </c>
      <c r="W234" s="812">
        <v>0.6</v>
      </c>
      <c r="X234" s="811">
        <v>0.6</v>
      </c>
      <c r="Y234" s="812">
        <v>0.6</v>
      </c>
      <c r="Z234" s="811">
        <v>0.6</v>
      </c>
      <c r="AA234" s="812">
        <v>0.6</v>
      </c>
      <c r="AB234" s="811">
        <v>0.6</v>
      </c>
      <c r="AC234" s="812">
        <v>0.6</v>
      </c>
      <c r="AD234" s="811">
        <v>4.8</v>
      </c>
      <c r="AE234" s="807">
        <v>5.3999999999999986</v>
      </c>
      <c r="AF234" s="807">
        <v>9.6</v>
      </c>
      <c r="AL234" s="813">
        <v>9</v>
      </c>
      <c r="AQ234" s="74" t="s">
        <v>662</v>
      </c>
    </row>
    <row r="235" spans="1:43" s="74" customFormat="1">
      <c r="A235" s="802"/>
      <c r="B235" s="797">
        <v>7</v>
      </c>
      <c r="C235" s="798">
        <v>15</v>
      </c>
      <c r="D235" s="814">
        <v>230</v>
      </c>
      <c r="E235" s="800" t="s">
        <v>666</v>
      </c>
      <c r="F235" s="819">
        <v>230</v>
      </c>
      <c r="G235" s="816">
        <v>21.333333333333339</v>
      </c>
      <c r="H235" s="806">
        <v>3.2</v>
      </c>
      <c r="I235" s="807">
        <v>11.8</v>
      </c>
      <c r="J235" s="808">
        <v>3.2</v>
      </c>
      <c r="K235" s="809" t="s">
        <v>667</v>
      </c>
      <c r="L235" s="810">
        <v>15</v>
      </c>
      <c r="M235" s="810">
        <v>0.2</v>
      </c>
      <c r="N235" s="811">
        <v>0.8</v>
      </c>
      <c r="O235" s="812">
        <v>0.2</v>
      </c>
      <c r="P235" s="811">
        <v>0.8</v>
      </c>
      <c r="Q235" s="812">
        <v>0.2</v>
      </c>
      <c r="R235" s="811">
        <v>0.8</v>
      </c>
      <c r="S235" s="812">
        <v>0.2</v>
      </c>
      <c r="T235" s="811">
        <v>0.8</v>
      </c>
      <c r="U235" s="812">
        <v>0.2</v>
      </c>
      <c r="V235" s="811">
        <v>0.8</v>
      </c>
      <c r="W235" s="812">
        <v>0.2</v>
      </c>
      <c r="X235" s="811">
        <v>0.8</v>
      </c>
      <c r="Y235" s="812">
        <v>2</v>
      </c>
      <c r="Z235" s="811">
        <v>7</v>
      </c>
      <c r="AA235" s="812">
        <v>0</v>
      </c>
      <c r="AB235" s="811">
        <v>0</v>
      </c>
      <c r="AC235" s="812">
        <v>0</v>
      </c>
      <c r="AD235" s="811">
        <v>0</v>
      </c>
      <c r="AE235" s="807">
        <v>3.2</v>
      </c>
      <c r="AF235" s="807">
        <v>11.8</v>
      </c>
      <c r="AL235" s="813">
        <v>7</v>
      </c>
      <c r="AQ235" s="74" t="s">
        <v>667</v>
      </c>
    </row>
    <row r="236" spans="1:43" s="74" customFormat="1">
      <c r="A236" s="802"/>
      <c r="B236" s="797">
        <v>7</v>
      </c>
      <c r="C236" s="798">
        <v>15</v>
      </c>
      <c r="D236" s="803">
        <v>231</v>
      </c>
      <c r="E236" s="800" t="s">
        <v>668</v>
      </c>
      <c r="F236" s="817">
        <v>231</v>
      </c>
      <c r="G236" s="805">
        <v>25.333333333333329</v>
      </c>
      <c r="H236" s="806">
        <v>3.8</v>
      </c>
      <c r="I236" s="807">
        <v>11.2</v>
      </c>
      <c r="J236" s="808">
        <v>3.7999999999999989</v>
      </c>
      <c r="K236" s="809" t="s">
        <v>667</v>
      </c>
      <c r="L236" s="810">
        <v>15</v>
      </c>
      <c r="M236" s="810">
        <v>0.3</v>
      </c>
      <c r="N236" s="811">
        <v>0.7</v>
      </c>
      <c r="O236" s="812">
        <v>0.3</v>
      </c>
      <c r="P236" s="811">
        <v>0.7</v>
      </c>
      <c r="Q236" s="812">
        <v>0.3</v>
      </c>
      <c r="R236" s="811">
        <v>0.7</v>
      </c>
      <c r="S236" s="812">
        <v>0.3</v>
      </c>
      <c r="T236" s="811">
        <v>0.7</v>
      </c>
      <c r="U236" s="812">
        <v>0.3</v>
      </c>
      <c r="V236" s="811">
        <v>0.7</v>
      </c>
      <c r="W236" s="812">
        <v>0.3</v>
      </c>
      <c r="X236" s="811">
        <v>0.7</v>
      </c>
      <c r="Y236" s="812">
        <v>2</v>
      </c>
      <c r="Z236" s="811">
        <v>7</v>
      </c>
      <c r="AA236" s="812">
        <v>0</v>
      </c>
      <c r="AB236" s="811">
        <v>0</v>
      </c>
      <c r="AC236" s="812">
        <v>0</v>
      </c>
      <c r="AD236" s="811">
        <v>0</v>
      </c>
      <c r="AE236" s="807">
        <v>3.8</v>
      </c>
      <c r="AF236" s="807">
        <v>11.2</v>
      </c>
      <c r="AL236" s="813">
        <v>7</v>
      </c>
      <c r="AQ236" s="74" t="s">
        <v>667</v>
      </c>
    </row>
    <row r="237" spans="1:43" s="74" customFormat="1">
      <c r="A237" s="802"/>
      <c r="B237" s="797">
        <v>7</v>
      </c>
      <c r="C237" s="798">
        <v>15</v>
      </c>
      <c r="D237" s="814">
        <v>232</v>
      </c>
      <c r="E237" s="800" t="s">
        <v>669</v>
      </c>
      <c r="F237" s="819">
        <v>232</v>
      </c>
      <c r="G237" s="816">
        <v>21</v>
      </c>
      <c r="H237" s="806">
        <v>3.15</v>
      </c>
      <c r="I237" s="807">
        <v>11.85</v>
      </c>
      <c r="J237" s="808">
        <v>3.1500000000000008</v>
      </c>
      <c r="K237" s="809" t="s">
        <v>667</v>
      </c>
      <c r="L237" s="810">
        <v>15</v>
      </c>
      <c r="M237" s="810">
        <v>0.35</v>
      </c>
      <c r="N237" s="811">
        <v>0.65</v>
      </c>
      <c r="O237" s="812">
        <v>0.35</v>
      </c>
      <c r="P237" s="811">
        <v>0.65</v>
      </c>
      <c r="Q237" s="812">
        <v>0.35</v>
      </c>
      <c r="R237" s="811">
        <v>0.65</v>
      </c>
      <c r="S237" s="812">
        <v>0.35</v>
      </c>
      <c r="T237" s="811">
        <v>0.65</v>
      </c>
      <c r="U237" s="812">
        <v>0.35</v>
      </c>
      <c r="V237" s="811">
        <v>0.65</v>
      </c>
      <c r="W237" s="812">
        <v>0.35</v>
      </c>
      <c r="X237" s="811">
        <v>0.65</v>
      </c>
      <c r="Y237" s="812">
        <v>1.05</v>
      </c>
      <c r="Z237" s="811">
        <v>7.95</v>
      </c>
      <c r="AA237" s="812">
        <v>0</v>
      </c>
      <c r="AB237" s="811">
        <v>0</v>
      </c>
      <c r="AC237" s="812">
        <v>0</v>
      </c>
      <c r="AD237" s="811">
        <v>0</v>
      </c>
      <c r="AE237" s="807">
        <v>3.15</v>
      </c>
      <c r="AF237" s="807">
        <v>11.85</v>
      </c>
      <c r="AL237" s="813">
        <v>7</v>
      </c>
      <c r="AQ237" s="74" t="s">
        <v>667</v>
      </c>
    </row>
    <row r="238" spans="1:43" s="74" customFormat="1">
      <c r="A238" s="802"/>
      <c r="B238" s="797">
        <v>7</v>
      </c>
      <c r="C238" s="798">
        <v>15</v>
      </c>
      <c r="D238" s="803">
        <v>233</v>
      </c>
      <c r="E238" s="800" t="s">
        <v>670</v>
      </c>
      <c r="F238" s="817">
        <v>233</v>
      </c>
      <c r="G238" s="805">
        <v>37.333333333333329</v>
      </c>
      <c r="H238" s="806">
        <v>5.6</v>
      </c>
      <c r="I238" s="807">
        <v>9.4</v>
      </c>
      <c r="J238" s="808">
        <v>5.6</v>
      </c>
      <c r="K238" s="809" t="s">
        <v>667</v>
      </c>
      <c r="L238" s="810">
        <v>15</v>
      </c>
      <c r="M238" s="810">
        <v>0.6</v>
      </c>
      <c r="N238" s="811">
        <v>0.6</v>
      </c>
      <c r="O238" s="812">
        <v>0.6</v>
      </c>
      <c r="P238" s="811">
        <v>0.6</v>
      </c>
      <c r="Q238" s="812">
        <v>0.6</v>
      </c>
      <c r="R238" s="811">
        <v>0.6</v>
      </c>
      <c r="S238" s="812">
        <v>0.6</v>
      </c>
      <c r="T238" s="811">
        <v>0.6</v>
      </c>
      <c r="U238" s="812">
        <v>0.6</v>
      </c>
      <c r="V238" s="811">
        <v>0.6</v>
      </c>
      <c r="W238" s="812">
        <v>0.6</v>
      </c>
      <c r="X238" s="811">
        <v>0.6</v>
      </c>
      <c r="Y238" s="812">
        <v>2</v>
      </c>
      <c r="Z238" s="811">
        <v>5.8</v>
      </c>
      <c r="AA238" s="812">
        <v>0</v>
      </c>
      <c r="AB238" s="811">
        <v>0</v>
      </c>
      <c r="AC238" s="812">
        <v>0</v>
      </c>
      <c r="AD238" s="811">
        <v>0</v>
      </c>
      <c r="AE238" s="807">
        <v>5.6</v>
      </c>
      <c r="AF238" s="807">
        <v>9.4</v>
      </c>
      <c r="AL238" s="813">
        <v>7</v>
      </c>
      <c r="AQ238" s="74" t="s">
        <v>667</v>
      </c>
    </row>
    <row r="239" spans="1:43" s="74" customFormat="1">
      <c r="A239" s="802"/>
      <c r="B239" s="797">
        <v>1</v>
      </c>
      <c r="C239" s="798">
        <v>0.5</v>
      </c>
      <c r="D239" s="814">
        <v>234</v>
      </c>
      <c r="E239" s="800" t="s">
        <v>671</v>
      </c>
      <c r="F239" s="815">
        <v>234</v>
      </c>
      <c r="G239" s="816">
        <v>30</v>
      </c>
      <c r="H239" s="806">
        <v>0.15</v>
      </c>
      <c r="I239" s="807">
        <v>0.35</v>
      </c>
      <c r="J239" s="808">
        <v>4.5</v>
      </c>
      <c r="K239" s="809" t="s">
        <v>672</v>
      </c>
      <c r="L239" s="810">
        <v>0.5</v>
      </c>
      <c r="M239" s="810">
        <v>0.15</v>
      </c>
      <c r="N239" s="811">
        <v>0.35</v>
      </c>
      <c r="O239" s="812">
        <v>0</v>
      </c>
      <c r="P239" s="811">
        <v>0</v>
      </c>
      <c r="Q239" s="812">
        <v>0</v>
      </c>
      <c r="R239" s="811">
        <v>0</v>
      </c>
      <c r="S239" s="812">
        <v>0</v>
      </c>
      <c r="T239" s="811">
        <v>0</v>
      </c>
      <c r="U239" s="812">
        <v>0</v>
      </c>
      <c r="V239" s="811">
        <v>0</v>
      </c>
      <c r="W239" s="812">
        <v>0</v>
      </c>
      <c r="X239" s="811">
        <v>0</v>
      </c>
      <c r="Y239" s="812">
        <v>0</v>
      </c>
      <c r="Z239" s="811">
        <v>0</v>
      </c>
      <c r="AA239" s="812">
        <v>0</v>
      </c>
      <c r="AB239" s="811">
        <v>0</v>
      </c>
      <c r="AC239" s="812">
        <v>0</v>
      </c>
      <c r="AD239" s="811">
        <v>0</v>
      </c>
      <c r="AE239" s="807">
        <v>0.15</v>
      </c>
      <c r="AF239" s="807">
        <v>0.35</v>
      </c>
      <c r="AL239" s="813">
        <v>1</v>
      </c>
      <c r="AQ239" s="74" t="s">
        <v>672</v>
      </c>
    </row>
    <row r="240" spans="1:43" s="74" customFormat="1">
      <c r="A240" s="802"/>
      <c r="B240" s="797">
        <v>1</v>
      </c>
      <c r="C240" s="798">
        <v>0.5</v>
      </c>
      <c r="D240" s="803">
        <v>235</v>
      </c>
      <c r="E240" s="800" t="s">
        <v>673</v>
      </c>
      <c r="F240" s="804">
        <v>235</v>
      </c>
      <c r="G240" s="805">
        <v>40</v>
      </c>
      <c r="H240" s="806">
        <v>0.2</v>
      </c>
      <c r="I240" s="807">
        <v>0.3</v>
      </c>
      <c r="J240" s="808">
        <v>6</v>
      </c>
      <c r="K240" s="809" t="s">
        <v>672</v>
      </c>
      <c r="L240" s="810">
        <v>0.5</v>
      </c>
      <c r="M240" s="810">
        <v>0.2</v>
      </c>
      <c r="N240" s="811">
        <v>0.3</v>
      </c>
      <c r="O240" s="812">
        <v>0</v>
      </c>
      <c r="P240" s="811">
        <v>0</v>
      </c>
      <c r="Q240" s="812">
        <v>0</v>
      </c>
      <c r="R240" s="811">
        <v>0</v>
      </c>
      <c r="S240" s="812">
        <v>0</v>
      </c>
      <c r="T240" s="811">
        <v>0</v>
      </c>
      <c r="U240" s="812">
        <v>0</v>
      </c>
      <c r="V240" s="811">
        <v>0</v>
      </c>
      <c r="W240" s="812">
        <v>0</v>
      </c>
      <c r="X240" s="811">
        <v>0</v>
      </c>
      <c r="Y240" s="812">
        <v>0</v>
      </c>
      <c r="Z240" s="811">
        <v>0</v>
      </c>
      <c r="AA240" s="812">
        <v>0</v>
      </c>
      <c r="AB240" s="811">
        <v>0</v>
      </c>
      <c r="AC240" s="812">
        <v>0</v>
      </c>
      <c r="AD240" s="811">
        <v>0</v>
      </c>
      <c r="AE240" s="807">
        <v>0.2</v>
      </c>
      <c r="AF240" s="807">
        <v>0.3</v>
      </c>
      <c r="AL240" s="813">
        <v>1</v>
      </c>
      <c r="AQ240" s="74" t="s">
        <v>672</v>
      </c>
    </row>
    <row r="241" spans="1:43" s="74" customFormat="1">
      <c r="A241" s="802"/>
      <c r="B241" s="797">
        <v>1</v>
      </c>
      <c r="C241" s="798">
        <v>0.60000000000000009</v>
      </c>
      <c r="D241" s="814">
        <v>236</v>
      </c>
      <c r="E241" s="800" t="s">
        <v>674</v>
      </c>
      <c r="F241" s="815">
        <v>236</v>
      </c>
      <c r="G241" s="816">
        <v>33.333333333333329</v>
      </c>
      <c r="H241" s="806">
        <v>0.2</v>
      </c>
      <c r="I241" s="807">
        <v>0.4</v>
      </c>
      <c r="J241" s="808">
        <v>4.9999999999999991</v>
      </c>
      <c r="K241" s="809" t="s">
        <v>672</v>
      </c>
      <c r="L241" s="810">
        <v>0.60000000000000009</v>
      </c>
      <c r="M241" s="810">
        <v>0.2</v>
      </c>
      <c r="N241" s="811">
        <v>0.4</v>
      </c>
      <c r="O241" s="812">
        <v>0</v>
      </c>
      <c r="P241" s="811">
        <v>0</v>
      </c>
      <c r="Q241" s="812">
        <v>0</v>
      </c>
      <c r="R241" s="811">
        <v>0</v>
      </c>
      <c r="S241" s="812">
        <v>0</v>
      </c>
      <c r="T241" s="811">
        <v>0</v>
      </c>
      <c r="U241" s="812">
        <v>0</v>
      </c>
      <c r="V241" s="811">
        <v>0</v>
      </c>
      <c r="W241" s="812">
        <v>0</v>
      </c>
      <c r="X241" s="811">
        <v>0</v>
      </c>
      <c r="Y241" s="812">
        <v>0</v>
      </c>
      <c r="Z241" s="811">
        <v>0</v>
      </c>
      <c r="AA241" s="812">
        <v>0</v>
      </c>
      <c r="AB241" s="811">
        <v>0</v>
      </c>
      <c r="AC241" s="812">
        <v>0</v>
      </c>
      <c r="AD241" s="811">
        <v>0</v>
      </c>
      <c r="AE241" s="807">
        <v>0.2</v>
      </c>
      <c r="AF241" s="807">
        <v>0.4</v>
      </c>
      <c r="AL241" s="813">
        <v>1</v>
      </c>
      <c r="AQ241" s="74" t="s">
        <v>672</v>
      </c>
    </row>
    <row r="242" spans="1:43" s="74" customFormat="1">
      <c r="A242" s="802"/>
      <c r="B242" s="797">
        <v>1</v>
      </c>
      <c r="C242" s="798">
        <v>0.6</v>
      </c>
      <c r="D242" s="803">
        <v>237</v>
      </c>
      <c r="E242" s="800" t="s">
        <v>675</v>
      </c>
      <c r="F242" s="804">
        <v>237</v>
      </c>
      <c r="G242" s="805">
        <v>50</v>
      </c>
      <c r="H242" s="806">
        <v>0.3</v>
      </c>
      <c r="I242" s="807">
        <v>0.3</v>
      </c>
      <c r="J242" s="808">
        <v>7.5</v>
      </c>
      <c r="K242" s="809" t="s">
        <v>672</v>
      </c>
      <c r="L242" s="810">
        <v>0.6</v>
      </c>
      <c r="M242" s="810">
        <v>0.3</v>
      </c>
      <c r="N242" s="811">
        <v>0.3</v>
      </c>
      <c r="O242" s="812">
        <v>0</v>
      </c>
      <c r="P242" s="811">
        <v>0</v>
      </c>
      <c r="Q242" s="812">
        <v>0</v>
      </c>
      <c r="R242" s="811">
        <v>0</v>
      </c>
      <c r="S242" s="812">
        <v>0</v>
      </c>
      <c r="T242" s="811">
        <v>0</v>
      </c>
      <c r="U242" s="812">
        <v>0</v>
      </c>
      <c r="V242" s="811">
        <v>0</v>
      </c>
      <c r="W242" s="812">
        <v>0</v>
      </c>
      <c r="X242" s="811">
        <v>0</v>
      </c>
      <c r="Y242" s="812">
        <v>0</v>
      </c>
      <c r="Z242" s="811">
        <v>0</v>
      </c>
      <c r="AA242" s="812">
        <v>0</v>
      </c>
      <c r="AB242" s="811">
        <v>0</v>
      </c>
      <c r="AC242" s="812">
        <v>0</v>
      </c>
      <c r="AD242" s="811">
        <v>0</v>
      </c>
      <c r="AE242" s="807">
        <v>0.3</v>
      </c>
      <c r="AF242" s="807">
        <v>0.3</v>
      </c>
      <c r="AL242" s="813">
        <v>1</v>
      </c>
      <c r="AQ242" s="74" t="s">
        <v>672</v>
      </c>
    </row>
    <row r="243" spans="1:43" s="74" customFormat="1">
      <c r="A243" s="802"/>
      <c r="B243" s="797">
        <v>2</v>
      </c>
      <c r="C243" s="798">
        <v>4</v>
      </c>
      <c r="D243" s="818">
        <v>238</v>
      </c>
      <c r="E243" s="800" t="s">
        <v>676</v>
      </c>
      <c r="F243" s="819">
        <v>238</v>
      </c>
      <c r="G243" s="816">
        <v>10</v>
      </c>
      <c r="H243" s="806">
        <v>0.4</v>
      </c>
      <c r="I243" s="807">
        <v>3.6</v>
      </c>
      <c r="J243" s="808">
        <v>1.5</v>
      </c>
      <c r="K243" s="809" t="s">
        <v>677</v>
      </c>
      <c r="L243" s="810">
        <v>4</v>
      </c>
      <c r="M243" s="810">
        <v>0.2</v>
      </c>
      <c r="N243" s="811">
        <v>1</v>
      </c>
      <c r="O243" s="812">
        <v>0.2</v>
      </c>
      <c r="P243" s="811">
        <v>2.6</v>
      </c>
      <c r="Q243" s="812">
        <v>0</v>
      </c>
      <c r="R243" s="811">
        <v>0</v>
      </c>
      <c r="S243" s="812">
        <v>0</v>
      </c>
      <c r="T243" s="811">
        <v>0</v>
      </c>
      <c r="U243" s="812">
        <v>0</v>
      </c>
      <c r="V243" s="811">
        <v>0</v>
      </c>
      <c r="W243" s="812">
        <v>0</v>
      </c>
      <c r="X243" s="811">
        <v>0</v>
      </c>
      <c r="Y243" s="812">
        <v>0</v>
      </c>
      <c r="Z243" s="811">
        <v>0</v>
      </c>
      <c r="AA243" s="812">
        <v>0</v>
      </c>
      <c r="AB243" s="811">
        <v>0</v>
      </c>
      <c r="AC243" s="812">
        <v>0</v>
      </c>
      <c r="AD243" s="811">
        <v>0</v>
      </c>
      <c r="AE243" s="807">
        <v>0.4</v>
      </c>
      <c r="AF243" s="807">
        <v>3.6</v>
      </c>
      <c r="AL243" s="813">
        <v>2</v>
      </c>
      <c r="AQ243" s="74" t="s">
        <v>677</v>
      </c>
    </row>
    <row r="244" spans="1:43" s="74" customFormat="1">
      <c r="A244" s="802"/>
      <c r="B244" s="797">
        <v>2</v>
      </c>
      <c r="C244" s="798">
        <v>8</v>
      </c>
      <c r="D244" s="797">
        <v>239</v>
      </c>
      <c r="E244" s="800" t="s">
        <v>678</v>
      </c>
      <c r="F244" s="817">
        <v>239</v>
      </c>
      <c r="G244" s="805">
        <v>5</v>
      </c>
      <c r="H244" s="806">
        <v>0.4</v>
      </c>
      <c r="I244" s="807">
        <v>7.6</v>
      </c>
      <c r="J244" s="808">
        <v>0.75</v>
      </c>
      <c r="K244" s="809" t="s">
        <v>677</v>
      </c>
      <c r="L244" s="810">
        <v>8</v>
      </c>
      <c r="M244" s="810">
        <v>0.2</v>
      </c>
      <c r="N244" s="811">
        <v>1</v>
      </c>
      <c r="O244" s="812">
        <v>0.2</v>
      </c>
      <c r="P244" s="811">
        <v>6.6</v>
      </c>
      <c r="Q244" s="812">
        <v>0</v>
      </c>
      <c r="R244" s="811">
        <v>0</v>
      </c>
      <c r="S244" s="812">
        <v>0</v>
      </c>
      <c r="T244" s="811">
        <v>0</v>
      </c>
      <c r="U244" s="812">
        <v>0</v>
      </c>
      <c r="V244" s="811">
        <v>0</v>
      </c>
      <c r="W244" s="812">
        <v>0</v>
      </c>
      <c r="X244" s="811">
        <v>0</v>
      </c>
      <c r="Y244" s="812">
        <v>0</v>
      </c>
      <c r="Z244" s="811">
        <v>0</v>
      </c>
      <c r="AA244" s="812">
        <v>0</v>
      </c>
      <c r="AB244" s="811">
        <v>0</v>
      </c>
      <c r="AC244" s="812">
        <v>0</v>
      </c>
      <c r="AD244" s="811">
        <v>0</v>
      </c>
      <c r="AE244" s="807">
        <v>0.4</v>
      </c>
      <c r="AF244" s="807">
        <v>7.6</v>
      </c>
      <c r="AL244" s="813">
        <v>2</v>
      </c>
      <c r="AQ244" s="74" t="s">
        <v>677</v>
      </c>
    </row>
    <row r="245" spans="1:43" s="74" customFormat="1">
      <c r="A245" s="802"/>
      <c r="B245" s="797">
        <v>3</v>
      </c>
      <c r="C245" s="798">
        <v>5</v>
      </c>
      <c r="D245" s="814">
        <v>240</v>
      </c>
      <c r="E245" s="800" t="s">
        <v>679</v>
      </c>
      <c r="F245" s="819">
        <v>240</v>
      </c>
      <c r="G245" s="816">
        <v>9</v>
      </c>
      <c r="H245" s="806">
        <v>0.45</v>
      </c>
      <c r="I245" s="807">
        <v>4.55</v>
      </c>
      <c r="J245" s="808">
        <v>1.35</v>
      </c>
      <c r="K245" s="809" t="s">
        <v>680</v>
      </c>
      <c r="L245" s="810">
        <v>5</v>
      </c>
      <c r="M245" s="810">
        <v>0.15</v>
      </c>
      <c r="N245" s="811">
        <v>0.35</v>
      </c>
      <c r="O245" s="812">
        <v>0.15</v>
      </c>
      <c r="P245" s="811">
        <v>0.35</v>
      </c>
      <c r="Q245" s="812">
        <v>0.15</v>
      </c>
      <c r="R245" s="811">
        <v>3.85</v>
      </c>
      <c r="S245" s="812">
        <v>0</v>
      </c>
      <c r="T245" s="811">
        <v>0</v>
      </c>
      <c r="U245" s="812">
        <v>0</v>
      </c>
      <c r="V245" s="811">
        <v>0</v>
      </c>
      <c r="W245" s="812">
        <v>0</v>
      </c>
      <c r="X245" s="811">
        <v>0</v>
      </c>
      <c r="Y245" s="812">
        <v>0</v>
      </c>
      <c r="Z245" s="811">
        <v>0</v>
      </c>
      <c r="AA245" s="812">
        <v>0</v>
      </c>
      <c r="AB245" s="811">
        <v>0</v>
      </c>
      <c r="AC245" s="812">
        <v>0</v>
      </c>
      <c r="AD245" s="811">
        <v>0</v>
      </c>
      <c r="AE245" s="807">
        <v>0.45</v>
      </c>
      <c r="AF245" s="807">
        <v>4.55</v>
      </c>
      <c r="AL245" s="813">
        <v>3</v>
      </c>
      <c r="AQ245" s="74" t="s">
        <v>680</v>
      </c>
    </row>
    <row r="246" spans="1:43" s="74" customFormat="1">
      <c r="A246" s="802"/>
      <c r="B246" s="797">
        <v>3</v>
      </c>
      <c r="C246" s="798">
        <v>5</v>
      </c>
      <c r="D246" s="803">
        <v>241</v>
      </c>
      <c r="E246" s="800" t="s">
        <v>681</v>
      </c>
      <c r="F246" s="817">
        <v>241</v>
      </c>
      <c r="G246" s="805">
        <v>12</v>
      </c>
      <c r="H246" s="806">
        <v>0.60000000000000009</v>
      </c>
      <c r="I246" s="807">
        <v>4.3999999999999986</v>
      </c>
      <c r="J246" s="808">
        <v>1.8</v>
      </c>
      <c r="K246" s="809" t="s">
        <v>680</v>
      </c>
      <c r="L246" s="810">
        <v>5</v>
      </c>
      <c r="M246" s="810">
        <v>0.2</v>
      </c>
      <c r="N246" s="811">
        <v>0.3</v>
      </c>
      <c r="O246" s="812">
        <v>0.2</v>
      </c>
      <c r="P246" s="811">
        <v>0.3</v>
      </c>
      <c r="Q246" s="812">
        <v>0.2</v>
      </c>
      <c r="R246" s="811">
        <v>3.8</v>
      </c>
      <c r="S246" s="812">
        <v>0</v>
      </c>
      <c r="T246" s="811">
        <v>0</v>
      </c>
      <c r="U246" s="812">
        <v>0</v>
      </c>
      <c r="V246" s="811">
        <v>0</v>
      </c>
      <c r="W246" s="812">
        <v>0</v>
      </c>
      <c r="X246" s="811">
        <v>0</v>
      </c>
      <c r="Y246" s="812">
        <v>0</v>
      </c>
      <c r="Z246" s="811">
        <v>0</v>
      </c>
      <c r="AA246" s="812">
        <v>0</v>
      </c>
      <c r="AB246" s="811">
        <v>0</v>
      </c>
      <c r="AC246" s="812">
        <v>0</v>
      </c>
      <c r="AD246" s="811">
        <v>0</v>
      </c>
      <c r="AE246" s="807">
        <v>0.60000000000000009</v>
      </c>
      <c r="AF246" s="807">
        <v>4.3999999999999986</v>
      </c>
      <c r="AL246" s="813">
        <v>3</v>
      </c>
      <c r="AQ246" s="74" t="s">
        <v>680</v>
      </c>
    </row>
    <row r="247" spans="1:43" s="74" customFormat="1">
      <c r="A247" s="802"/>
      <c r="B247" s="797">
        <v>3</v>
      </c>
      <c r="C247" s="798">
        <v>5</v>
      </c>
      <c r="D247" s="814">
        <v>242</v>
      </c>
      <c r="E247" s="800" t="s">
        <v>682</v>
      </c>
      <c r="F247" s="819">
        <v>242</v>
      </c>
      <c r="G247" s="816">
        <v>18</v>
      </c>
      <c r="H247" s="806">
        <v>0.89999999999999991</v>
      </c>
      <c r="I247" s="807">
        <v>4.1000000000000014</v>
      </c>
      <c r="J247" s="808">
        <v>2.7</v>
      </c>
      <c r="K247" s="809" t="s">
        <v>680</v>
      </c>
      <c r="L247" s="810">
        <v>5</v>
      </c>
      <c r="M247" s="810">
        <v>0.3</v>
      </c>
      <c r="N247" s="811">
        <v>0.2</v>
      </c>
      <c r="O247" s="812">
        <v>0.3</v>
      </c>
      <c r="P247" s="811">
        <v>0.2</v>
      </c>
      <c r="Q247" s="812">
        <v>0.3</v>
      </c>
      <c r="R247" s="811">
        <v>3.7</v>
      </c>
      <c r="S247" s="812">
        <v>0</v>
      </c>
      <c r="T247" s="811">
        <v>0</v>
      </c>
      <c r="U247" s="812">
        <v>0</v>
      </c>
      <c r="V247" s="811">
        <v>0</v>
      </c>
      <c r="W247" s="812">
        <v>0</v>
      </c>
      <c r="X247" s="811">
        <v>0</v>
      </c>
      <c r="Y247" s="812">
        <v>0</v>
      </c>
      <c r="Z247" s="811">
        <v>0</v>
      </c>
      <c r="AA247" s="812">
        <v>0</v>
      </c>
      <c r="AB247" s="811">
        <v>0</v>
      </c>
      <c r="AC247" s="812">
        <v>0</v>
      </c>
      <c r="AD247" s="811">
        <v>0</v>
      </c>
      <c r="AE247" s="807">
        <v>0.89999999999999991</v>
      </c>
      <c r="AF247" s="807">
        <v>4.1000000000000014</v>
      </c>
      <c r="AL247" s="813">
        <v>3</v>
      </c>
      <c r="AQ247" s="74" t="s">
        <v>680</v>
      </c>
    </row>
    <row r="248" spans="1:43" s="74" customFormat="1">
      <c r="A248" s="802"/>
      <c r="B248" s="797">
        <v>3</v>
      </c>
      <c r="C248" s="798">
        <v>5</v>
      </c>
      <c r="D248" s="803">
        <v>243</v>
      </c>
      <c r="E248" s="800" t="s">
        <v>683</v>
      </c>
      <c r="F248" s="817">
        <v>243</v>
      </c>
      <c r="G248" s="805">
        <v>18</v>
      </c>
      <c r="H248" s="806">
        <v>0.89999999999999991</v>
      </c>
      <c r="I248" s="807">
        <v>4.0999999999999996</v>
      </c>
      <c r="J248" s="808">
        <v>2.7</v>
      </c>
      <c r="K248" s="809" t="s">
        <v>680</v>
      </c>
      <c r="L248" s="810">
        <v>5</v>
      </c>
      <c r="M248" s="810">
        <v>0.3</v>
      </c>
      <c r="N248" s="811">
        <v>0.3</v>
      </c>
      <c r="O248" s="812">
        <v>0.3</v>
      </c>
      <c r="P248" s="811">
        <v>0.3</v>
      </c>
      <c r="Q248" s="812">
        <v>0.3</v>
      </c>
      <c r="R248" s="811">
        <v>3.5</v>
      </c>
      <c r="S248" s="812">
        <v>0</v>
      </c>
      <c r="T248" s="811">
        <v>0</v>
      </c>
      <c r="U248" s="812">
        <v>0</v>
      </c>
      <c r="V248" s="811">
        <v>0</v>
      </c>
      <c r="W248" s="812">
        <v>0</v>
      </c>
      <c r="X248" s="811">
        <v>0</v>
      </c>
      <c r="Y248" s="812">
        <v>0</v>
      </c>
      <c r="Z248" s="811">
        <v>0</v>
      </c>
      <c r="AA248" s="812">
        <v>0</v>
      </c>
      <c r="AB248" s="811">
        <v>0</v>
      </c>
      <c r="AC248" s="812">
        <v>0</v>
      </c>
      <c r="AD248" s="811">
        <v>0</v>
      </c>
      <c r="AE248" s="807">
        <v>0.89999999999999991</v>
      </c>
      <c r="AF248" s="807">
        <v>4.0999999999999996</v>
      </c>
      <c r="AL248" s="813">
        <v>3</v>
      </c>
      <c r="AQ248" s="74" t="s">
        <v>680</v>
      </c>
    </row>
    <row r="249" spans="1:43" s="74" customFormat="1">
      <c r="A249" s="802"/>
      <c r="B249" s="797">
        <v>3</v>
      </c>
      <c r="C249" s="798">
        <v>15</v>
      </c>
      <c r="D249" s="814">
        <v>244</v>
      </c>
      <c r="E249" s="800" t="s">
        <v>684</v>
      </c>
      <c r="F249" s="819">
        <v>244</v>
      </c>
      <c r="G249" s="816">
        <v>2</v>
      </c>
      <c r="H249" s="806">
        <v>0.3</v>
      </c>
      <c r="I249" s="807">
        <v>14.7</v>
      </c>
      <c r="J249" s="808">
        <v>0.3</v>
      </c>
      <c r="K249" s="809" t="s">
        <v>680</v>
      </c>
      <c r="L249" s="810">
        <v>15</v>
      </c>
      <c r="M249" s="810">
        <v>0.1</v>
      </c>
      <c r="N249" s="811">
        <v>0.5</v>
      </c>
      <c r="O249" s="812">
        <v>0.1</v>
      </c>
      <c r="P249" s="811">
        <v>0.5</v>
      </c>
      <c r="Q249" s="812">
        <v>0.1</v>
      </c>
      <c r="R249" s="811">
        <v>13.7</v>
      </c>
      <c r="S249" s="812">
        <v>0</v>
      </c>
      <c r="T249" s="811">
        <v>0</v>
      </c>
      <c r="U249" s="812">
        <v>0</v>
      </c>
      <c r="V249" s="811">
        <v>0</v>
      </c>
      <c r="W249" s="812">
        <v>0</v>
      </c>
      <c r="X249" s="811">
        <v>0</v>
      </c>
      <c r="Y249" s="812">
        <v>0</v>
      </c>
      <c r="Z249" s="811">
        <v>0</v>
      </c>
      <c r="AA249" s="812">
        <v>0</v>
      </c>
      <c r="AB249" s="811">
        <v>0</v>
      </c>
      <c r="AC249" s="812">
        <v>0</v>
      </c>
      <c r="AD249" s="811">
        <v>0</v>
      </c>
      <c r="AE249" s="807">
        <v>0.3</v>
      </c>
      <c r="AF249" s="807">
        <v>14.7</v>
      </c>
      <c r="AL249" s="813">
        <v>3</v>
      </c>
      <c r="AQ249" s="74" t="s">
        <v>680</v>
      </c>
    </row>
    <row r="250" spans="1:43" s="74" customFormat="1">
      <c r="A250" s="802"/>
      <c r="B250" s="797">
        <v>9</v>
      </c>
      <c r="C250" s="798">
        <v>10</v>
      </c>
      <c r="D250" s="803">
        <v>245</v>
      </c>
      <c r="E250" s="800" t="s">
        <v>685</v>
      </c>
      <c r="F250" s="817">
        <v>245</v>
      </c>
      <c r="G250" s="805">
        <v>13.5</v>
      </c>
      <c r="H250" s="806">
        <v>1.35</v>
      </c>
      <c r="I250" s="807">
        <v>8.65</v>
      </c>
      <c r="J250" s="808">
        <v>2.0249999999999999</v>
      </c>
      <c r="K250" s="809" t="s">
        <v>686</v>
      </c>
      <c r="L250" s="810">
        <v>10</v>
      </c>
      <c r="M250" s="810">
        <v>0.15</v>
      </c>
      <c r="N250" s="811">
        <v>0.35</v>
      </c>
      <c r="O250" s="812">
        <v>0.15</v>
      </c>
      <c r="P250" s="811">
        <v>0.35</v>
      </c>
      <c r="Q250" s="812">
        <v>0.15</v>
      </c>
      <c r="R250" s="811">
        <v>0.35</v>
      </c>
      <c r="S250" s="812">
        <v>0.15</v>
      </c>
      <c r="T250" s="811">
        <v>0.35</v>
      </c>
      <c r="U250" s="812">
        <v>0.15</v>
      </c>
      <c r="V250" s="811">
        <v>0.35</v>
      </c>
      <c r="W250" s="812">
        <v>0.15</v>
      </c>
      <c r="X250" s="811">
        <v>0.35</v>
      </c>
      <c r="Y250" s="812">
        <v>0.15</v>
      </c>
      <c r="Z250" s="811">
        <v>0.35</v>
      </c>
      <c r="AA250" s="812">
        <v>0.15</v>
      </c>
      <c r="AB250" s="811">
        <v>0.35</v>
      </c>
      <c r="AC250" s="812">
        <v>0.15</v>
      </c>
      <c r="AD250" s="811">
        <v>5.85</v>
      </c>
      <c r="AE250" s="807">
        <v>1.35</v>
      </c>
      <c r="AF250" s="807">
        <v>8.65</v>
      </c>
      <c r="AL250" s="813">
        <v>9</v>
      </c>
      <c r="AQ250" s="74" t="s">
        <v>686</v>
      </c>
    </row>
    <row r="251" spans="1:43" s="74" customFormat="1">
      <c r="A251" s="802"/>
      <c r="B251" s="797">
        <v>9</v>
      </c>
      <c r="C251" s="798">
        <v>10</v>
      </c>
      <c r="D251" s="814">
        <v>246</v>
      </c>
      <c r="E251" s="800" t="s">
        <v>687</v>
      </c>
      <c r="F251" s="819">
        <v>246</v>
      </c>
      <c r="G251" s="816">
        <v>18</v>
      </c>
      <c r="H251" s="806">
        <v>1.8</v>
      </c>
      <c r="I251" s="807">
        <v>8.1999999999999993</v>
      </c>
      <c r="J251" s="808">
        <v>2.7</v>
      </c>
      <c r="K251" s="809" t="s">
        <v>686</v>
      </c>
      <c r="L251" s="810">
        <v>10</v>
      </c>
      <c r="M251" s="810">
        <v>0.2</v>
      </c>
      <c r="N251" s="811">
        <v>0.3</v>
      </c>
      <c r="O251" s="812">
        <v>0.2</v>
      </c>
      <c r="P251" s="811">
        <v>0.3</v>
      </c>
      <c r="Q251" s="812">
        <v>0.2</v>
      </c>
      <c r="R251" s="811">
        <v>0.3</v>
      </c>
      <c r="S251" s="812">
        <v>0.2</v>
      </c>
      <c r="T251" s="811">
        <v>0.3</v>
      </c>
      <c r="U251" s="812">
        <v>0.2</v>
      </c>
      <c r="V251" s="811">
        <v>0.3</v>
      </c>
      <c r="W251" s="812">
        <v>0.2</v>
      </c>
      <c r="X251" s="811">
        <v>0.3</v>
      </c>
      <c r="Y251" s="812">
        <v>0.2</v>
      </c>
      <c r="Z251" s="811">
        <v>0.3</v>
      </c>
      <c r="AA251" s="812">
        <v>0.2</v>
      </c>
      <c r="AB251" s="811">
        <v>0.3</v>
      </c>
      <c r="AC251" s="812">
        <v>0.2</v>
      </c>
      <c r="AD251" s="811">
        <v>5.8</v>
      </c>
      <c r="AE251" s="807">
        <v>1.8</v>
      </c>
      <c r="AF251" s="807">
        <v>8.1999999999999993</v>
      </c>
      <c r="AL251" s="813">
        <v>9</v>
      </c>
      <c r="AQ251" s="74" t="s">
        <v>686</v>
      </c>
    </row>
    <row r="252" spans="1:43" s="74" customFormat="1">
      <c r="A252" s="802"/>
      <c r="B252" s="797">
        <v>9</v>
      </c>
      <c r="C252" s="798">
        <v>10</v>
      </c>
      <c r="D252" s="803">
        <v>247</v>
      </c>
      <c r="E252" s="800" t="s">
        <v>688</v>
      </c>
      <c r="F252" s="817">
        <v>247</v>
      </c>
      <c r="G252" s="805">
        <v>27</v>
      </c>
      <c r="H252" s="806">
        <v>2.7</v>
      </c>
      <c r="I252" s="807">
        <v>7.3000000000000007</v>
      </c>
      <c r="J252" s="808">
        <v>4.05</v>
      </c>
      <c r="K252" s="809" t="s">
        <v>686</v>
      </c>
      <c r="L252" s="810">
        <v>10</v>
      </c>
      <c r="M252" s="810">
        <v>0.3</v>
      </c>
      <c r="N252" s="811">
        <v>0.3</v>
      </c>
      <c r="O252" s="812">
        <v>0.3</v>
      </c>
      <c r="P252" s="811">
        <v>0.3</v>
      </c>
      <c r="Q252" s="812">
        <v>0.3</v>
      </c>
      <c r="R252" s="811">
        <v>0.3</v>
      </c>
      <c r="S252" s="812">
        <v>0.3</v>
      </c>
      <c r="T252" s="811">
        <v>0.3</v>
      </c>
      <c r="U252" s="812">
        <v>0.3</v>
      </c>
      <c r="V252" s="811">
        <v>0.3</v>
      </c>
      <c r="W252" s="812">
        <v>0.3</v>
      </c>
      <c r="X252" s="811">
        <v>0.3</v>
      </c>
      <c r="Y252" s="812">
        <v>0.3</v>
      </c>
      <c r="Z252" s="811">
        <v>0.3</v>
      </c>
      <c r="AA252" s="812">
        <v>0.3</v>
      </c>
      <c r="AB252" s="811">
        <v>0.3</v>
      </c>
      <c r="AC252" s="812">
        <v>0.3</v>
      </c>
      <c r="AD252" s="811">
        <v>4.9000000000000004</v>
      </c>
      <c r="AE252" s="807">
        <v>2.7</v>
      </c>
      <c r="AF252" s="807">
        <v>7.3000000000000007</v>
      </c>
      <c r="AL252" s="813">
        <v>9</v>
      </c>
      <c r="AQ252" s="74" t="s">
        <v>686</v>
      </c>
    </row>
    <row r="253" spans="1:43" s="74" customFormat="1">
      <c r="A253" s="802"/>
      <c r="B253" s="797">
        <v>7</v>
      </c>
      <c r="C253" s="798">
        <v>10</v>
      </c>
      <c r="D253" s="814">
        <v>248</v>
      </c>
      <c r="E253" s="800" t="s">
        <v>689</v>
      </c>
      <c r="F253" s="819">
        <v>248</v>
      </c>
      <c r="G253" s="816">
        <v>29</v>
      </c>
      <c r="H253" s="806">
        <v>2.9</v>
      </c>
      <c r="I253" s="807">
        <v>7.1</v>
      </c>
      <c r="J253" s="808">
        <v>4.3499999999999996</v>
      </c>
      <c r="K253" s="809" t="s">
        <v>690</v>
      </c>
      <c r="L253" s="810">
        <v>10</v>
      </c>
      <c r="M253" s="810">
        <v>0.15</v>
      </c>
      <c r="N253" s="811">
        <v>0.35</v>
      </c>
      <c r="O253" s="812">
        <v>0.15</v>
      </c>
      <c r="P253" s="811">
        <v>0.35</v>
      </c>
      <c r="Q253" s="812">
        <v>0.15</v>
      </c>
      <c r="R253" s="811">
        <v>0.35</v>
      </c>
      <c r="S253" s="812">
        <v>0.15</v>
      </c>
      <c r="T253" s="811">
        <v>0.35</v>
      </c>
      <c r="U253" s="812">
        <v>0.15</v>
      </c>
      <c r="V253" s="811">
        <v>0.35</v>
      </c>
      <c r="W253" s="812">
        <v>0.15</v>
      </c>
      <c r="X253" s="811">
        <v>0.35</v>
      </c>
      <c r="Y253" s="812">
        <v>2</v>
      </c>
      <c r="Z253" s="811">
        <v>5</v>
      </c>
      <c r="AA253" s="812">
        <v>0</v>
      </c>
      <c r="AB253" s="811">
        <v>0</v>
      </c>
      <c r="AC253" s="812">
        <v>0</v>
      </c>
      <c r="AD253" s="811">
        <v>0</v>
      </c>
      <c r="AE253" s="807">
        <v>2.9</v>
      </c>
      <c r="AF253" s="807">
        <v>7.1</v>
      </c>
      <c r="AL253" s="813">
        <v>7</v>
      </c>
      <c r="AQ253" s="74" t="s">
        <v>690</v>
      </c>
    </row>
    <row r="254" spans="1:43" s="74" customFormat="1">
      <c r="A254" s="802"/>
      <c r="B254" s="797">
        <v>7</v>
      </c>
      <c r="C254" s="798">
        <v>10</v>
      </c>
      <c r="D254" s="803">
        <v>249</v>
      </c>
      <c r="E254" s="800" t="s">
        <v>691</v>
      </c>
      <c r="F254" s="817">
        <v>249</v>
      </c>
      <c r="G254" s="805">
        <v>32</v>
      </c>
      <c r="H254" s="806">
        <v>3.2</v>
      </c>
      <c r="I254" s="807">
        <v>6.8</v>
      </c>
      <c r="J254" s="808">
        <v>4.8</v>
      </c>
      <c r="K254" s="809" t="s">
        <v>690</v>
      </c>
      <c r="L254" s="810">
        <v>10</v>
      </c>
      <c r="M254" s="810">
        <v>0.2</v>
      </c>
      <c r="N254" s="811">
        <v>0.3</v>
      </c>
      <c r="O254" s="812">
        <v>0.2</v>
      </c>
      <c r="P254" s="811">
        <v>0.3</v>
      </c>
      <c r="Q254" s="812">
        <v>0.2</v>
      </c>
      <c r="R254" s="811">
        <v>0.3</v>
      </c>
      <c r="S254" s="812">
        <v>0.2</v>
      </c>
      <c r="T254" s="811">
        <v>0.3</v>
      </c>
      <c r="U254" s="812">
        <v>0.2</v>
      </c>
      <c r="V254" s="811">
        <v>0.3</v>
      </c>
      <c r="W254" s="812">
        <v>0.2</v>
      </c>
      <c r="X254" s="811">
        <v>0.3</v>
      </c>
      <c r="Y254" s="812">
        <v>2</v>
      </c>
      <c r="Z254" s="811">
        <v>5</v>
      </c>
      <c r="AA254" s="812">
        <v>0</v>
      </c>
      <c r="AB254" s="811">
        <v>0</v>
      </c>
      <c r="AC254" s="812">
        <v>0</v>
      </c>
      <c r="AD254" s="811">
        <v>0</v>
      </c>
      <c r="AE254" s="807">
        <v>3.2</v>
      </c>
      <c r="AF254" s="807">
        <v>6.8</v>
      </c>
      <c r="AL254" s="813">
        <v>7</v>
      </c>
      <c r="AQ254" s="74" t="s">
        <v>690</v>
      </c>
    </row>
    <row r="255" spans="1:43" s="74" customFormat="1">
      <c r="A255" s="802"/>
      <c r="B255" s="797">
        <v>7</v>
      </c>
      <c r="C255" s="798">
        <v>10</v>
      </c>
      <c r="D255" s="814">
        <v>250</v>
      </c>
      <c r="E255" s="800" t="s">
        <v>692</v>
      </c>
      <c r="F255" s="819">
        <v>250</v>
      </c>
      <c r="G255" s="816">
        <v>38</v>
      </c>
      <c r="H255" s="806">
        <v>3.8</v>
      </c>
      <c r="I255" s="807">
        <v>6.2</v>
      </c>
      <c r="J255" s="808">
        <v>5.7</v>
      </c>
      <c r="K255" s="809" t="s">
        <v>690</v>
      </c>
      <c r="L255" s="810">
        <v>10</v>
      </c>
      <c r="M255" s="810">
        <v>0.3</v>
      </c>
      <c r="N255" s="811">
        <v>0.3</v>
      </c>
      <c r="O255" s="812">
        <v>0.3</v>
      </c>
      <c r="P255" s="811">
        <v>0.3</v>
      </c>
      <c r="Q255" s="812">
        <v>0.3</v>
      </c>
      <c r="R255" s="811">
        <v>0.3</v>
      </c>
      <c r="S255" s="812">
        <v>0.3</v>
      </c>
      <c r="T255" s="811">
        <v>0.3</v>
      </c>
      <c r="U255" s="812">
        <v>0.3</v>
      </c>
      <c r="V255" s="811">
        <v>0.3</v>
      </c>
      <c r="W255" s="812">
        <v>0.3</v>
      </c>
      <c r="X255" s="811">
        <v>0.3</v>
      </c>
      <c r="Y255" s="812">
        <v>2</v>
      </c>
      <c r="Z255" s="811">
        <v>4.4000000000000004</v>
      </c>
      <c r="AA255" s="812">
        <v>0</v>
      </c>
      <c r="AB255" s="811">
        <v>0</v>
      </c>
      <c r="AC255" s="812">
        <v>0</v>
      </c>
      <c r="AD255" s="811">
        <v>0</v>
      </c>
      <c r="AE255" s="807">
        <v>3.8</v>
      </c>
      <c r="AF255" s="807">
        <v>6.2</v>
      </c>
      <c r="AL255" s="813">
        <v>7</v>
      </c>
      <c r="AQ255" s="74" t="s">
        <v>690</v>
      </c>
    </row>
    <row r="256" spans="1:43" s="74" customFormat="1">
      <c r="A256" s="802"/>
      <c r="B256" s="797">
        <v>7</v>
      </c>
      <c r="C256" s="798">
        <v>15</v>
      </c>
      <c r="D256" s="803">
        <v>251</v>
      </c>
      <c r="E256" s="800" t="s">
        <v>693</v>
      </c>
      <c r="F256" s="817">
        <v>251</v>
      </c>
      <c r="G256" s="805">
        <v>25.333333333333329</v>
      </c>
      <c r="H256" s="806">
        <v>3.8</v>
      </c>
      <c r="I256" s="807">
        <v>11.2</v>
      </c>
      <c r="J256" s="808">
        <v>3.7999999999999989</v>
      </c>
      <c r="K256" s="809" t="s">
        <v>690</v>
      </c>
      <c r="L256" s="810">
        <v>15</v>
      </c>
      <c r="M256" s="810">
        <v>0.3</v>
      </c>
      <c r="N256" s="811">
        <v>0.3</v>
      </c>
      <c r="O256" s="812">
        <v>0.3</v>
      </c>
      <c r="P256" s="811">
        <v>0.3</v>
      </c>
      <c r="Q256" s="812">
        <v>0.3</v>
      </c>
      <c r="R256" s="811">
        <v>0.3</v>
      </c>
      <c r="S256" s="812">
        <v>0.3</v>
      </c>
      <c r="T256" s="811">
        <v>0.3</v>
      </c>
      <c r="U256" s="812">
        <v>0.3</v>
      </c>
      <c r="V256" s="811">
        <v>0.3</v>
      </c>
      <c r="W256" s="812">
        <v>0.3</v>
      </c>
      <c r="X256" s="811">
        <v>0.3</v>
      </c>
      <c r="Y256" s="812">
        <v>2</v>
      </c>
      <c r="Z256" s="811">
        <v>9.4</v>
      </c>
      <c r="AA256" s="812">
        <v>0</v>
      </c>
      <c r="AB256" s="811">
        <v>0</v>
      </c>
      <c r="AC256" s="812">
        <v>0</v>
      </c>
      <c r="AD256" s="811">
        <v>0</v>
      </c>
      <c r="AE256" s="807">
        <v>3.8</v>
      </c>
      <c r="AF256" s="807">
        <v>11.2</v>
      </c>
      <c r="AL256" s="813">
        <v>7</v>
      </c>
      <c r="AQ256" s="74" t="s">
        <v>690</v>
      </c>
    </row>
    <row r="257" spans="1:43" s="74" customFormat="1">
      <c r="A257" s="802"/>
      <c r="B257" s="797">
        <v>1</v>
      </c>
      <c r="C257" s="798">
        <v>1.2</v>
      </c>
      <c r="D257" s="814" t="s">
        <v>694</v>
      </c>
      <c r="E257" s="800" t="s">
        <v>695</v>
      </c>
      <c r="F257" s="815" t="s">
        <v>694</v>
      </c>
      <c r="G257" s="816">
        <v>33.333333333333329</v>
      </c>
      <c r="H257" s="806">
        <v>0.4</v>
      </c>
      <c r="I257" s="807">
        <v>0.8</v>
      </c>
      <c r="J257" s="808">
        <v>4.9999999999999991</v>
      </c>
      <c r="K257" s="809" t="s">
        <v>320</v>
      </c>
      <c r="L257" s="810">
        <v>1.2</v>
      </c>
      <c r="M257" s="810">
        <v>0.4</v>
      </c>
      <c r="N257" s="811">
        <v>0.8</v>
      </c>
      <c r="O257" s="812"/>
      <c r="P257" s="811"/>
      <c r="Q257" s="812"/>
      <c r="R257" s="811"/>
      <c r="S257" s="812"/>
      <c r="T257" s="811"/>
      <c r="U257" s="812"/>
      <c r="V257" s="811"/>
      <c r="W257" s="812"/>
      <c r="X257" s="811"/>
      <c r="Y257" s="812"/>
      <c r="Z257" s="811"/>
      <c r="AA257" s="812"/>
      <c r="AB257" s="811"/>
      <c r="AC257" s="812"/>
      <c r="AD257" s="811"/>
      <c r="AE257" s="807">
        <v>0.4</v>
      </c>
      <c r="AF257" s="807">
        <v>0.8</v>
      </c>
      <c r="AL257" s="813">
        <v>1</v>
      </c>
      <c r="AQ257" s="74" t="s">
        <v>320</v>
      </c>
    </row>
    <row r="258" spans="1:43" s="74" customFormat="1">
      <c r="A258" s="802"/>
      <c r="B258" s="797">
        <v>9</v>
      </c>
      <c r="C258" s="798">
        <v>14</v>
      </c>
      <c r="D258" s="803" t="s">
        <v>696</v>
      </c>
      <c r="E258" s="800" t="s">
        <v>697</v>
      </c>
      <c r="F258" s="817" t="s">
        <v>696</v>
      </c>
      <c r="G258" s="805" t="s">
        <v>698</v>
      </c>
      <c r="H258" s="806">
        <v>4.5</v>
      </c>
      <c r="I258" s="807">
        <v>9.5</v>
      </c>
      <c r="J258" s="808"/>
      <c r="K258" s="809" t="s">
        <v>662</v>
      </c>
      <c r="L258" s="810">
        <v>14</v>
      </c>
      <c r="M258" s="810">
        <v>0.5</v>
      </c>
      <c r="N258" s="811">
        <v>0.5</v>
      </c>
      <c r="O258" s="812">
        <v>0.5</v>
      </c>
      <c r="P258" s="811">
        <v>0.5</v>
      </c>
      <c r="Q258" s="812">
        <v>0.5</v>
      </c>
      <c r="R258" s="811">
        <v>0.5</v>
      </c>
      <c r="S258" s="812">
        <v>0.5</v>
      </c>
      <c r="T258" s="811">
        <v>0.5</v>
      </c>
      <c r="U258" s="812">
        <v>0.5</v>
      </c>
      <c r="V258" s="811">
        <v>0.5</v>
      </c>
      <c r="W258" s="812">
        <v>0.5</v>
      </c>
      <c r="X258" s="811">
        <v>0.5</v>
      </c>
      <c r="Y258" s="812">
        <v>0.5</v>
      </c>
      <c r="Z258" s="811">
        <v>0.5</v>
      </c>
      <c r="AA258" s="812">
        <v>0.5</v>
      </c>
      <c r="AB258" s="811">
        <v>0.5</v>
      </c>
      <c r="AC258" s="812">
        <v>0.5</v>
      </c>
      <c r="AD258" s="811">
        <v>5.5</v>
      </c>
      <c r="AE258" s="807">
        <v>4.5</v>
      </c>
      <c r="AF258" s="807">
        <v>9.5</v>
      </c>
      <c r="AL258" s="813">
        <v>9</v>
      </c>
      <c r="AQ258" s="74" t="s">
        <v>662</v>
      </c>
    </row>
    <row r="259" spans="1:43" s="74" customFormat="1">
      <c r="A259" s="802"/>
      <c r="B259" s="797">
        <v>3</v>
      </c>
      <c r="C259" s="798">
        <v>9</v>
      </c>
      <c r="D259" s="814" t="s">
        <v>699</v>
      </c>
      <c r="E259" s="800" t="s">
        <v>700</v>
      </c>
      <c r="F259" s="817" t="s">
        <v>699</v>
      </c>
      <c r="G259" s="820" t="s">
        <v>701</v>
      </c>
      <c r="H259" s="806">
        <v>0.89999999999999991</v>
      </c>
      <c r="I259" s="807">
        <v>8.1</v>
      </c>
      <c r="J259" s="808"/>
      <c r="K259" s="809" t="s">
        <v>589</v>
      </c>
      <c r="L259" s="810">
        <v>9</v>
      </c>
      <c r="M259" s="810">
        <v>0.3</v>
      </c>
      <c r="N259" s="811">
        <v>1.7</v>
      </c>
      <c r="O259" s="812">
        <v>0.3</v>
      </c>
      <c r="P259" s="811">
        <v>1.7</v>
      </c>
      <c r="Q259" s="812">
        <v>0.3</v>
      </c>
      <c r="R259" s="811">
        <v>4.7</v>
      </c>
      <c r="S259" s="812"/>
      <c r="T259" s="811"/>
      <c r="U259" s="812"/>
      <c r="V259" s="811"/>
      <c r="W259" s="812"/>
      <c r="X259" s="811"/>
      <c r="Y259" s="812"/>
      <c r="Z259" s="811"/>
      <c r="AA259" s="812"/>
      <c r="AB259" s="811"/>
      <c r="AC259" s="812"/>
      <c r="AD259" s="811"/>
      <c r="AE259" s="807">
        <v>0.89999999999999991</v>
      </c>
      <c r="AF259" s="807">
        <v>8.1</v>
      </c>
      <c r="AL259" s="813">
        <v>3</v>
      </c>
      <c r="AQ259" s="74" t="s">
        <v>589</v>
      </c>
    </row>
    <row r="260" spans="1:43" s="74" customFormat="1">
      <c r="A260" s="802"/>
      <c r="B260" s="797">
        <v>3</v>
      </c>
      <c r="C260" s="798">
        <v>15</v>
      </c>
      <c r="D260" s="803" t="s">
        <v>702</v>
      </c>
      <c r="E260" s="800" t="s">
        <v>703</v>
      </c>
      <c r="F260" s="804" t="s">
        <v>702</v>
      </c>
      <c r="G260" s="805" t="s">
        <v>704</v>
      </c>
      <c r="H260" s="806">
        <v>2</v>
      </c>
      <c r="I260" s="807">
        <v>13</v>
      </c>
      <c r="J260" s="808"/>
      <c r="K260" s="809"/>
      <c r="L260" s="810">
        <v>15</v>
      </c>
      <c r="M260" s="810">
        <v>0.4</v>
      </c>
      <c r="N260" s="811">
        <v>0.5</v>
      </c>
      <c r="O260" s="812">
        <v>0.4</v>
      </c>
      <c r="P260" s="811">
        <v>0.5</v>
      </c>
      <c r="Q260" s="812">
        <v>1.2</v>
      </c>
      <c r="R260" s="811">
        <v>12</v>
      </c>
      <c r="S260" s="812"/>
      <c r="T260" s="811"/>
      <c r="U260" s="812"/>
      <c r="V260" s="811"/>
      <c r="W260" s="812"/>
      <c r="X260" s="811"/>
      <c r="Y260" s="812"/>
      <c r="Z260" s="811"/>
      <c r="AA260" s="812"/>
      <c r="AB260" s="811"/>
      <c r="AC260" s="812"/>
      <c r="AD260" s="811"/>
      <c r="AE260" s="807">
        <v>2</v>
      </c>
      <c r="AF260" s="807">
        <v>13</v>
      </c>
      <c r="AL260" s="813">
        <v>3</v>
      </c>
      <c r="AQ260" s="239" t="s">
        <v>705</v>
      </c>
    </row>
    <row r="261" spans="1:43" s="74" customFormat="1" ht="39.75" customHeight="1" thickBot="1">
      <c r="A261" s="821"/>
      <c r="B261" s="822">
        <v>3</v>
      </c>
      <c r="C261" s="823">
        <v>15</v>
      </c>
      <c r="D261" s="824"/>
      <c r="E261" s="825" t="s">
        <v>706</v>
      </c>
      <c r="F261" s="826" t="s">
        <v>707</v>
      </c>
      <c r="G261" s="827" t="s">
        <v>708</v>
      </c>
      <c r="H261" s="828">
        <v>3.5</v>
      </c>
      <c r="I261" s="829">
        <v>11.5</v>
      </c>
      <c r="J261" s="830"/>
      <c r="K261" s="831" t="s">
        <v>708</v>
      </c>
      <c r="L261" s="830">
        <v>15</v>
      </c>
      <c r="M261" s="832">
        <v>1.5</v>
      </c>
      <c r="N261" s="833">
        <v>1.5</v>
      </c>
      <c r="O261" s="830">
        <v>1.5</v>
      </c>
      <c r="P261" s="833">
        <v>1.5</v>
      </c>
      <c r="Q261" s="830">
        <v>0.5</v>
      </c>
      <c r="R261" s="833">
        <v>8.5</v>
      </c>
      <c r="S261" s="830"/>
      <c r="T261" s="833"/>
      <c r="U261" s="830"/>
      <c r="V261" s="833"/>
      <c r="W261" s="830"/>
      <c r="X261" s="833"/>
      <c r="Y261" s="830"/>
      <c r="Z261" s="833"/>
      <c r="AA261" s="834"/>
      <c r="AB261" s="835"/>
      <c r="AC261" s="834"/>
      <c r="AD261" s="835"/>
      <c r="AE261" s="807">
        <v>0</v>
      </c>
      <c r="AF261" s="807">
        <v>0</v>
      </c>
    </row>
    <row r="262" spans="1:43">
      <c r="B262" s="822">
        <v>4</v>
      </c>
      <c r="C262" s="823">
        <v>15</v>
      </c>
      <c r="D262" s="824"/>
      <c r="E262" s="825" t="s">
        <v>709</v>
      </c>
      <c r="F262" s="826" t="s">
        <v>710</v>
      </c>
      <c r="G262" s="836" t="s">
        <v>711</v>
      </c>
      <c r="H262" s="828">
        <v>3</v>
      </c>
      <c r="I262" s="829">
        <v>12</v>
      </c>
      <c r="J262" s="830"/>
      <c r="K262" s="831" t="s">
        <v>711</v>
      </c>
      <c r="L262" s="830">
        <v>15</v>
      </c>
      <c r="M262" s="832">
        <v>0.5</v>
      </c>
      <c r="N262" s="833">
        <v>1.5</v>
      </c>
      <c r="O262" s="830">
        <v>0.5</v>
      </c>
      <c r="P262" s="833">
        <v>1.5</v>
      </c>
      <c r="Q262" s="830">
        <v>1.5</v>
      </c>
      <c r="R262" s="833">
        <v>1.5</v>
      </c>
      <c r="S262" s="830">
        <v>0.5</v>
      </c>
      <c r="T262" s="833">
        <v>7.5</v>
      </c>
      <c r="U262" s="830"/>
      <c r="V262" s="833"/>
      <c r="W262" s="830"/>
      <c r="X262" s="833"/>
      <c r="Y262" s="830"/>
      <c r="Z262" s="833"/>
    </row>
    <row r="263" spans="1:43">
      <c r="B263" s="822">
        <v>3</v>
      </c>
      <c r="C263" s="823">
        <v>9</v>
      </c>
      <c r="D263" s="824"/>
      <c r="E263" s="825" t="s">
        <v>712</v>
      </c>
      <c r="F263" s="826" t="s">
        <v>713</v>
      </c>
      <c r="G263" s="836" t="s">
        <v>714</v>
      </c>
      <c r="H263" s="828">
        <v>1.5</v>
      </c>
      <c r="I263" s="829">
        <v>7.5</v>
      </c>
      <c r="J263" s="830"/>
      <c r="K263" s="831" t="s">
        <v>512</v>
      </c>
      <c r="L263" s="830">
        <v>9</v>
      </c>
      <c r="M263" s="832">
        <v>0.5</v>
      </c>
      <c r="N263" s="833">
        <v>1.5</v>
      </c>
      <c r="O263" s="830">
        <v>0.5</v>
      </c>
      <c r="P263" s="833">
        <v>1.5</v>
      </c>
      <c r="Q263" s="830">
        <v>0.5</v>
      </c>
      <c r="R263" s="830">
        <v>4.5</v>
      </c>
      <c r="S263" s="830"/>
      <c r="T263" s="833"/>
      <c r="U263" s="830"/>
      <c r="V263" s="833"/>
      <c r="W263" s="830"/>
      <c r="X263" s="833"/>
      <c r="Y263" s="830"/>
      <c r="Z263" s="833"/>
    </row>
  </sheetData>
  <autoFilter ref="B4:K261" xr:uid="{00000000-0009-0000-0000-000006000000}"/>
  <mergeCells count="1">
    <mergeCell ref="B1:K1"/>
  </mergeCells>
  <conditionalFormatting sqref="L6:AD260">
    <cfRule type="cellIs" dxfId="5" priority="6" stopIfTrue="1" operator="equal">
      <formula>0</formula>
    </cfRule>
  </conditionalFormatting>
  <conditionalFormatting sqref="C6:D260">
    <cfRule type="cellIs" dxfId="4" priority="5" stopIfTrue="1" operator="equal">
      <formula>0</formula>
    </cfRule>
  </conditionalFormatting>
  <conditionalFormatting sqref="B5:B260">
    <cfRule type="cellIs" dxfId="3" priority="4" stopIfTrue="1" operator="equal">
      <formula>0</formula>
    </cfRule>
  </conditionalFormatting>
  <conditionalFormatting sqref="C5">
    <cfRule type="cellIs" dxfId="2" priority="3" stopIfTrue="1" operator="equal">
      <formula>0</formula>
    </cfRule>
  </conditionalFormatting>
  <conditionalFormatting sqref="B261:B263">
    <cfRule type="cellIs" dxfId="1" priority="2" stopIfTrue="1" operator="equal">
      <formula>0</formula>
    </cfRule>
  </conditionalFormatting>
  <conditionalFormatting sqref="C261:C263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B1:X508"/>
  <sheetViews>
    <sheetView topLeftCell="A79" zoomScale="60" zoomScaleNormal="60" workbookViewId="0">
      <pane ySplit="1" topLeftCell="A443" activePane="bottomLeft" state="frozen"/>
      <selection activeCell="A79" sqref="A79"/>
      <selection pane="bottomLeft" activeCell="A83" sqref="A83:XFD508"/>
    </sheetView>
  </sheetViews>
  <sheetFormatPr defaultColWidth="9.140625" defaultRowHeight="12.75"/>
  <cols>
    <col min="1" max="1" width="5.7109375" customWidth="1"/>
    <col min="2" max="2" width="9.28515625" customWidth="1"/>
    <col min="3" max="3" width="6" customWidth="1"/>
    <col min="4" max="4" width="7.140625" customWidth="1"/>
    <col min="5" max="5" width="6" customWidth="1"/>
    <col min="6" max="6" width="2.7109375" customWidth="1"/>
    <col min="7" max="7" width="9.28515625" customWidth="1"/>
    <col min="8" max="8" width="6" customWidth="1"/>
    <col min="9" max="9" width="7" customWidth="1"/>
    <col min="10" max="10" width="6" customWidth="1"/>
    <col min="11" max="11" width="2.140625" customWidth="1"/>
    <col min="12" max="12" width="9.28515625" customWidth="1"/>
    <col min="13" max="13" width="13.5703125" customWidth="1"/>
    <col min="14" max="14" width="9.140625" customWidth="1"/>
    <col min="15" max="15" width="6" customWidth="1"/>
    <col min="16" max="16" width="12.28515625" customWidth="1"/>
    <col min="18" max="18" width="12.5703125" customWidth="1"/>
    <col min="23" max="23" width="18.28515625" customWidth="1"/>
  </cols>
  <sheetData>
    <row r="1" spans="2:24" ht="22.5" customHeight="1" thickBot="1">
      <c r="B1" s="976" t="s">
        <v>715</v>
      </c>
      <c r="C1" s="977"/>
      <c r="D1" s="977"/>
      <c r="E1" s="952" t="s">
        <v>716</v>
      </c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</row>
    <row r="2" spans="2:24" ht="21" customHeight="1">
      <c r="B2" s="956" t="s">
        <v>717</v>
      </c>
      <c r="C2" s="913"/>
      <c r="D2" s="960"/>
      <c r="E2" s="954"/>
      <c r="F2" s="954"/>
      <c r="G2" s="955"/>
      <c r="I2" s="956" t="s">
        <v>4</v>
      </c>
      <c r="J2" s="913"/>
      <c r="K2" s="953"/>
      <c r="L2" s="954"/>
      <c r="M2" s="955"/>
      <c r="N2" s="974" t="s">
        <v>718</v>
      </c>
      <c r="P2" s="971" t="s">
        <v>719</v>
      </c>
      <c r="Q2" s="917"/>
      <c r="R2" s="973" t="s">
        <v>720</v>
      </c>
      <c r="S2" s="917"/>
      <c r="T2" s="917"/>
      <c r="U2" s="917"/>
      <c r="V2" s="917"/>
      <c r="W2" s="917"/>
      <c r="X2" t="str">
        <f>radiazione!A2</f>
        <v xml:space="preserve"> - </v>
      </c>
    </row>
    <row r="3" spans="2:24" ht="21" customHeight="1">
      <c r="B3" s="956" t="s">
        <v>96</v>
      </c>
      <c r="C3" s="913"/>
      <c r="D3" s="965"/>
      <c r="E3" s="966"/>
      <c r="F3" s="966"/>
      <c r="G3" s="967"/>
      <c r="I3" s="956" t="s">
        <v>6</v>
      </c>
      <c r="J3" s="913"/>
      <c r="K3" s="953"/>
      <c r="L3" s="954"/>
      <c r="M3" s="955"/>
      <c r="N3" s="975"/>
      <c r="P3" s="970" t="s">
        <v>721</v>
      </c>
      <c r="Q3" s="918"/>
      <c r="R3" s="918"/>
      <c r="S3" s="918"/>
      <c r="T3" s="918"/>
      <c r="U3" s="918"/>
      <c r="V3" s="918"/>
      <c r="W3" s="918"/>
    </row>
    <row r="4" spans="2:24" ht="30" customHeight="1" thickBot="1">
      <c r="B4" s="141">
        <f>IF(D2="",1,0)</f>
        <v>1</v>
      </c>
      <c r="C4" s="141">
        <f>IF(D3="",1,0)</f>
        <v>1</v>
      </c>
      <c r="D4" s="141">
        <f>IF(K2="",1,0)</f>
        <v>1</v>
      </c>
      <c r="E4" s="141">
        <f>IF(K3="",1,0)</f>
        <v>1</v>
      </c>
      <c r="F4" s="141"/>
      <c r="G4" s="141"/>
      <c r="H4" s="141"/>
      <c r="I4" s="141">
        <f>B4+C4+D4+E4</f>
        <v>4</v>
      </c>
      <c r="J4" s="141"/>
      <c r="K4" s="141"/>
      <c r="L4" s="141" t="e">
        <f>I4+F20+K20+N20+F39+K39+P39</f>
        <v>#REF!</v>
      </c>
      <c r="M4" s="142" t="e">
        <f>IF(L4=0,"","a")</f>
        <v>#REF!</v>
      </c>
      <c r="P4" s="143" t="s">
        <v>722</v>
      </c>
      <c r="Q4" s="978" t="s">
        <v>723</v>
      </c>
      <c r="R4" s="918"/>
      <c r="S4" s="918"/>
      <c r="T4" s="918"/>
      <c r="U4" s="949" t="s">
        <v>724</v>
      </c>
      <c r="V4" s="918"/>
      <c r="W4" s="918"/>
    </row>
    <row r="5" spans="2:24" ht="18.75" customHeight="1">
      <c r="B5" s="961" t="s">
        <v>725</v>
      </c>
      <c r="C5" s="906"/>
      <c r="D5" s="906"/>
      <c r="E5" s="909"/>
      <c r="F5" s="46"/>
      <c r="G5" s="961" t="s">
        <v>726</v>
      </c>
      <c r="H5" s="906"/>
      <c r="I5" s="906"/>
      <c r="J5" s="909"/>
      <c r="L5" s="962" t="s">
        <v>727</v>
      </c>
      <c r="M5" s="922"/>
      <c r="P5" s="970" t="s">
        <v>728</v>
      </c>
      <c r="Q5" s="918"/>
      <c r="R5" s="918"/>
      <c r="S5" s="918"/>
      <c r="T5" s="918"/>
      <c r="U5" s="918"/>
      <c r="V5" s="918"/>
      <c r="W5" s="918"/>
    </row>
    <row r="6" spans="2:24" ht="15" customHeight="1" thickBot="1">
      <c r="B6" s="950" t="s">
        <v>729</v>
      </c>
      <c r="C6" s="951"/>
      <c r="D6" s="951"/>
      <c r="E6" s="913"/>
      <c r="F6" s="46"/>
      <c r="G6" s="950" t="s">
        <v>730</v>
      </c>
      <c r="H6" s="951"/>
      <c r="I6" s="951"/>
      <c r="J6" s="913"/>
      <c r="K6" s="46"/>
      <c r="L6" s="963"/>
      <c r="M6" s="964"/>
      <c r="P6" s="970" t="s">
        <v>731</v>
      </c>
      <c r="Q6" s="918"/>
      <c r="R6" s="918"/>
      <c r="S6" s="918"/>
      <c r="T6" s="918"/>
      <c r="U6" s="918"/>
      <c r="V6" s="918"/>
      <c r="W6" s="918"/>
    </row>
    <row r="7" spans="2:24" ht="20.100000000000001" customHeight="1">
      <c r="B7" s="144" t="s">
        <v>732</v>
      </c>
      <c r="C7" s="145" t="s">
        <v>733</v>
      </c>
      <c r="D7" s="145" t="s">
        <v>734</v>
      </c>
      <c r="E7" s="146" t="s">
        <v>735</v>
      </c>
      <c r="F7" s="46"/>
      <c r="G7" s="144" t="s">
        <v>732</v>
      </c>
      <c r="H7" s="145" t="s">
        <v>733</v>
      </c>
      <c r="I7" s="145" t="s">
        <v>734</v>
      </c>
      <c r="J7" s="146" t="s">
        <v>735</v>
      </c>
      <c r="K7" s="46"/>
      <c r="L7" s="968" t="s">
        <v>732</v>
      </c>
      <c r="M7" s="907"/>
      <c r="N7" s="141"/>
      <c r="P7" s="957" t="s">
        <v>736</v>
      </c>
      <c r="Q7" s="918"/>
      <c r="R7" s="918"/>
      <c r="S7" s="918"/>
      <c r="T7" s="918"/>
      <c r="U7" s="918"/>
      <c r="V7" s="918"/>
      <c r="W7" s="918"/>
    </row>
    <row r="8" spans="2:24" ht="20.100000000000001" customHeight="1">
      <c r="B8" s="147" t="s">
        <v>69</v>
      </c>
      <c r="C8" s="52"/>
      <c r="D8" s="48"/>
      <c r="E8" s="53"/>
      <c r="F8" s="141">
        <f t="shared" ref="F8:F19" si="0">IF(D8="",1,0)</f>
        <v>1</v>
      </c>
      <c r="G8" s="147" t="s">
        <v>69</v>
      </c>
      <c r="H8" s="52"/>
      <c r="I8" s="48"/>
      <c r="J8" s="53"/>
      <c r="K8" s="141">
        <f t="shared" ref="K8:K19" si="1">IF(I8="",1,0)</f>
        <v>1</v>
      </c>
      <c r="L8" s="147" t="s">
        <v>69</v>
      </c>
      <c r="M8" s="234">
        <f>'ore di buio'!F12</f>
        <v>11.880993437403456</v>
      </c>
      <c r="N8" s="148"/>
      <c r="P8" s="957" t="s">
        <v>737</v>
      </c>
      <c r="Q8" s="918"/>
      <c r="R8" s="918"/>
      <c r="S8" s="918"/>
      <c r="T8" s="918"/>
      <c r="U8" s="918"/>
      <c r="V8" s="918"/>
      <c r="W8" s="918"/>
    </row>
    <row r="9" spans="2:24" ht="20.100000000000001" customHeight="1">
      <c r="B9" s="50" t="s">
        <v>70</v>
      </c>
      <c r="C9" s="52"/>
      <c r="D9" s="48"/>
      <c r="E9" s="53"/>
      <c r="F9" s="141">
        <f t="shared" si="0"/>
        <v>1</v>
      </c>
      <c r="G9" s="50" t="s">
        <v>70</v>
      </c>
      <c r="H9" s="52"/>
      <c r="I9" s="48"/>
      <c r="J9" s="53"/>
      <c r="K9" s="141">
        <f t="shared" si="1"/>
        <v>1</v>
      </c>
      <c r="L9" s="50" t="s">
        <v>70</v>
      </c>
      <c r="M9" s="234">
        <f>'ore di buio'!F13</f>
        <v>11.886143506002783</v>
      </c>
      <c r="N9" s="148"/>
      <c r="P9" s="918"/>
      <c r="Q9" s="918"/>
      <c r="R9" s="918"/>
      <c r="S9" s="918"/>
      <c r="T9" s="918"/>
      <c r="U9" s="918"/>
      <c r="V9" s="918"/>
      <c r="W9" s="918"/>
    </row>
    <row r="10" spans="2:24" ht="20.100000000000001" customHeight="1">
      <c r="B10" s="50" t="s">
        <v>71</v>
      </c>
      <c r="C10" s="52"/>
      <c r="D10" s="48"/>
      <c r="E10" s="53"/>
      <c r="F10" s="141">
        <f t="shared" si="0"/>
        <v>1</v>
      </c>
      <c r="G10" s="50" t="s">
        <v>71</v>
      </c>
      <c r="H10" s="52"/>
      <c r="I10" s="48"/>
      <c r="J10" s="53"/>
      <c r="K10" s="141">
        <f t="shared" si="1"/>
        <v>1</v>
      </c>
      <c r="L10" s="50" t="s">
        <v>71</v>
      </c>
      <c r="M10" s="234">
        <f>'ore di buio'!F14</f>
        <v>11.888846731492613</v>
      </c>
      <c r="N10" s="148"/>
      <c r="P10" s="918"/>
      <c r="Q10" s="918"/>
      <c r="R10" s="918"/>
      <c r="S10" s="918"/>
      <c r="T10" s="918"/>
      <c r="U10" s="918"/>
      <c r="V10" s="918"/>
      <c r="W10" s="918"/>
    </row>
    <row r="11" spans="2:24" ht="20.100000000000001" customHeight="1">
      <c r="B11" s="50" t="s">
        <v>72</v>
      </c>
      <c r="C11" s="52"/>
      <c r="D11" s="48"/>
      <c r="E11" s="53"/>
      <c r="F11" s="141">
        <f t="shared" si="0"/>
        <v>1</v>
      </c>
      <c r="G11" s="50" t="s">
        <v>72</v>
      </c>
      <c r="H11" s="52"/>
      <c r="I11" s="48"/>
      <c r="J11" s="53"/>
      <c r="K11" s="141">
        <f t="shared" si="1"/>
        <v>1</v>
      </c>
      <c r="L11" s="50" t="s">
        <v>72</v>
      </c>
      <c r="M11" s="234">
        <f>'ore di buio'!F15</f>
        <v>11.887241525923248</v>
      </c>
      <c r="N11" s="148"/>
      <c r="P11" s="918"/>
      <c r="Q11" s="918"/>
      <c r="R11" s="918"/>
      <c r="S11" s="918"/>
      <c r="T11" s="918"/>
      <c r="U11" s="918"/>
      <c r="V11" s="918"/>
      <c r="W11" s="918"/>
    </row>
    <row r="12" spans="2:24" ht="20.100000000000001" customHeight="1">
      <c r="B12" s="50" t="s">
        <v>73</v>
      </c>
      <c r="C12" s="52"/>
      <c r="D12" s="48"/>
      <c r="E12" s="53"/>
      <c r="F12" s="141">
        <f t="shared" si="0"/>
        <v>1</v>
      </c>
      <c r="G12" s="50" t="s">
        <v>73</v>
      </c>
      <c r="H12" s="52"/>
      <c r="I12" s="48"/>
      <c r="J12" s="53"/>
      <c r="K12" s="141">
        <f t="shared" si="1"/>
        <v>1</v>
      </c>
      <c r="L12" s="50" t="s">
        <v>73</v>
      </c>
      <c r="M12" s="234">
        <f>'ore di buio'!F16</f>
        <v>11.882570026452477</v>
      </c>
      <c r="N12" s="148"/>
      <c r="P12" s="918"/>
      <c r="Q12" s="918"/>
      <c r="R12" s="918"/>
      <c r="S12" s="918"/>
      <c r="T12" s="918"/>
      <c r="U12" s="918"/>
      <c r="V12" s="918"/>
      <c r="W12" s="918"/>
    </row>
    <row r="13" spans="2:24" ht="20.100000000000001" customHeight="1">
      <c r="B13" s="50" t="s">
        <v>74</v>
      </c>
      <c r="C13" s="52"/>
      <c r="D13" s="48"/>
      <c r="E13" s="53"/>
      <c r="F13" s="141">
        <f t="shared" si="0"/>
        <v>1</v>
      </c>
      <c r="G13" s="50" t="s">
        <v>74</v>
      </c>
      <c r="H13" s="52"/>
      <c r="I13" s="48"/>
      <c r="J13" s="53"/>
      <c r="K13" s="141">
        <f t="shared" si="1"/>
        <v>1</v>
      </c>
      <c r="L13" s="50" t="s">
        <v>74</v>
      </c>
      <c r="M13" s="234">
        <f>'ore di buio'!F17</f>
        <v>11.879020358501492</v>
      </c>
      <c r="N13" s="148"/>
      <c r="P13" s="918"/>
      <c r="Q13" s="918"/>
      <c r="R13" s="918"/>
      <c r="S13" s="918"/>
      <c r="T13" s="918"/>
      <c r="U13" s="918"/>
      <c r="V13" s="918"/>
      <c r="W13" s="918"/>
    </row>
    <row r="14" spans="2:24" ht="20.100000000000001" customHeight="1">
      <c r="B14" s="50" t="s">
        <v>75</v>
      </c>
      <c r="C14" s="52"/>
      <c r="D14" s="48"/>
      <c r="E14" s="53"/>
      <c r="F14" s="141">
        <f t="shared" si="0"/>
        <v>1</v>
      </c>
      <c r="G14" s="50" t="s">
        <v>75</v>
      </c>
      <c r="H14" s="52"/>
      <c r="I14" s="48"/>
      <c r="J14" s="53"/>
      <c r="K14" s="141">
        <f t="shared" si="1"/>
        <v>1</v>
      </c>
      <c r="L14" s="50" t="s">
        <v>75</v>
      </c>
      <c r="M14" s="234">
        <f>'ore di buio'!F18</f>
        <v>11.880606626265184</v>
      </c>
      <c r="N14" s="148"/>
      <c r="P14" s="949"/>
      <c r="Q14" s="918"/>
      <c r="R14" s="918"/>
      <c r="S14" s="918"/>
      <c r="T14" s="918"/>
      <c r="U14" s="918"/>
      <c r="V14" s="918"/>
      <c r="W14" s="918"/>
    </row>
    <row r="15" spans="2:24" ht="20.100000000000001" customHeight="1">
      <c r="B15" s="50" t="s">
        <v>76</v>
      </c>
      <c r="C15" s="52"/>
      <c r="D15" s="48"/>
      <c r="E15" s="53"/>
      <c r="F15" s="141">
        <f t="shared" si="0"/>
        <v>1</v>
      </c>
      <c r="G15" s="50" t="s">
        <v>76</v>
      </c>
      <c r="H15" s="52"/>
      <c r="I15" s="48"/>
      <c r="J15" s="53"/>
      <c r="K15" s="141">
        <f t="shared" si="1"/>
        <v>1</v>
      </c>
      <c r="L15" s="50" t="s">
        <v>76</v>
      </c>
      <c r="M15" s="234">
        <f>'ore di buio'!F19</f>
        <v>11.885540527833033</v>
      </c>
      <c r="N15" s="148"/>
      <c r="S15" s="232" t="s">
        <v>738</v>
      </c>
    </row>
    <row r="16" spans="2:24" ht="20.100000000000001" customHeight="1">
      <c r="B16" s="50" t="s">
        <v>77</v>
      </c>
      <c r="C16" s="52"/>
      <c r="D16" s="48"/>
      <c r="E16" s="53"/>
      <c r="F16" s="141">
        <f t="shared" si="0"/>
        <v>1</v>
      </c>
      <c r="G16" s="50" t="s">
        <v>77</v>
      </c>
      <c r="H16" s="52"/>
      <c r="I16" s="48"/>
      <c r="J16" s="53"/>
      <c r="K16" s="141">
        <f t="shared" si="1"/>
        <v>1</v>
      </c>
      <c r="L16" s="50" t="s">
        <v>77</v>
      </c>
      <c r="M16" s="234">
        <f>'ore di buio'!F20</f>
        <v>11.888771766142698</v>
      </c>
      <c r="N16" s="148"/>
      <c r="P16" s="972" t="s">
        <v>739</v>
      </c>
    </row>
    <row r="17" spans="2:19" ht="20.100000000000001" customHeight="1">
      <c r="B17" s="50" t="s">
        <v>78</v>
      </c>
      <c r="C17" s="52"/>
      <c r="D17" s="48"/>
      <c r="E17" s="53"/>
      <c r="F17" s="141">
        <f t="shared" si="0"/>
        <v>1</v>
      </c>
      <c r="G17" s="50" t="s">
        <v>78</v>
      </c>
      <c r="H17" s="52"/>
      <c r="I17" s="48"/>
      <c r="J17" s="53"/>
      <c r="K17" s="141">
        <f t="shared" si="1"/>
        <v>1</v>
      </c>
      <c r="L17" s="50" t="s">
        <v>78</v>
      </c>
      <c r="M17" s="234">
        <f>'ore di buio'!F21</f>
        <v>11.887647714555529</v>
      </c>
      <c r="N17" s="148"/>
      <c r="P17" s="918"/>
    </row>
    <row r="18" spans="2:19" ht="20.100000000000001" customHeight="1">
      <c r="B18" s="50" t="s">
        <v>79</v>
      </c>
      <c r="C18" s="52"/>
      <c r="D18" s="48"/>
      <c r="E18" s="53"/>
      <c r="F18" s="141">
        <f t="shared" si="0"/>
        <v>1</v>
      </c>
      <c r="G18" s="50" t="s">
        <v>79</v>
      </c>
      <c r="H18" s="52"/>
      <c r="I18" s="48"/>
      <c r="J18" s="53"/>
      <c r="K18" s="141">
        <f t="shared" si="1"/>
        <v>1</v>
      </c>
      <c r="L18" s="50" t="s">
        <v>79</v>
      </c>
      <c r="M18" s="234">
        <f>'ore di buio'!F22</f>
        <v>11.882808977070816</v>
      </c>
      <c r="N18" s="148"/>
      <c r="S18" s="232" t="s">
        <v>740</v>
      </c>
    </row>
    <row r="19" spans="2:19" ht="20.100000000000001" customHeight="1" thickBot="1">
      <c r="B19" s="51" t="s">
        <v>80</v>
      </c>
      <c r="C19" s="54"/>
      <c r="D19" s="48"/>
      <c r="E19" s="55"/>
      <c r="F19" s="141">
        <f t="shared" si="0"/>
        <v>1</v>
      </c>
      <c r="G19" s="51" t="s">
        <v>80</v>
      </c>
      <c r="H19" s="54"/>
      <c r="I19" s="48"/>
      <c r="J19" s="55"/>
      <c r="K19" s="141">
        <f t="shared" si="1"/>
        <v>1</v>
      </c>
      <c r="L19" s="51" t="s">
        <v>80</v>
      </c>
      <c r="M19" s="234">
        <f>'ore di buio'!F23</f>
        <v>11.879159900258408</v>
      </c>
      <c r="N19" s="148"/>
    </row>
    <row r="20" spans="2:19" ht="14.25" customHeight="1">
      <c r="F20" s="141">
        <f>SUM(F8:F19)</f>
        <v>12</v>
      </c>
      <c r="K20" s="141">
        <f>SUM(K8:K19)</f>
        <v>12</v>
      </c>
      <c r="N20" s="141">
        <f>SUM(N8:N19)</f>
        <v>0</v>
      </c>
      <c r="R20" s="1" t="s">
        <v>741</v>
      </c>
      <c r="S20" s="232" t="s">
        <v>742</v>
      </c>
    </row>
    <row r="21" spans="2:19" ht="39" customHeight="1" thickBot="1">
      <c r="E21" s="47"/>
      <c r="F21" s="47"/>
      <c r="G21" s="47"/>
      <c r="H21" s="47"/>
      <c r="I21" s="47"/>
      <c r="J21" s="47"/>
      <c r="K21" s="47"/>
      <c r="L21" s="47"/>
      <c r="M21" s="47"/>
      <c r="N21" s="47"/>
    </row>
    <row r="22" spans="2:19" ht="12.75" customHeight="1" thickBot="1">
      <c r="B22" s="958" t="s">
        <v>743</v>
      </c>
      <c r="C22" s="938"/>
      <c r="D22" s="938"/>
      <c r="E22" s="938"/>
      <c r="F22" s="938"/>
      <c r="G22" s="938"/>
      <c r="H22" s="938"/>
      <c r="I22" s="938"/>
      <c r="J22" s="938"/>
      <c r="K22" s="938"/>
      <c r="L22" s="938"/>
      <c r="M22" s="938"/>
      <c r="N22" s="938"/>
      <c r="O22" s="959"/>
    </row>
    <row r="23" spans="2:19" ht="7.5" customHeight="1" thickBot="1">
      <c r="B23" s="140"/>
      <c r="C23" s="140"/>
      <c r="D23" s="140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2:19" ht="20.100000000000001" customHeight="1">
      <c r="B24" s="961" t="s">
        <v>744</v>
      </c>
      <c r="C24" s="906"/>
      <c r="D24" s="906"/>
      <c r="E24" s="909"/>
      <c r="G24" s="961" t="s">
        <v>744</v>
      </c>
      <c r="H24" s="906"/>
      <c r="I24" s="906"/>
      <c r="J24" s="909"/>
      <c r="L24" s="961" t="s">
        <v>744</v>
      </c>
      <c r="M24" s="906"/>
      <c r="N24" s="906"/>
      <c r="O24" s="909"/>
      <c r="R24" t="s">
        <v>745</v>
      </c>
      <c r="S24" s="232" t="s">
        <v>746</v>
      </c>
    </row>
    <row r="25" spans="2:19" ht="20.100000000000001" customHeight="1">
      <c r="B25" s="950" t="s">
        <v>747</v>
      </c>
      <c r="C25" s="951"/>
      <c r="D25" s="951"/>
      <c r="E25" s="913"/>
      <c r="G25" s="950" t="s">
        <v>748</v>
      </c>
      <c r="H25" s="951"/>
      <c r="I25" s="951"/>
      <c r="J25" s="913"/>
      <c r="L25" s="950" t="s">
        <v>749</v>
      </c>
      <c r="M25" s="951"/>
      <c r="N25" s="951"/>
      <c r="O25" s="913"/>
    </row>
    <row r="26" spans="2:19" ht="20.100000000000001" customHeight="1">
      <c r="B26" s="144" t="s">
        <v>732</v>
      </c>
      <c r="C26" s="145" t="s">
        <v>733</v>
      </c>
      <c r="D26" s="145" t="s">
        <v>734</v>
      </c>
      <c r="E26" s="146" t="s">
        <v>735</v>
      </c>
      <c r="F26" s="141"/>
      <c r="G26" s="144" t="s">
        <v>732</v>
      </c>
      <c r="H26" s="145" t="s">
        <v>733</v>
      </c>
      <c r="I26" s="145" t="s">
        <v>734</v>
      </c>
      <c r="J26" s="146" t="s">
        <v>735</v>
      </c>
      <c r="L26" s="144" t="s">
        <v>732</v>
      </c>
      <c r="M26" s="145" t="s">
        <v>733</v>
      </c>
      <c r="N26" s="145" t="s">
        <v>734</v>
      </c>
      <c r="O26" s="146" t="s">
        <v>735</v>
      </c>
      <c r="R26" t="s">
        <v>745</v>
      </c>
      <c r="S26" s="232" t="s">
        <v>750</v>
      </c>
    </row>
    <row r="27" spans="2:19" ht="20.100000000000001" customHeight="1">
      <c r="B27" s="147" t="s">
        <v>69</v>
      </c>
      <c r="C27" s="52"/>
      <c r="D27" s="48"/>
      <c r="E27" s="53"/>
      <c r="F27" s="141">
        <f>IF(D27="",1,0)</f>
        <v>1</v>
      </c>
      <c r="G27" s="147" t="s">
        <v>69</v>
      </c>
      <c r="H27" s="52"/>
      <c r="I27" s="48"/>
      <c r="J27" s="53"/>
      <c r="K27" s="141">
        <f t="shared" ref="K27:K38" si="2">IF(I27="",1,0)</f>
        <v>1</v>
      </c>
      <c r="L27" s="147" t="s">
        <v>69</v>
      </c>
      <c r="M27" s="52"/>
      <c r="N27" s="48"/>
      <c r="O27" s="53"/>
      <c r="P27" s="141">
        <f t="shared" ref="P27:P38" si="3">IF(N27="",1,0)</f>
        <v>1</v>
      </c>
    </row>
    <row r="28" spans="2:19" ht="20.100000000000001" customHeight="1">
      <c r="B28" s="50" t="s">
        <v>70</v>
      </c>
      <c r="C28" s="52"/>
      <c r="D28" s="48"/>
      <c r="E28" s="53"/>
      <c r="F28" s="141">
        <f>IF(D28="",1,0)</f>
        <v>1</v>
      </c>
      <c r="G28" s="50" t="s">
        <v>70</v>
      </c>
      <c r="H28" s="52"/>
      <c r="I28" s="48"/>
      <c r="J28" s="53"/>
      <c r="K28" s="141">
        <f t="shared" si="2"/>
        <v>1</v>
      </c>
      <c r="L28" s="50" t="s">
        <v>70</v>
      </c>
      <c r="M28" s="52"/>
      <c r="N28" s="48"/>
      <c r="O28" s="53"/>
      <c r="P28" s="141">
        <f t="shared" si="3"/>
        <v>1</v>
      </c>
    </row>
    <row r="29" spans="2:19" ht="20.100000000000001" customHeight="1">
      <c r="B29" s="50" t="s">
        <v>71</v>
      </c>
      <c r="C29" s="52"/>
      <c r="D29" s="48"/>
      <c r="E29" s="53"/>
      <c r="F29" s="141">
        <f>IF(D29="",1,0)</f>
        <v>1</v>
      </c>
      <c r="G29" s="50" t="s">
        <v>71</v>
      </c>
      <c r="H29" s="52"/>
      <c r="I29" s="48"/>
      <c r="J29" s="53"/>
      <c r="K29" s="141">
        <f t="shared" si="2"/>
        <v>1</v>
      </c>
      <c r="L29" s="50" t="s">
        <v>71</v>
      </c>
      <c r="M29" s="52"/>
      <c r="N29" s="48"/>
      <c r="O29" s="53"/>
      <c r="P29" s="141">
        <f t="shared" si="3"/>
        <v>1</v>
      </c>
    </row>
    <row r="30" spans="2:19" ht="20.100000000000001" customHeight="1">
      <c r="B30" s="50" t="s">
        <v>72</v>
      </c>
      <c r="C30" s="52"/>
      <c r="D30" s="48"/>
      <c r="E30" s="53"/>
      <c r="F30" s="141">
        <f>IF(D30="",1,0)</f>
        <v>1</v>
      </c>
      <c r="G30" s="50" t="s">
        <v>72</v>
      </c>
      <c r="H30" s="52"/>
      <c r="I30" s="48"/>
      <c r="J30" s="53"/>
      <c r="K30" s="141">
        <f t="shared" si="2"/>
        <v>1</v>
      </c>
      <c r="L30" s="50" t="s">
        <v>72</v>
      </c>
      <c r="M30" s="52"/>
      <c r="N30" s="48"/>
      <c r="O30" s="53"/>
      <c r="P30" s="141">
        <f t="shared" si="3"/>
        <v>1</v>
      </c>
    </row>
    <row r="31" spans="2:19" ht="20.100000000000001" customHeight="1">
      <c r="B31" s="50" t="s">
        <v>73</v>
      </c>
      <c r="C31" s="52"/>
      <c r="D31" s="48"/>
      <c r="E31" s="53"/>
      <c r="F31" s="141">
        <f>IF(D31="",1,0)</f>
        <v>1</v>
      </c>
      <c r="G31" s="50" t="s">
        <v>73</v>
      </c>
      <c r="H31" s="52"/>
      <c r="I31" s="48"/>
      <c r="J31" s="53"/>
      <c r="K31" s="141">
        <f t="shared" si="2"/>
        <v>1</v>
      </c>
      <c r="L31" s="50" t="s">
        <v>73</v>
      </c>
      <c r="M31" s="52"/>
      <c r="N31" s="48"/>
      <c r="O31" s="53"/>
      <c r="P31" s="141">
        <f t="shared" si="3"/>
        <v>1</v>
      </c>
    </row>
    <row r="32" spans="2:19" ht="20.100000000000001" customHeight="1">
      <c r="B32" s="50" t="s">
        <v>74</v>
      </c>
      <c r="C32" s="52"/>
      <c r="D32" s="68"/>
      <c r="E32" s="53"/>
      <c r="F32" s="141">
        <f t="shared" ref="F32:F37" si="4">IF(D33="",1,0)</f>
        <v>1</v>
      </c>
      <c r="G32" s="50" t="s">
        <v>74</v>
      </c>
      <c r="H32" s="52"/>
      <c r="I32" s="48"/>
      <c r="J32" s="53"/>
      <c r="K32" s="141">
        <f t="shared" si="2"/>
        <v>1</v>
      </c>
      <c r="L32" s="50" t="s">
        <v>74</v>
      </c>
      <c r="M32" s="52"/>
      <c r="N32" s="48"/>
      <c r="O32" s="53"/>
      <c r="P32" s="141">
        <f t="shared" si="3"/>
        <v>1</v>
      </c>
    </row>
    <row r="33" spans="2:16" ht="20.100000000000001" customHeight="1">
      <c r="B33" s="50" t="s">
        <v>75</v>
      </c>
      <c r="C33" s="52"/>
      <c r="D33" s="48"/>
      <c r="E33" s="53"/>
      <c r="F33" s="141">
        <f t="shared" si="4"/>
        <v>1</v>
      </c>
      <c r="G33" s="50" t="s">
        <v>75</v>
      </c>
      <c r="H33" s="52"/>
      <c r="I33" s="48"/>
      <c r="J33" s="53"/>
      <c r="K33" s="141">
        <f t="shared" si="2"/>
        <v>1</v>
      </c>
      <c r="L33" s="50" t="s">
        <v>75</v>
      </c>
      <c r="M33" s="52"/>
      <c r="N33" s="48"/>
      <c r="O33" s="53"/>
      <c r="P33" s="141">
        <f t="shared" si="3"/>
        <v>1</v>
      </c>
    </row>
    <row r="34" spans="2:16" ht="20.100000000000001" customHeight="1">
      <c r="B34" s="50" t="s">
        <v>76</v>
      </c>
      <c r="C34" s="52"/>
      <c r="D34" s="48"/>
      <c r="E34" s="53"/>
      <c r="F34" s="141">
        <f t="shared" si="4"/>
        <v>1</v>
      </c>
      <c r="G34" s="50" t="s">
        <v>76</v>
      </c>
      <c r="H34" s="52"/>
      <c r="I34" s="48"/>
      <c r="J34" s="53"/>
      <c r="K34" s="141">
        <f t="shared" si="2"/>
        <v>1</v>
      </c>
      <c r="L34" s="50" t="s">
        <v>76</v>
      </c>
      <c r="M34" s="52"/>
      <c r="N34" s="48"/>
      <c r="O34" s="53"/>
      <c r="P34" s="141">
        <f t="shared" si="3"/>
        <v>1</v>
      </c>
    </row>
    <row r="35" spans="2:16" ht="20.100000000000001" customHeight="1">
      <c r="B35" s="50" t="s">
        <v>77</v>
      </c>
      <c r="C35" s="52"/>
      <c r="D35" s="48"/>
      <c r="E35" s="53"/>
      <c r="F35" s="141">
        <f t="shared" si="4"/>
        <v>1</v>
      </c>
      <c r="G35" s="50" t="s">
        <v>77</v>
      </c>
      <c r="H35" s="52"/>
      <c r="I35" s="48"/>
      <c r="J35" s="53"/>
      <c r="K35" s="141">
        <f t="shared" si="2"/>
        <v>1</v>
      </c>
      <c r="L35" s="50" t="s">
        <v>77</v>
      </c>
      <c r="M35" s="52"/>
      <c r="N35" s="48"/>
      <c r="O35" s="53"/>
      <c r="P35" s="141">
        <f t="shared" si="3"/>
        <v>1</v>
      </c>
    </row>
    <row r="36" spans="2:16" ht="20.100000000000001" customHeight="1">
      <c r="B36" s="50" t="s">
        <v>78</v>
      </c>
      <c r="C36" s="52"/>
      <c r="D36" s="48"/>
      <c r="E36" s="53"/>
      <c r="F36" s="141">
        <f t="shared" si="4"/>
        <v>1</v>
      </c>
      <c r="G36" s="50" t="s">
        <v>78</v>
      </c>
      <c r="H36" s="52"/>
      <c r="I36" s="48"/>
      <c r="J36" s="53"/>
      <c r="K36" s="141">
        <f t="shared" si="2"/>
        <v>1</v>
      </c>
      <c r="L36" s="50" t="s">
        <v>78</v>
      </c>
      <c r="M36" s="52"/>
      <c r="N36" s="48"/>
      <c r="O36" s="53"/>
      <c r="P36" s="141">
        <f t="shared" si="3"/>
        <v>1</v>
      </c>
    </row>
    <row r="37" spans="2:16" ht="20.100000000000001" customHeight="1">
      <c r="B37" s="50" t="s">
        <v>79</v>
      </c>
      <c r="C37" s="52"/>
      <c r="D37" s="48"/>
      <c r="E37" s="53"/>
      <c r="F37" s="141">
        <f t="shared" si="4"/>
        <v>1</v>
      </c>
      <c r="G37" s="50" t="s">
        <v>79</v>
      </c>
      <c r="H37" s="52"/>
      <c r="I37" s="48"/>
      <c r="J37" s="53"/>
      <c r="K37" s="141">
        <f t="shared" si="2"/>
        <v>1</v>
      </c>
      <c r="L37" s="50" t="s">
        <v>79</v>
      </c>
      <c r="M37" s="52"/>
      <c r="N37" s="48"/>
      <c r="O37" s="53"/>
      <c r="P37" s="141">
        <f t="shared" si="3"/>
        <v>1</v>
      </c>
    </row>
    <row r="38" spans="2:16" ht="20.100000000000001" customHeight="1" thickBot="1">
      <c r="B38" s="51" t="s">
        <v>80</v>
      </c>
      <c r="C38" s="54"/>
      <c r="D38" s="48"/>
      <c r="E38" s="55"/>
      <c r="F38" s="141" t="e">
        <f>IF(#REF!="",1,0)</f>
        <v>#REF!</v>
      </c>
      <c r="G38" s="51" t="s">
        <v>80</v>
      </c>
      <c r="H38" s="54"/>
      <c r="I38" s="49"/>
      <c r="J38" s="55"/>
      <c r="K38" s="141">
        <f t="shared" si="2"/>
        <v>1</v>
      </c>
      <c r="L38" s="51" t="s">
        <v>80</v>
      </c>
      <c r="M38" s="54"/>
      <c r="N38" s="49"/>
      <c r="O38" s="55"/>
      <c r="P38" s="141">
        <f t="shared" si="3"/>
        <v>1</v>
      </c>
    </row>
    <row r="39" spans="2:16">
      <c r="F39" s="141" t="e">
        <f>SUM(F27:F38)</f>
        <v>#REF!</v>
      </c>
      <c r="K39" s="141">
        <f>SUM(K27:K38)</f>
        <v>12</v>
      </c>
      <c r="P39" s="141">
        <f>SUM(P27:P38)</f>
        <v>12</v>
      </c>
    </row>
    <row r="40" spans="2:16">
      <c r="B40" s="9" t="s">
        <v>751</v>
      </c>
      <c r="C40" s="9"/>
      <c r="D40" s="9"/>
      <c r="E40" s="9"/>
      <c r="F40" s="9"/>
      <c r="G40" s="9"/>
      <c r="H40" s="952" t="s">
        <v>720</v>
      </c>
      <c r="I40" s="918"/>
      <c r="J40" s="918"/>
      <c r="K40" s="918"/>
      <c r="L40" s="918"/>
      <c r="M40" s="918"/>
      <c r="N40" s="918"/>
      <c r="O40" s="918"/>
    </row>
    <row r="41" spans="2:16" ht="6.75" customHeight="1"/>
    <row r="42" spans="2:16">
      <c r="L42" s="150" t="s">
        <v>752</v>
      </c>
      <c r="M42" s="969">
        <f ca="1">TODAY()</f>
        <v>46138</v>
      </c>
      <c r="N42" s="918"/>
      <c r="O42" s="918"/>
    </row>
    <row r="43" spans="2:16" hidden="1"/>
    <row r="44" spans="2:16" hidden="1"/>
    <row r="45" spans="2:16" hidden="1"/>
    <row r="46" spans="2:16" hidden="1"/>
    <row r="47" spans="2:16" hidden="1"/>
    <row r="48" spans="2:16" hidden="1"/>
    <row r="49" spans="8:8" hidden="1"/>
    <row r="50" spans="8:8" hidden="1"/>
    <row r="51" spans="8:8" hidden="1"/>
    <row r="52" spans="8:8" hidden="1">
      <c r="H52" s="232" t="s">
        <v>753</v>
      </c>
    </row>
    <row r="53" spans="8:8" hidden="1"/>
    <row r="54" spans="8:8" hidden="1"/>
    <row r="55" spans="8:8" hidden="1"/>
    <row r="56" spans="8:8" hidden="1"/>
    <row r="57" spans="8:8" hidden="1">
      <c r="H57" s="232" t="s">
        <v>754</v>
      </c>
    </row>
    <row r="58" spans="8:8" hidden="1"/>
    <row r="59" spans="8:8" hidden="1"/>
    <row r="60" spans="8:8" hidden="1"/>
    <row r="61" spans="8:8" hidden="1">
      <c r="H61" s="232" t="s">
        <v>755</v>
      </c>
    </row>
    <row r="62" spans="8:8" hidden="1"/>
    <row r="63" spans="8:8" hidden="1"/>
    <row r="64" spans="8:8" hidden="1"/>
    <row r="65" spans="8:8" hidden="1"/>
    <row r="66" spans="8:8" hidden="1">
      <c r="H66" s="232" t="s">
        <v>756</v>
      </c>
    </row>
    <row r="67" spans="8:8" hidden="1"/>
    <row r="68" spans="8:8" hidden="1"/>
    <row r="69" spans="8:8" hidden="1">
      <c r="H69" s="232" t="s">
        <v>757</v>
      </c>
    </row>
    <row r="70" spans="8:8" hidden="1"/>
    <row r="71" spans="8:8" hidden="1">
      <c r="H71" s="232"/>
    </row>
    <row r="72" spans="8:8" hidden="1"/>
    <row r="83" s="644" customFormat="1"/>
    <row r="84" s="644" customFormat="1"/>
    <row r="85" s="644" customFormat="1"/>
    <row r="86" s="644" customFormat="1"/>
    <row r="87" s="644" customFormat="1"/>
    <row r="88" s="644" customFormat="1"/>
    <row r="89" s="644" customFormat="1"/>
    <row r="90" s="644" customFormat="1"/>
    <row r="91" s="644" customFormat="1"/>
    <row r="92" s="644" customFormat="1"/>
    <row r="93" s="644" customFormat="1"/>
    <row r="94" s="644" customFormat="1"/>
    <row r="95" s="644" customFormat="1"/>
    <row r="96" s="644" customFormat="1"/>
    <row r="97" s="644" customFormat="1"/>
    <row r="98" s="644" customFormat="1"/>
    <row r="99" s="644" customFormat="1"/>
    <row r="100" s="644" customFormat="1"/>
    <row r="101" s="644" customFormat="1"/>
    <row r="102" s="644" customFormat="1"/>
    <row r="103" s="644" customFormat="1"/>
    <row r="104" s="644" customFormat="1"/>
    <row r="105" s="644" customFormat="1"/>
    <row r="106" s="644" customFormat="1"/>
    <row r="107" s="644" customFormat="1"/>
    <row r="108" s="644" customFormat="1"/>
    <row r="109" s="644" customFormat="1"/>
    <row r="110" s="644" customFormat="1"/>
    <row r="111" s="644" customFormat="1"/>
    <row r="112" s="644" customFormat="1"/>
    <row r="113" s="644" customFormat="1"/>
    <row r="114" s="644" customFormat="1"/>
    <row r="115" s="644" customFormat="1"/>
    <row r="116" s="644" customFormat="1"/>
    <row r="117" s="644" customFormat="1"/>
    <row r="118" s="644" customFormat="1"/>
    <row r="119" s="644" customFormat="1"/>
    <row r="120" s="644" customFormat="1"/>
    <row r="121" s="644" customFormat="1"/>
    <row r="122" s="644" customFormat="1"/>
    <row r="123" s="644" customFormat="1"/>
    <row r="124" s="644" customFormat="1"/>
    <row r="125" s="644" customFormat="1"/>
    <row r="126" s="644" customFormat="1"/>
    <row r="127" s="644" customFormat="1"/>
    <row r="128" s="644" customFormat="1"/>
    <row r="129" s="644" customFormat="1"/>
    <row r="130" s="644" customFormat="1"/>
    <row r="131" s="644" customFormat="1"/>
    <row r="132" s="644" customFormat="1"/>
    <row r="133" s="644" customFormat="1"/>
    <row r="134" s="644" customFormat="1"/>
    <row r="135" s="644" customFormat="1"/>
    <row r="136" s="644" customFormat="1"/>
    <row r="137" s="644" customFormat="1"/>
    <row r="138" s="644" customFormat="1"/>
    <row r="139" s="644" customFormat="1"/>
    <row r="140" s="644" customFormat="1"/>
    <row r="141" s="644" customFormat="1"/>
    <row r="142" s="644" customFormat="1"/>
    <row r="143" s="644" customFormat="1"/>
    <row r="144" s="644" customFormat="1"/>
    <row r="145" s="644" customFormat="1"/>
    <row r="146" s="644" customFormat="1"/>
    <row r="147" s="644" customFormat="1"/>
    <row r="148" s="644" customFormat="1"/>
    <row r="149" s="644" customFormat="1"/>
    <row r="150" s="644" customFormat="1"/>
    <row r="151" s="644" customFormat="1"/>
    <row r="152" s="644" customFormat="1"/>
    <row r="153" s="644" customFormat="1"/>
    <row r="154" s="644" customFormat="1"/>
    <row r="155" s="644" customFormat="1"/>
    <row r="156" s="644" customFormat="1"/>
    <row r="157" s="644" customFormat="1"/>
    <row r="158" s="644" customFormat="1"/>
    <row r="159" s="644" customFormat="1"/>
    <row r="160" s="644" customFormat="1"/>
    <row r="161" s="644" customFormat="1"/>
    <row r="162" s="644" customFormat="1"/>
    <row r="163" s="644" customFormat="1"/>
    <row r="164" s="644" customFormat="1"/>
    <row r="165" s="644" customFormat="1"/>
    <row r="166" s="644" customFormat="1"/>
    <row r="167" s="644" customFormat="1"/>
    <row r="168" s="644" customFormat="1"/>
    <row r="169" s="644" customFormat="1"/>
    <row r="170" s="644" customFormat="1"/>
    <row r="171" s="644" customFormat="1"/>
    <row r="172" s="644" customFormat="1"/>
    <row r="173" s="644" customFormat="1"/>
    <row r="174" s="644" customFormat="1"/>
    <row r="175" s="644" customFormat="1"/>
    <row r="176" s="644" customFormat="1"/>
    <row r="177" s="644" customFormat="1"/>
    <row r="178" s="644" customFormat="1"/>
    <row r="179" s="644" customFormat="1"/>
    <row r="180" s="644" customFormat="1"/>
    <row r="181" s="644" customFormat="1"/>
    <row r="182" s="644" customFormat="1"/>
    <row r="183" s="644" customFormat="1"/>
    <row r="184" s="644" customFormat="1"/>
    <row r="185" s="644" customFormat="1"/>
    <row r="186" s="644" customFormat="1"/>
    <row r="187" s="644" customFormat="1"/>
    <row r="188" s="644" customFormat="1"/>
    <row r="189" s="644" customFormat="1"/>
    <row r="190" s="644" customFormat="1"/>
    <row r="191" s="644" customFormat="1"/>
    <row r="192" s="644" customFormat="1"/>
    <row r="193" s="644" customFormat="1"/>
    <row r="194" s="644" customFormat="1"/>
    <row r="195" s="644" customFormat="1"/>
    <row r="196" s="644" customFormat="1"/>
    <row r="197" s="644" customFormat="1"/>
    <row r="198" s="644" customFormat="1"/>
    <row r="199" s="644" customFormat="1"/>
    <row r="200" s="644" customFormat="1"/>
    <row r="201" s="644" customFormat="1"/>
    <row r="202" s="644" customFormat="1"/>
    <row r="203" s="644" customFormat="1"/>
    <row r="204" s="644" customFormat="1"/>
    <row r="205" s="644" customFormat="1"/>
    <row r="206" s="644" customFormat="1"/>
    <row r="207" s="644" customFormat="1"/>
    <row r="208" s="644" customFormat="1"/>
    <row r="209" s="644" customFormat="1"/>
    <row r="210" s="644" customFormat="1"/>
    <row r="211" s="644" customFormat="1"/>
    <row r="212" s="644" customFormat="1"/>
    <row r="213" s="644" customFormat="1"/>
    <row r="214" s="644" customFormat="1"/>
    <row r="215" s="644" customFormat="1"/>
    <row r="216" s="644" customFormat="1"/>
    <row r="217" s="644" customFormat="1"/>
    <row r="218" s="644" customFormat="1"/>
    <row r="219" s="644" customFormat="1"/>
    <row r="220" s="644" customFormat="1"/>
    <row r="221" s="644" customFormat="1"/>
    <row r="222" s="644" customFormat="1"/>
    <row r="223" s="644" customFormat="1"/>
    <row r="224" s="644" customFormat="1"/>
    <row r="225" s="644" customFormat="1"/>
    <row r="226" s="644" customFormat="1"/>
    <row r="227" s="644" customFormat="1"/>
    <row r="228" s="644" customFormat="1"/>
    <row r="229" s="644" customFormat="1"/>
    <row r="230" s="644" customFormat="1"/>
    <row r="231" s="644" customFormat="1"/>
    <row r="232" s="644" customFormat="1"/>
    <row r="233" s="644" customFormat="1"/>
    <row r="234" s="644" customFormat="1"/>
    <row r="235" s="644" customFormat="1"/>
    <row r="236" s="644" customFormat="1"/>
    <row r="237" s="644" customFormat="1"/>
    <row r="238" s="644" customFormat="1"/>
    <row r="239" s="644" customFormat="1"/>
    <row r="240" s="644" customFormat="1"/>
    <row r="241" s="644" customFormat="1"/>
    <row r="242" s="644" customFormat="1"/>
    <row r="243" s="644" customFormat="1"/>
    <row r="244" s="644" customFormat="1"/>
    <row r="245" s="644" customFormat="1"/>
    <row r="246" s="644" customFormat="1"/>
    <row r="247" s="644" customFormat="1"/>
    <row r="248" s="644" customFormat="1"/>
    <row r="249" s="644" customFormat="1"/>
    <row r="250" s="644" customFormat="1"/>
    <row r="251" s="644" customFormat="1"/>
    <row r="252" s="644" customFormat="1"/>
    <row r="253" s="644" customFormat="1"/>
    <row r="254" s="644" customFormat="1"/>
    <row r="255" s="644" customFormat="1"/>
    <row r="256" s="644" customFormat="1"/>
    <row r="257" s="644" customFormat="1"/>
    <row r="258" s="644" customFormat="1"/>
    <row r="259" s="644" customFormat="1"/>
    <row r="260" s="644" customFormat="1"/>
    <row r="261" s="644" customFormat="1"/>
    <row r="262" s="644" customFormat="1"/>
    <row r="263" s="644" customFormat="1"/>
    <row r="264" s="644" customFormat="1"/>
    <row r="265" s="644" customFormat="1"/>
    <row r="266" s="644" customFormat="1"/>
    <row r="267" s="644" customFormat="1"/>
    <row r="268" s="644" customFormat="1"/>
    <row r="269" s="644" customFormat="1"/>
    <row r="270" s="644" customFormat="1"/>
    <row r="271" s="644" customFormat="1"/>
    <row r="272" s="644" customFormat="1"/>
    <row r="273" s="644" customFormat="1"/>
    <row r="274" s="644" customFormat="1"/>
    <row r="275" s="644" customFormat="1"/>
    <row r="276" s="644" customFormat="1"/>
    <row r="277" s="644" customFormat="1"/>
    <row r="278" s="644" customFormat="1"/>
    <row r="279" s="644" customFormat="1"/>
    <row r="280" s="644" customFormat="1"/>
    <row r="281" s="644" customFormat="1"/>
    <row r="282" s="644" customFormat="1"/>
    <row r="283" s="644" customFormat="1"/>
    <row r="284" s="644" customFormat="1"/>
    <row r="285" s="644" customFormat="1"/>
    <row r="286" s="644" customFormat="1"/>
    <row r="287" s="644" customFormat="1"/>
    <row r="288" s="644" customFormat="1"/>
    <row r="289" s="644" customFormat="1"/>
    <row r="290" s="644" customFormat="1"/>
    <row r="291" s="644" customFormat="1"/>
    <row r="292" s="644" customFormat="1"/>
    <row r="293" s="644" customFormat="1"/>
    <row r="294" s="644" customFormat="1"/>
    <row r="295" s="644" customFormat="1"/>
    <row r="296" s="644" customFormat="1"/>
    <row r="297" s="644" customFormat="1"/>
    <row r="298" s="644" customFormat="1"/>
    <row r="299" s="644" customFormat="1"/>
    <row r="300" s="644" customFormat="1"/>
    <row r="301" s="644" customFormat="1"/>
    <row r="302" s="644" customFormat="1"/>
    <row r="303" s="644" customFormat="1"/>
    <row r="304" s="644" customFormat="1"/>
    <row r="305" s="644" customFormat="1"/>
    <row r="306" s="644" customFormat="1"/>
    <row r="307" s="644" customFormat="1"/>
    <row r="308" s="644" customFormat="1"/>
    <row r="309" s="644" customFormat="1"/>
    <row r="310" s="644" customFormat="1"/>
    <row r="311" s="644" customFormat="1"/>
    <row r="312" s="644" customFormat="1"/>
    <row r="313" s="644" customFormat="1"/>
    <row r="314" s="644" customFormat="1"/>
    <row r="315" s="644" customFormat="1"/>
    <row r="316" s="644" customFormat="1"/>
    <row r="317" s="644" customFormat="1"/>
    <row r="318" s="644" customFormat="1"/>
    <row r="319" s="644" customFormat="1"/>
    <row r="320" s="644" customFormat="1"/>
    <row r="321" s="644" customFormat="1"/>
    <row r="322" s="644" customFormat="1"/>
    <row r="323" s="644" customFormat="1"/>
    <row r="324" s="644" customFormat="1"/>
    <row r="325" s="644" customFormat="1"/>
    <row r="326" s="644" customFormat="1"/>
    <row r="327" s="644" customFormat="1"/>
    <row r="328" s="644" customFormat="1"/>
    <row r="329" s="644" customFormat="1"/>
    <row r="330" s="644" customFormat="1"/>
    <row r="331" s="644" customFormat="1"/>
    <row r="332" s="644" customFormat="1"/>
    <row r="333" s="644" customFormat="1"/>
    <row r="334" s="644" customFormat="1"/>
    <row r="335" s="644" customFormat="1"/>
    <row r="336" s="644" customFormat="1"/>
    <row r="337" s="644" customFormat="1"/>
    <row r="338" s="644" customFormat="1"/>
    <row r="339" s="644" customFormat="1"/>
    <row r="340" s="644" customFormat="1"/>
    <row r="341" s="644" customFormat="1"/>
    <row r="342" s="644" customFormat="1"/>
    <row r="343" s="644" customFormat="1"/>
    <row r="344" s="644" customFormat="1"/>
    <row r="345" s="644" customFormat="1"/>
    <row r="346" s="644" customFormat="1"/>
    <row r="347" s="644" customFormat="1"/>
    <row r="348" s="644" customFormat="1"/>
    <row r="349" s="644" customFormat="1"/>
    <row r="350" s="644" customFormat="1"/>
    <row r="351" s="644" customFormat="1"/>
    <row r="352" s="644" customFormat="1"/>
    <row r="353" s="644" customFormat="1"/>
    <row r="354" s="644" customFormat="1"/>
    <row r="355" s="644" customFormat="1"/>
    <row r="356" s="644" customFormat="1"/>
    <row r="357" s="644" customFormat="1"/>
    <row r="358" s="644" customFormat="1"/>
    <row r="359" s="644" customFormat="1"/>
    <row r="360" s="644" customFormat="1"/>
    <row r="361" s="644" customFormat="1"/>
    <row r="362" s="644" customFormat="1"/>
    <row r="363" s="644" customFormat="1"/>
    <row r="364" s="644" customFormat="1"/>
    <row r="365" s="644" customFormat="1"/>
    <row r="366" s="644" customFormat="1"/>
    <row r="367" s="644" customFormat="1"/>
    <row r="368" s="644" customFormat="1"/>
    <row r="369" s="644" customFormat="1"/>
    <row r="370" s="644" customFormat="1"/>
    <row r="371" s="644" customFormat="1"/>
    <row r="372" s="644" customFormat="1"/>
    <row r="373" s="644" customFormat="1"/>
    <row r="374" s="644" customFormat="1"/>
    <row r="375" s="644" customFormat="1"/>
    <row r="376" s="644" customFormat="1"/>
    <row r="377" s="644" customFormat="1"/>
    <row r="378" s="644" customFormat="1"/>
    <row r="379" s="644" customFormat="1"/>
    <row r="380" s="644" customFormat="1"/>
    <row r="381" s="644" customFormat="1"/>
    <row r="382" s="644" customFormat="1"/>
    <row r="383" s="644" customFormat="1"/>
    <row r="384" s="644" customFormat="1"/>
    <row r="385" s="644" customFormat="1"/>
    <row r="386" s="644" customFormat="1"/>
    <row r="387" s="644" customFormat="1"/>
    <row r="388" s="644" customFormat="1"/>
    <row r="389" s="644" customFormat="1"/>
    <row r="390" s="644" customFormat="1"/>
    <row r="391" s="644" customFormat="1"/>
    <row r="392" s="644" customFormat="1"/>
    <row r="393" s="644" customFormat="1"/>
    <row r="394" s="644" customFormat="1"/>
    <row r="395" s="644" customFormat="1"/>
    <row r="396" s="644" customFormat="1"/>
    <row r="397" s="644" customFormat="1"/>
    <row r="398" s="644" customFormat="1"/>
    <row r="399" s="644" customFormat="1"/>
    <row r="400" s="644" customFormat="1"/>
    <row r="401" s="644" customFormat="1"/>
    <row r="402" s="644" customFormat="1"/>
    <row r="403" s="644" customFormat="1"/>
    <row r="404" s="644" customFormat="1"/>
    <row r="405" s="644" customFormat="1"/>
    <row r="406" s="644" customFormat="1"/>
    <row r="407" s="644" customFormat="1"/>
    <row r="408" s="644" customFormat="1"/>
    <row r="409" s="644" customFormat="1"/>
    <row r="410" s="644" customFormat="1"/>
    <row r="411" s="644" customFormat="1"/>
    <row r="412" s="644" customFormat="1"/>
    <row r="413" s="644" customFormat="1"/>
    <row r="414" s="644" customFormat="1"/>
    <row r="415" s="644" customFormat="1"/>
    <row r="416" s="644" customFormat="1"/>
    <row r="417" s="644" customFormat="1"/>
    <row r="418" s="644" customFormat="1"/>
    <row r="419" s="644" customFormat="1"/>
    <row r="420" s="644" customFormat="1"/>
    <row r="421" s="644" customFormat="1"/>
    <row r="422" s="644" customFormat="1"/>
    <row r="423" s="644" customFormat="1"/>
    <row r="424" s="644" customFormat="1"/>
    <row r="425" s="644" customFormat="1"/>
    <row r="426" s="644" customFormat="1"/>
    <row r="427" s="644" customFormat="1"/>
    <row r="428" s="644" customFormat="1"/>
    <row r="429" s="644" customFormat="1"/>
    <row r="430" s="644" customFormat="1"/>
    <row r="431" s="644" customFormat="1"/>
    <row r="432" s="644" customFormat="1"/>
    <row r="433" s="644" customFormat="1"/>
    <row r="434" s="644" customFormat="1"/>
    <row r="435" s="644" customFormat="1"/>
    <row r="436" s="644" customFormat="1"/>
    <row r="437" s="644" customFormat="1"/>
    <row r="438" s="644" customFormat="1"/>
    <row r="439" s="644" customFormat="1"/>
    <row r="440" s="644" customFormat="1"/>
    <row r="441" s="644" customFormat="1"/>
    <row r="442" s="644" customFormat="1"/>
    <row r="443" s="644" customFormat="1"/>
    <row r="444" s="644" customFormat="1"/>
    <row r="445" s="644" customFormat="1"/>
    <row r="446" s="644" customFormat="1"/>
    <row r="447" s="644" customFormat="1"/>
    <row r="448" s="644" customFormat="1"/>
    <row r="449" s="644" customFormat="1"/>
    <row r="450" s="644" customFormat="1"/>
    <row r="451" s="644" customFormat="1"/>
    <row r="452" s="644" customFormat="1"/>
    <row r="453" s="644" customFormat="1"/>
    <row r="454" s="644" customFormat="1"/>
    <row r="455" s="644" customFormat="1"/>
    <row r="456" s="644" customFormat="1"/>
    <row r="457" s="644" customFormat="1"/>
    <row r="458" s="644" customFormat="1"/>
    <row r="459" s="644" customFormat="1"/>
    <row r="460" s="644" customFormat="1"/>
    <row r="461" s="644" customFormat="1"/>
    <row r="462" s="644" customFormat="1"/>
    <row r="463" s="644" customFormat="1"/>
    <row r="464" s="644" customFormat="1"/>
    <row r="465" s="644" customFormat="1"/>
    <row r="466" s="644" customFormat="1"/>
    <row r="467" s="644" customFormat="1"/>
    <row r="468" s="644" customFormat="1"/>
    <row r="469" s="644" customFormat="1"/>
    <row r="470" s="644" customFormat="1"/>
    <row r="471" s="644" customFormat="1"/>
    <row r="472" s="644" customFormat="1"/>
    <row r="473" s="644" customFormat="1"/>
    <row r="474" s="644" customFormat="1"/>
    <row r="475" s="644" customFormat="1"/>
    <row r="476" s="644" customFormat="1"/>
    <row r="477" s="644" customFormat="1"/>
    <row r="478" s="644" customFormat="1"/>
    <row r="479" s="644" customFormat="1"/>
    <row r="480" s="644" customFormat="1"/>
    <row r="481" s="644" customFormat="1"/>
    <row r="482" s="644" customFormat="1"/>
    <row r="483" s="644" customFormat="1"/>
    <row r="484" s="644" customFormat="1"/>
    <row r="485" s="644" customFormat="1"/>
    <row r="486" s="644" customFormat="1"/>
    <row r="487" s="644" customFormat="1"/>
    <row r="488" s="644" customFormat="1"/>
    <row r="489" s="644" customFormat="1"/>
    <row r="490" s="644" customFormat="1"/>
    <row r="491" s="644" customFormat="1"/>
    <row r="492" s="644" customFormat="1"/>
    <row r="493" s="644" customFormat="1"/>
    <row r="494" s="644" customFormat="1"/>
    <row r="495" s="644" customFormat="1"/>
    <row r="496" s="644" customFormat="1"/>
    <row r="497" s="644" customFormat="1"/>
    <row r="498" s="644" customFormat="1"/>
    <row r="499" s="644" customFormat="1"/>
    <row r="500" s="644" customFormat="1"/>
    <row r="501" s="644" customFormat="1"/>
    <row r="502" s="644" customFormat="1"/>
    <row r="503" s="644" customFormat="1"/>
    <row r="504" s="644" customFormat="1"/>
    <row r="505" s="644" customFormat="1"/>
    <row r="506" s="644" customFormat="1"/>
    <row r="507" s="644" customFormat="1"/>
    <row r="508" s="644" customFormat="1"/>
  </sheetData>
  <mergeCells count="37">
    <mergeCell ref="B1:D1"/>
    <mergeCell ref="I2:J2"/>
    <mergeCell ref="B6:E6"/>
    <mergeCell ref="E1:T1"/>
    <mergeCell ref="P3:W3"/>
    <mergeCell ref="Q4:T4"/>
    <mergeCell ref="M42:O42"/>
    <mergeCell ref="P6:W6"/>
    <mergeCell ref="P2:Q2"/>
    <mergeCell ref="B25:E25"/>
    <mergeCell ref="P16:P17"/>
    <mergeCell ref="P5:W5"/>
    <mergeCell ref="I3:J3"/>
    <mergeCell ref="R2:W2"/>
    <mergeCell ref="P7:W7"/>
    <mergeCell ref="U4:W4"/>
    <mergeCell ref="K3:M3"/>
    <mergeCell ref="L24:O24"/>
    <mergeCell ref="B24:E24"/>
    <mergeCell ref="B5:E5"/>
    <mergeCell ref="N2:N3"/>
    <mergeCell ref="G25:J25"/>
    <mergeCell ref="P14:W14"/>
    <mergeCell ref="L25:O25"/>
    <mergeCell ref="H40:O40"/>
    <mergeCell ref="K2:M2"/>
    <mergeCell ref="B2:C2"/>
    <mergeCell ref="P8:W13"/>
    <mergeCell ref="B22:O22"/>
    <mergeCell ref="D2:G2"/>
    <mergeCell ref="G6:J6"/>
    <mergeCell ref="G24:J24"/>
    <mergeCell ref="L5:M6"/>
    <mergeCell ref="G5:J5"/>
    <mergeCell ref="D3:G3"/>
    <mergeCell ref="L7:M7"/>
    <mergeCell ref="B3:C3"/>
  </mergeCells>
  <hyperlinks>
    <hyperlink ref="E1" r:id="rId1" xr:uid="{00000000-0004-0000-0700-000000000000}"/>
    <hyperlink ref="R2" r:id="rId2" location="PVP" xr:uid="{00000000-0004-0000-0700-000001000000}"/>
    <hyperlink ref="Q4" r:id="rId3" xr:uid="{00000000-0004-0000-0700-000002000000}"/>
    <hyperlink ref="S15" r:id="rId4" xr:uid="{00000000-0004-0000-0700-000003000000}"/>
    <hyperlink ref="S18" r:id="rId5" xr:uid="{00000000-0004-0000-0700-000004000000}"/>
    <hyperlink ref="S20" r:id="rId6" xr:uid="{00000000-0004-0000-0700-000005000000}"/>
    <hyperlink ref="S24" r:id="rId7" xr:uid="{00000000-0004-0000-0700-000006000000}"/>
    <hyperlink ref="S26" r:id="rId8" xr:uid="{00000000-0004-0000-0700-000007000000}"/>
    <hyperlink ref="H40" r:id="rId9" location="PVP" xr:uid="{00000000-0004-0000-0700-000008000000}"/>
    <hyperlink ref="H52" r:id="rId10" xr:uid="{00000000-0004-0000-0700-000009000000}"/>
    <hyperlink ref="H57" r:id="rId11" xr:uid="{00000000-0004-0000-0700-00000A000000}"/>
    <hyperlink ref="H61" r:id="rId12" xr:uid="{00000000-0004-0000-0700-00000B000000}"/>
    <hyperlink ref="H66" r:id="rId13" xr:uid="{00000000-0004-0000-0700-00000C000000}"/>
    <hyperlink ref="H69" r:id="rId14" xr:uid="{00000000-0004-0000-0700-00000D000000}"/>
  </hyperlinks>
  <pageMargins left="0.70866141732283472" right="0.11811023622047249" top="0.35433070866141742" bottom="0" header="0.31496062992125978" footer="0"/>
  <pageSetup paperSize="9" orientation="portrait" horizontalDpi="4294967293" verticalDpi="0"/>
  <legacyDrawing r:id="rId1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34"/>
  <dimension ref="A1:CF280"/>
  <sheetViews>
    <sheetView topLeftCell="A159" zoomScale="50" zoomScaleNormal="50" workbookViewId="0">
      <pane ySplit="3" topLeftCell="A214" activePane="bottomLeft" state="frozen"/>
      <selection activeCell="A159" sqref="A159"/>
      <selection pane="bottomLeft" activeCell="A167" sqref="A167:XFD280"/>
    </sheetView>
  </sheetViews>
  <sheetFormatPr defaultColWidth="8.85546875" defaultRowHeight="12.75"/>
  <cols>
    <col min="1" max="1" width="17.28515625" style="151" bestFit="1" customWidth="1"/>
    <col min="2" max="2" width="11.5703125" style="707" bestFit="1" customWidth="1"/>
    <col min="3" max="3" width="18.7109375" style="151" customWidth="1"/>
    <col min="4" max="4" width="16.5703125" style="151" hidden="1" customWidth="1"/>
    <col min="5" max="29" width="8.7109375" style="151" customWidth="1"/>
    <col min="30" max="57" width="8.85546875" style="151" customWidth="1"/>
    <col min="58" max="16384" width="8.85546875" style="151"/>
  </cols>
  <sheetData>
    <row r="1" spans="1:68" hidden="1">
      <c r="B1" s="151"/>
      <c r="C1" s="151" t="s">
        <v>96</v>
      </c>
      <c r="D1" s="151" t="s">
        <v>758</v>
      </c>
      <c r="E1" s="151" t="s">
        <v>759</v>
      </c>
      <c r="F1" s="151" t="s">
        <v>760</v>
      </c>
    </row>
    <row r="2" spans="1:68">
      <c r="A2" t="s">
        <v>761</v>
      </c>
      <c r="B2" t="s">
        <v>762</v>
      </c>
      <c r="C2" t="s">
        <v>763</v>
      </c>
      <c r="E2">
        <v>198.4</v>
      </c>
      <c r="F2">
        <v>225.6</v>
      </c>
      <c r="G2">
        <v>318.39999999999998</v>
      </c>
      <c r="H2">
        <v>358.2</v>
      </c>
      <c r="I2">
        <v>418.5</v>
      </c>
      <c r="J2">
        <v>422.1</v>
      </c>
      <c r="K2">
        <v>442.4</v>
      </c>
      <c r="L2">
        <v>408.2</v>
      </c>
      <c r="M2">
        <v>340.5</v>
      </c>
      <c r="N2">
        <v>275.39999999999998</v>
      </c>
      <c r="O2">
        <v>205.6</v>
      </c>
      <c r="P2">
        <v>185.2</v>
      </c>
      <c r="R2">
        <v>64.2</v>
      </c>
      <c r="S2">
        <v>83.5</v>
      </c>
      <c r="T2">
        <v>130.4</v>
      </c>
      <c r="U2">
        <v>168.2</v>
      </c>
      <c r="V2">
        <v>212.5</v>
      </c>
      <c r="W2">
        <v>228.4</v>
      </c>
      <c r="X2">
        <v>235.6</v>
      </c>
      <c r="Y2">
        <v>210.4</v>
      </c>
      <c r="Z2">
        <v>158.19999999999999</v>
      </c>
      <c r="AA2">
        <v>112.5</v>
      </c>
      <c r="AB2">
        <v>75.400000000000006</v>
      </c>
      <c r="AC2">
        <v>58.2</v>
      </c>
      <c r="BC2">
        <v>14.35</v>
      </c>
      <c r="BD2">
        <v>13.31</v>
      </c>
      <c r="BE2">
        <v>12.02</v>
      </c>
      <c r="BF2">
        <v>10.42</v>
      </c>
      <c r="BG2">
        <v>9.36</v>
      </c>
      <c r="BH2">
        <v>9.08</v>
      </c>
      <c r="BI2">
        <v>9.24</v>
      </c>
      <c r="BJ2">
        <v>10.220000000000001</v>
      </c>
      <c r="BK2">
        <v>11.48</v>
      </c>
      <c r="BL2">
        <v>13.12</v>
      </c>
      <c r="BM2">
        <v>14.24</v>
      </c>
      <c r="BN2">
        <v>14.5</v>
      </c>
      <c r="BO2">
        <v>15.12</v>
      </c>
      <c r="BP2">
        <v>15.1</v>
      </c>
    </row>
    <row r="3" spans="1:68" ht="18.75" customHeight="1">
      <c r="B3" s="151"/>
    </row>
    <row r="4" spans="1:68" ht="18.75" customHeight="1">
      <c r="B4" s="151"/>
    </row>
    <row r="5" spans="1:68" ht="12.75" customHeight="1">
      <c r="B5" s="151"/>
    </row>
    <row r="6" spans="1:68">
      <c r="B6" s="151"/>
      <c r="C6" s="744" t="s">
        <v>764</v>
      </c>
      <c r="I6" s="708"/>
      <c r="O6" s="981" t="s">
        <v>765</v>
      </c>
      <c r="P6" s="980"/>
    </row>
    <row r="7" spans="1:68" ht="12.75" customHeight="1">
      <c r="B7" s="151"/>
    </row>
    <row r="8" spans="1:68">
      <c r="A8" s="979" t="s">
        <v>766</v>
      </c>
      <c r="B8" s="980"/>
      <c r="C8" s="980"/>
      <c r="D8" s="980"/>
      <c r="E8" s="980"/>
      <c r="F8" s="980"/>
      <c r="G8" s="980"/>
      <c r="K8" s="979" t="s">
        <v>767</v>
      </c>
      <c r="L8" s="980"/>
      <c r="M8" s="980"/>
      <c r="N8" s="980"/>
      <c r="O8" s="980"/>
      <c r="P8" s="980"/>
      <c r="Q8" s="980"/>
      <c r="R8" s="980"/>
      <c r="S8" s="980"/>
      <c r="T8" s="980"/>
      <c r="U8" s="980"/>
    </row>
    <row r="9" spans="1:68">
      <c r="A9" s="980"/>
      <c r="B9" s="980"/>
      <c r="C9" s="980"/>
      <c r="D9" s="980"/>
      <c r="E9" s="980"/>
      <c r="F9" s="980"/>
      <c r="G9" s="980"/>
      <c r="K9" s="980"/>
      <c r="L9" s="980"/>
      <c r="M9" s="980"/>
      <c r="N9" s="980"/>
      <c r="O9" s="980"/>
      <c r="P9" s="980"/>
      <c r="Q9" s="980"/>
      <c r="R9" s="980"/>
      <c r="S9" s="980"/>
      <c r="T9" s="980"/>
      <c r="U9" s="980"/>
    </row>
    <row r="10" spans="1:68" s="738" customFormat="1">
      <c r="A10" s="980"/>
      <c r="B10" s="980"/>
      <c r="C10" s="980"/>
      <c r="D10" s="980"/>
      <c r="E10" s="980"/>
      <c r="F10" s="980"/>
      <c r="G10" s="980"/>
      <c r="K10" s="980"/>
      <c r="L10" s="980"/>
      <c r="M10" s="980"/>
      <c r="N10" s="980"/>
      <c r="O10" s="980"/>
      <c r="P10" s="980"/>
      <c r="Q10" s="980"/>
      <c r="R10" s="980"/>
      <c r="S10" s="980"/>
      <c r="T10" s="980"/>
      <c r="U10" s="980"/>
    </row>
    <row r="11" spans="1:68">
      <c r="A11" s="980"/>
      <c r="B11" s="980"/>
      <c r="C11" s="980"/>
      <c r="D11" s="980"/>
      <c r="E11" s="980"/>
      <c r="F11" s="980"/>
      <c r="G11" s="980"/>
      <c r="K11" s="980"/>
      <c r="L11" s="980"/>
      <c r="M11" s="980"/>
      <c r="N11" s="980"/>
      <c r="O11" s="980"/>
      <c r="P11" s="980"/>
      <c r="Q11" s="980"/>
      <c r="R11" s="980"/>
      <c r="S11" s="980"/>
      <c r="T11" s="980"/>
      <c r="U11" s="980"/>
    </row>
    <row r="12" spans="1:68">
      <c r="A12" s="980"/>
      <c r="B12" s="980"/>
      <c r="C12" s="980"/>
      <c r="D12" s="980"/>
      <c r="E12" s="980"/>
      <c r="F12" s="980"/>
      <c r="G12" s="980"/>
      <c r="K12" s="980"/>
      <c r="L12" s="980"/>
      <c r="M12" s="980"/>
      <c r="N12" s="980"/>
      <c r="O12" s="980"/>
      <c r="P12" s="980"/>
      <c r="Q12" s="980"/>
      <c r="R12" s="980"/>
      <c r="S12" s="980"/>
      <c r="T12" s="980"/>
      <c r="U12" s="980"/>
    </row>
    <row r="13" spans="1:68">
      <c r="A13" s="980"/>
      <c r="B13" s="980"/>
      <c r="C13" s="980"/>
      <c r="D13" s="980"/>
      <c r="E13" s="980"/>
      <c r="F13" s="980"/>
      <c r="G13" s="980"/>
      <c r="K13" s="980"/>
      <c r="L13" s="980"/>
      <c r="M13" s="980"/>
      <c r="N13" s="980"/>
      <c r="O13" s="980"/>
      <c r="P13" s="980"/>
      <c r="Q13" s="980"/>
      <c r="R13" s="980"/>
      <c r="S13" s="980"/>
      <c r="T13" s="980"/>
      <c r="U13" s="980"/>
    </row>
    <row r="14" spans="1:68">
      <c r="A14" s="980"/>
      <c r="B14" s="980"/>
      <c r="C14" s="980"/>
      <c r="D14" s="980"/>
      <c r="E14" s="980"/>
      <c r="F14" s="980"/>
      <c r="G14" s="980"/>
      <c r="K14" s="980"/>
      <c r="L14" s="980"/>
      <c r="M14" s="980"/>
      <c r="N14" s="980"/>
      <c r="O14" s="980"/>
      <c r="P14" s="980"/>
      <c r="Q14" s="980"/>
      <c r="R14" s="980"/>
      <c r="S14" s="980"/>
      <c r="T14" s="980"/>
      <c r="U14" s="980"/>
    </row>
    <row r="15" spans="1:68">
      <c r="A15" s="980"/>
      <c r="B15" s="980"/>
      <c r="C15" s="980"/>
      <c r="D15" s="980"/>
      <c r="E15" s="980"/>
      <c r="F15" s="980"/>
      <c r="G15" s="980"/>
      <c r="K15" s="980"/>
      <c r="L15" s="980"/>
      <c r="M15" s="980"/>
      <c r="N15" s="980"/>
      <c r="O15" s="980"/>
      <c r="P15" s="980"/>
      <c r="Q15" s="980"/>
      <c r="R15" s="980"/>
      <c r="S15" s="980"/>
      <c r="T15" s="980"/>
      <c r="U15" s="980"/>
    </row>
    <row r="16" spans="1:68">
      <c r="A16" s="980"/>
      <c r="B16" s="980"/>
      <c r="C16" s="980"/>
      <c r="D16" s="980"/>
      <c r="E16" s="980"/>
      <c r="F16" s="980"/>
      <c r="G16" s="980"/>
      <c r="K16" s="980"/>
      <c r="L16" s="980"/>
      <c r="M16" s="980"/>
      <c r="N16" s="980"/>
      <c r="O16" s="980"/>
      <c r="P16" s="980"/>
      <c r="Q16" s="980"/>
      <c r="R16" s="980"/>
      <c r="S16" s="980"/>
      <c r="T16" s="980"/>
      <c r="U16" s="980"/>
    </row>
    <row r="17" spans="1:66">
      <c r="A17" s="980"/>
      <c r="B17" s="980"/>
      <c r="C17" s="980"/>
      <c r="D17" s="980"/>
      <c r="E17" s="980"/>
      <c r="F17" s="980"/>
      <c r="G17" s="980"/>
      <c r="K17" s="980"/>
      <c r="L17" s="980"/>
      <c r="M17" s="980"/>
      <c r="N17" s="980"/>
      <c r="O17" s="980"/>
      <c r="P17" s="980"/>
      <c r="Q17" s="980"/>
      <c r="R17" s="980"/>
      <c r="S17" s="980"/>
      <c r="T17" s="980"/>
      <c r="U17" s="980"/>
    </row>
    <row r="18" spans="1:66">
      <c r="A18" s="980"/>
      <c r="B18" s="980"/>
      <c r="C18" s="980"/>
      <c r="D18" s="980"/>
      <c r="E18" s="980"/>
      <c r="F18" s="980"/>
      <c r="G18" s="980"/>
      <c r="K18" s="980"/>
      <c r="L18" s="980"/>
      <c r="M18" s="980"/>
      <c r="N18" s="980"/>
      <c r="O18" s="980"/>
      <c r="P18" s="980"/>
      <c r="Q18" s="980"/>
      <c r="R18" s="980"/>
      <c r="S18" s="980"/>
      <c r="T18" s="980"/>
      <c r="U18" s="980"/>
    </row>
    <row r="19" spans="1:66">
      <c r="A19" s="980"/>
      <c r="B19" s="980"/>
      <c r="C19" s="980"/>
      <c r="D19" s="980"/>
      <c r="E19" s="980"/>
      <c r="F19" s="980"/>
      <c r="G19" s="980"/>
      <c r="K19" s="980"/>
      <c r="L19" s="980"/>
      <c r="M19" s="980"/>
      <c r="N19" s="980"/>
      <c r="O19" s="980"/>
      <c r="P19" s="980"/>
      <c r="Q19" s="980"/>
      <c r="R19" s="980"/>
      <c r="S19" s="980"/>
      <c r="T19" s="980"/>
      <c r="U19" s="980"/>
    </row>
    <row r="20" spans="1:66">
      <c r="B20" s="151"/>
      <c r="K20" s="743"/>
    </row>
    <row r="21" spans="1:66">
      <c r="B21" s="151"/>
    </row>
    <row r="22" spans="1:66">
      <c r="B22" s="151"/>
    </row>
    <row r="23" spans="1:66">
      <c r="B23" s="151"/>
    </row>
    <row r="24" spans="1:66">
      <c r="A24" s="151" t="s">
        <v>768</v>
      </c>
      <c r="B24" s="151" t="s">
        <v>769</v>
      </c>
      <c r="C24" s="151" t="s">
        <v>770</v>
      </c>
      <c r="E24" s="151">
        <v>186.1</v>
      </c>
      <c r="F24" s="151">
        <v>213.1</v>
      </c>
      <c r="G24" s="151">
        <v>299.10000000000002</v>
      </c>
      <c r="H24" s="151">
        <v>335.9</v>
      </c>
      <c r="I24" s="151">
        <v>390.9</v>
      </c>
      <c r="J24" s="151">
        <v>399.2</v>
      </c>
      <c r="K24" s="151">
        <v>419.2</v>
      </c>
      <c r="L24" s="151">
        <v>386.1</v>
      </c>
      <c r="M24" s="151">
        <v>320.8</v>
      </c>
      <c r="N24" s="151">
        <v>259.10000000000002</v>
      </c>
      <c r="O24" s="151">
        <v>193.1</v>
      </c>
      <c r="P24" s="151">
        <v>173.2</v>
      </c>
      <c r="R24" s="151">
        <v>60.8</v>
      </c>
      <c r="S24" s="151">
        <v>79.099999999999994</v>
      </c>
      <c r="T24" s="151">
        <v>123.1</v>
      </c>
      <c r="U24" s="151">
        <v>159.1</v>
      </c>
      <c r="V24" s="151">
        <v>199.1</v>
      </c>
      <c r="W24" s="151">
        <v>211.1</v>
      </c>
      <c r="X24" s="151">
        <v>219.2</v>
      </c>
      <c r="Y24" s="151">
        <v>193.1</v>
      </c>
      <c r="Z24" s="151">
        <v>146.19999999999999</v>
      </c>
      <c r="AA24" s="151">
        <v>106.1</v>
      </c>
      <c r="AB24" s="151">
        <v>73.099999999999994</v>
      </c>
      <c r="AC24" s="151">
        <v>56.1</v>
      </c>
      <c r="BC24" s="151">
        <v>14.37</v>
      </c>
      <c r="BD24" s="151">
        <v>13.32</v>
      </c>
      <c r="BE24" s="151">
        <v>12.02</v>
      </c>
      <c r="BF24" s="151">
        <v>10.41</v>
      </c>
      <c r="BG24" s="151">
        <v>9.32</v>
      </c>
      <c r="BH24" s="151">
        <v>9.0299999999999994</v>
      </c>
      <c r="BI24" s="151">
        <v>9.19</v>
      </c>
      <c r="BJ24" s="151">
        <v>10.199999999999999</v>
      </c>
      <c r="BK24" s="151">
        <v>11.48</v>
      </c>
      <c r="BL24" s="151">
        <v>13.14</v>
      </c>
      <c r="BM24" s="151">
        <v>14.27</v>
      </c>
      <c r="BN24" s="151">
        <v>14.53</v>
      </c>
    </row>
    <row r="26" spans="1:66">
      <c r="A26" s="151" t="s">
        <v>771</v>
      </c>
      <c r="B26" s="707" t="s">
        <v>772</v>
      </c>
      <c r="C26" s="151" t="s">
        <v>773</v>
      </c>
      <c r="E26" s="151">
        <v>190.5</v>
      </c>
      <c r="F26" s="151">
        <v>217.8</v>
      </c>
      <c r="G26" s="151">
        <v>307.5</v>
      </c>
      <c r="H26" s="151">
        <v>347.5</v>
      </c>
      <c r="I26" s="151">
        <v>404.5</v>
      </c>
      <c r="J26" s="151">
        <v>411.4</v>
      </c>
      <c r="K26" s="151">
        <v>431.2</v>
      </c>
      <c r="L26" s="151">
        <v>397.5</v>
      </c>
      <c r="M26" s="151">
        <v>329.5</v>
      </c>
      <c r="N26" s="151">
        <v>264.5</v>
      </c>
      <c r="O26" s="151">
        <v>197.5</v>
      </c>
      <c r="P26" s="151">
        <v>177.5</v>
      </c>
      <c r="R26" s="151">
        <v>61.2</v>
      </c>
      <c r="S26" s="151">
        <v>79.8</v>
      </c>
      <c r="T26" s="151">
        <v>124.8</v>
      </c>
      <c r="U26" s="151">
        <v>161.5</v>
      </c>
      <c r="V26" s="151">
        <v>204.5</v>
      </c>
      <c r="W26" s="151">
        <v>218.5</v>
      </c>
      <c r="X26" s="151">
        <v>227.4</v>
      </c>
      <c r="Y26" s="151">
        <v>201.4</v>
      </c>
      <c r="Z26" s="151">
        <v>151.5</v>
      </c>
      <c r="AA26" s="151">
        <v>107.5</v>
      </c>
      <c r="AB26" s="151">
        <v>71.8</v>
      </c>
      <c r="AC26" s="151">
        <v>55.2</v>
      </c>
      <c r="BC26" s="151">
        <v>14.34</v>
      </c>
      <c r="BD26" s="151">
        <v>13.3</v>
      </c>
      <c r="BE26" s="151">
        <v>12.02</v>
      </c>
      <c r="BF26" s="151">
        <v>10.42</v>
      </c>
      <c r="BG26" s="151">
        <v>9.3699999999999992</v>
      </c>
      <c r="BH26" s="151">
        <v>9.09</v>
      </c>
      <c r="BI26" s="151">
        <v>9.25</v>
      </c>
      <c r="BJ26" s="151">
        <v>10.23</v>
      </c>
      <c r="BK26" s="151">
        <v>11.48</v>
      </c>
      <c r="BL26" s="151">
        <v>13.11</v>
      </c>
      <c r="BM26" s="151">
        <v>14.23</v>
      </c>
      <c r="BN26" s="151">
        <v>14.49</v>
      </c>
    </row>
    <row r="27" spans="1:66">
      <c r="A27" s="151" t="s">
        <v>774</v>
      </c>
      <c r="B27" s="707" t="s">
        <v>775</v>
      </c>
      <c r="C27" s="151" t="s">
        <v>776</v>
      </c>
      <c r="E27" s="151">
        <v>192.4</v>
      </c>
      <c r="F27" s="151">
        <v>219.5</v>
      </c>
      <c r="G27" s="151">
        <v>310.2</v>
      </c>
      <c r="H27" s="151">
        <v>350.4</v>
      </c>
      <c r="I27" s="151">
        <v>408.2</v>
      </c>
      <c r="J27" s="151">
        <v>415.4</v>
      </c>
      <c r="K27" s="151">
        <v>435.2</v>
      </c>
      <c r="L27" s="151">
        <v>402.1</v>
      </c>
      <c r="M27" s="151">
        <v>332.4</v>
      </c>
      <c r="N27" s="151">
        <v>268.5</v>
      </c>
      <c r="O27" s="151">
        <v>201.4</v>
      </c>
      <c r="P27" s="151">
        <v>180.5</v>
      </c>
      <c r="R27" s="151">
        <v>63.4</v>
      </c>
      <c r="S27" s="151">
        <v>81.2</v>
      </c>
      <c r="T27" s="151">
        <v>128.4</v>
      </c>
      <c r="U27" s="151">
        <v>165.2</v>
      </c>
      <c r="V27" s="151">
        <v>208.5</v>
      </c>
      <c r="W27" s="151">
        <v>222.4</v>
      </c>
      <c r="X27" s="151">
        <v>230.2</v>
      </c>
      <c r="Y27" s="151">
        <v>205.4</v>
      </c>
      <c r="Z27" s="151">
        <v>155.19999999999999</v>
      </c>
      <c r="AA27" s="151">
        <v>110.4</v>
      </c>
      <c r="AB27" s="151">
        <v>74.5</v>
      </c>
      <c r="AC27" s="151">
        <v>57.4</v>
      </c>
      <c r="BC27" s="151">
        <v>14.35</v>
      </c>
      <c r="BD27" s="151">
        <v>13.31</v>
      </c>
      <c r="BE27" s="151">
        <v>12.02</v>
      </c>
      <c r="BF27" s="151">
        <v>10.42</v>
      </c>
      <c r="BG27" s="151">
        <v>9.36</v>
      </c>
      <c r="BH27" s="151">
        <v>9.08</v>
      </c>
      <c r="BI27" s="151">
        <v>9.24</v>
      </c>
      <c r="BJ27" s="151">
        <v>10.220000000000001</v>
      </c>
      <c r="BK27" s="151">
        <v>11.48</v>
      </c>
      <c r="BL27" s="151">
        <v>13.12</v>
      </c>
      <c r="BM27" s="151">
        <v>14.24</v>
      </c>
      <c r="BN27" s="151">
        <v>14.5</v>
      </c>
    </row>
    <row r="28" spans="1:66">
      <c r="A28" s="151" t="s">
        <v>777</v>
      </c>
      <c r="B28" s="707" t="s">
        <v>778</v>
      </c>
      <c r="C28" s="151" t="s">
        <v>779</v>
      </c>
      <c r="E28" s="151">
        <v>198.5</v>
      </c>
      <c r="F28" s="151">
        <v>225.4</v>
      </c>
      <c r="G28" s="151">
        <v>315.2</v>
      </c>
      <c r="H28" s="151">
        <v>355.4</v>
      </c>
      <c r="I28" s="151">
        <v>415.2</v>
      </c>
      <c r="J28" s="151">
        <v>420.4</v>
      </c>
      <c r="K28" s="151">
        <v>440.5</v>
      </c>
      <c r="L28" s="151">
        <v>408.5</v>
      </c>
      <c r="M28" s="151">
        <v>338.4</v>
      </c>
      <c r="N28" s="151">
        <v>275.60000000000002</v>
      </c>
      <c r="O28" s="151">
        <v>208.4</v>
      </c>
      <c r="P28" s="151">
        <v>185.2</v>
      </c>
      <c r="R28" s="151">
        <v>65.400000000000006</v>
      </c>
      <c r="S28" s="151">
        <v>85.2</v>
      </c>
      <c r="T28" s="151">
        <v>135.4</v>
      </c>
      <c r="U28" s="151">
        <v>172.4</v>
      </c>
      <c r="V28" s="151">
        <v>215.4</v>
      </c>
      <c r="W28" s="151">
        <v>230.2</v>
      </c>
      <c r="X28" s="151">
        <v>238.5</v>
      </c>
      <c r="Y28" s="151">
        <v>212.4</v>
      </c>
      <c r="Z28" s="151">
        <v>162.5</v>
      </c>
      <c r="AA28" s="151">
        <v>118.4</v>
      </c>
      <c r="AB28" s="151">
        <v>80.5</v>
      </c>
      <c r="AC28" s="151">
        <v>62.4</v>
      </c>
      <c r="BC28" s="151">
        <v>14.24</v>
      </c>
      <c r="BD28" s="151">
        <v>13.22</v>
      </c>
      <c r="BE28" s="151">
        <v>12.01</v>
      </c>
      <c r="BF28" s="151">
        <v>10.48</v>
      </c>
      <c r="BG28" s="151">
        <v>9.4600000000000009</v>
      </c>
      <c r="BH28" s="151">
        <v>9.1999999999999993</v>
      </c>
      <c r="BI28" s="151">
        <v>9.35</v>
      </c>
      <c r="BJ28" s="151">
        <v>10.28</v>
      </c>
      <c r="BK28" s="151">
        <v>11.48</v>
      </c>
      <c r="BL28" s="151">
        <v>13.06</v>
      </c>
      <c r="BM28" s="151">
        <v>14.14</v>
      </c>
      <c r="BN28" s="151">
        <v>14.38</v>
      </c>
    </row>
    <row r="29" spans="1:66">
      <c r="A29" s="151" t="s">
        <v>93</v>
      </c>
      <c r="B29" s="707" t="s">
        <v>780</v>
      </c>
      <c r="C29" s="151" t="s">
        <v>781</v>
      </c>
      <c r="E29" s="151">
        <v>162.4</v>
      </c>
      <c r="F29" s="151">
        <v>189.5</v>
      </c>
      <c r="G29" s="151">
        <v>270.5</v>
      </c>
      <c r="H29" s="151">
        <v>292.8</v>
      </c>
      <c r="I29" s="151">
        <v>348.6</v>
      </c>
      <c r="J29" s="151">
        <v>362.5</v>
      </c>
      <c r="K29" s="151">
        <v>382.4</v>
      </c>
      <c r="L29" s="151">
        <v>348.7</v>
      </c>
      <c r="M29" s="151">
        <v>278.89999999999998</v>
      </c>
      <c r="N29" s="151">
        <v>220.1</v>
      </c>
      <c r="O29" s="151">
        <v>165.8</v>
      </c>
      <c r="P29" s="151">
        <v>152.4</v>
      </c>
      <c r="R29" s="151">
        <v>52.4</v>
      </c>
      <c r="S29" s="151">
        <v>71.5</v>
      </c>
      <c r="T29" s="151">
        <v>118.5</v>
      </c>
      <c r="U29" s="151">
        <v>148.6</v>
      </c>
      <c r="V29" s="151">
        <v>194.5</v>
      </c>
      <c r="W29" s="151">
        <v>212.4</v>
      </c>
      <c r="X29" s="151">
        <v>228.6</v>
      </c>
      <c r="Y29" s="151">
        <v>194.2</v>
      </c>
      <c r="Z29" s="151">
        <v>139.5</v>
      </c>
      <c r="AA29" s="151">
        <v>94.6</v>
      </c>
      <c r="AB29" s="151">
        <v>58.4</v>
      </c>
      <c r="AC29" s="151">
        <v>46.5</v>
      </c>
      <c r="BC29" s="151">
        <v>14.54</v>
      </c>
      <c r="BD29" s="151">
        <v>13.4</v>
      </c>
      <c r="BE29" s="151">
        <v>12.02</v>
      </c>
      <c r="BF29" s="151">
        <v>10.35</v>
      </c>
      <c r="BG29" s="151">
        <v>9.19</v>
      </c>
      <c r="BH29" s="151">
        <v>8.4600000000000009</v>
      </c>
      <c r="BI29" s="151">
        <v>9.0299999999999994</v>
      </c>
      <c r="BJ29" s="151">
        <v>10.15</v>
      </c>
      <c r="BK29" s="151">
        <v>11.47</v>
      </c>
      <c r="BL29" s="151">
        <v>13.18</v>
      </c>
      <c r="BM29" s="151">
        <v>14.45</v>
      </c>
      <c r="BN29" s="151">
        <v>15.08</v>
      </c>
    </row>
    <row r="30" spans="1:66">
      <c r="A30" s="151" t="s">
        <v>782</v>
      </c>
      <c r="B30" s="707" t="s">
        <v>783</v>
      </c>
      <c r="C30" s="151" t="s">
        <v>784</v>
      </c>
      <c r="E30" s="151">
        <v>182.5</v>
      </c>
      <c r="F30" s="151">
        <v>208.4</v>
      </c>
      <c r="G30" s="151">
        <v>295.39999999999998</v>
      </c>
      <c r="H30" s="151">
        <v>330.5</v>
      </c>
      <c r="I30" s="151">
        <v>385.4</v>
      </c>
      <c r="J30" s="151">
        <v>392.1</v>
      </c>
      <c r="K30" s="151">
        <v>412.5</v>
      </c>
      <c r="L30" s="151">
        <v>380.4</v>
      </c>
      <c r="M30" s="151">
        <v>315.2</v>
      </c>
      <c r="N30" s="151">
        <v>252.1</v>
      </c>
      <c r="O30" s="151">
        <v>188.4</v>
      </c>
      <c r="P30" s="151">
        <v>168.5</v>
      </c>
      <c r="R30" s="151">
        <v>58.5</v>
      </c>
      <c r="S30" s="151">
        <v>75.400000000000006</v>
      </c>
      <c r="T30" s="151">
        <v>118.4</v>
      </c>
      <c r="U30" s="151">
        <v>152.1</v>
      </c>
      <c r="V30" s="151">
        <v>192.4</v>
      </c>
      <c r="W30" s="151">
        <v>205.4</v>
      </c>
      <c r="X30" s="151">
        <v>212.5</v>
      </c>
      <c r="Y30" s="151">
        <v>188.4</v>
      </c>
      <c r="Z30" s="151">
        <v>142.5</v>
      </c>
      <c r="AA30" s="151">
        <v>102.4</v>
      </c>
      <c r="AB30" s="151">
        <v>68.5</v>
      </c>
      <c r="AC30" s="151">
        <v>52.1</v>
      </c>
      <c r="BC30" s="151">
        <v>14.41</v>
      </c>
      <c r="BD30" s="151">
        <v>13.34</v>
      </c>
      <c r="BE30" s="151">
        <v>12.02</v>
      </c>
      <c r="BF30" s="151">
        <v>10.39</v>
      </c>
      <c r="BG30" s="151">
        <v>9.2899999999999991</v>
      </c>
      <c r="BH30" s="151">
        <v>8.58</v>
      </c>
      <c r="BI30" s="151">
        <v>9.16</v>
      </c>
      <c r="BJ30" s="151">
        <v>10.19</v>
      </c>
      <c r="BK30" s="151">
        <v>11.47</v>
      </c>
      <c r="BL30" s="151">
        <v>13.14</v>
      </c>
      <c r="BM30" s="151">
        <v>14.32</v>
      </c>
      <c r="BN30" s="151">
        <v>14.58</v>
      </c>
    </row>
    <row r="31" spans="1:66">
      <c r="A31" s="151" t="s">
        <v>785</v>
      </c>
      <c r="B31" s="707" t="s">
        <v>786</v>
      </c>
      <c r="C31" s="151" t="s">
        <v>787</v>
      </c>
      <c r="E31" s="151">
        <v>195.4</v>
      </c>
      <c r="F31" s="151">
        <v>222.4</v>
      </c>
      <c r="G31" s="151">
        <v>312.5</v>
      </c>
      <c r="H31" s="151">
        <v>352.4</v>
      </c>
      <c r="I31" s="151">
        <v>412.4</v>
      </c>
      <c r="J31" s="151">
        <v>418.2</v>
      </c>
      <c r="K31" s="151">
        <v>438.4</v>
      </c>
      <c r="L31" s="151">
        <v>405.6</v>
      </c>
      <c r="M31" s="151">
        <v>335.2</v>
      </c>
      <c r="N31" s="151">
        <v>272.39999999999998</v>
      </c>
      <c r="O31" s="151">
        <v>205.6</v>
      </c>
      <c r="P31" s="151">
        <v>182.4</v>
      </c>
      <c r="R31" s="151">
        <v>63.4</v>
      </c>
      <c r="S31" s="151">
        <v>82.4</v>
      </c>
      <c r="T31" s="151">
        <v>132.5</v>
      </c>
      <c r="U31" s="151">
        <v>168.2</v>
      </c>
      <c r="V31" s="151">
        <v>212.4</v>
      </c>
      <c r="W31" s="151">
        <v>225.4</v>
      </c>
      <c r="X31" s="151">
        <v>235.2</v>
      </c>
      <c r="Y31" s="151">
        <v>208.4</v>
      </c>
      <c r="Z31" s="151">
        <v>158.19999999999999</v>
      </c>
      <c r="AA31" s="151">
        <v>112.5</v>
      </c>
      <c r="AB31" s="151">
        <v>78.400000000000006</v>
      </c>
      <c r="AC31" s="151">
        <v>60.5</v>
      </c>
      <c r="BC31" s="151">
        <v>14.28</v>
      </c>
      <c r="BD31" s="151">
        <v>13.26</v>
      </c>
      <c r="BE31" s="151">
        <v>12.01</v>
      </c>
      <c r="BF31" s="151">
        <v>10.46</v>
      </c>
      <c r="BG31" s="151">
        <v>9.42</v>
      </c>
      <c r="BH31" s="151">
        <v>9.14</v>
      </c>
      <c r="BI31" s="151">
        <v>9.3000000000000007</v>
      </c>
      <c r="BJ31" s="151">
        <v>10.26</v>
      </c>
      <c r="BK31" s="151">
        <v>11.48</v>
      </c>
      <c r="BL31" s="151">
        <v>13.08</v>
      </c>
      <c r="BM31" s="151">
        <v>14.18</v>
      </c>
      <c r="BN31" s="151">
        <v>14.42</v>
      </c>
    </row>
    <row r="32" spans="1:66">
      <c r="A32" s="151" t="s">
        <v>788</v>
      </c>
      <c r="B32" s="707" t="s">
        <v>789</v>
      </c>
      <c r="C32" s="151" t="s">
        <v>790</v>
      </c>
      <c r="E32" s="151">
        <v>185.4</v>
      </c>
      <c r="F32" s="151">
        <v>212.4</v>
      </c>
      <c r="G32" s="151">
        <v>298.39999999999998</v>
      </c>
      <c r="H32" s="151">
        <v>335.2</v>
      </c>
      <c r="I32" s="151">
        <v>390.2</v>
      </c>
      <c r="J32" s="151">
        <v>398.5</v>
      </c>
      <c r="K32" s="151">
        <v>418.5</v>
      </c>
      <c r="L32" s="151">
        <v>385.4</v>
      </c>
      <c r="M32" s="151">
        <v>320.10000000000002</v>
      </c>
      <c r="N32" s="151">
        <v>258.39999999999998</v>
      </c>
      <c r="O32" s="151">
        <v>192.4</v>
      </c>
      <c r="P32" s="151">
        <v>172.5</v>
      </c>
      <c r="R32" s="151">
        <v>60.1</v>
      </c>
      <c r="S32" s="151">
        <v>78.400000000000006</v>
      </c>
      <c r="T32" s="151">
        <v>122.4</v>
      </c>
      <c r="U32" s="151">
        <v>158.4</v>
      </c>
      <c r="V32" s="151">
        <v>198.4</v>
      </c>
      <c r="W32" s="151">
        <v>210.4</v>
      </c>
      <c r="X32" s="151">
        <v>218.5</v>
      </c>
      <c r="Y32" s="151">
        <v>192.4</v>
      </c>
      <c r="Z32" s="151">
        <v>145.5</v>
      </c>
      <c r="AA32" s="151">
        <v>105.4</v>
      </c>
      <c r="AB32" s="151">
        <v>72.400000000000006</v>
      </c>
      <c r="AC32" s="151">
        <v>55.4</v>
      </c>
      <c r="BC32" s="151">
        <v>14.38</v>
      </c>
      <c r="BD32" s="151">
        <v>13.32</v>
      </c>
      <c r="BE32" s="151">
        <v>12.02</v>
      </c>
      <c r="BF32" s="151">
        <v>10.4</v>
      </c>
      <c r="BG32" s="151">
        <v>9.31</v>
      </c>
      <c r="BH32" s="151">
        <v>9.02</v>
      </c>
      <c r="BI32" s="151">
        <v>9.18</v>
      </c>
      <c r="BJ32" s="151">
        <v>10.210000000000001</v>
      </c>
      <c r="BK32" s="151">
        <v>11.47</v>
      </c>
      <c r="BL32" s="151">
        <v>13.13</v>
      </c>
      <c r="BM32" s="151">
        <v>14.28</v>
      </c>
      <c r="BN32" s="151">
        <v>14.54</v>
      </c>
    </row>
    <row r="33" spans="1:66">
      <c r="A33" s="151" t="s">
        <v>791</v>
      </c>
      <c r="B33" s="707" t="s">
        <v>792</v>
      </c>
      <c r="C33" s="151" t="s">
        <v>793</v>
      </c>
      <c r="E33" s="151">
        <v>188.4</v>
      </c>
      <c r="F33" s="151">
        <v>215.4</v>
      </c>
      <c r="G33" s="151">
        <v>305.39999999999998</v>
      </c>
      <c r="H33" s="151">
        <v>345.6</v>
      </c>
      <c r="I33" s="151">
        <v>402.1</v>
      </c>
      <c r="J33" s="151">
        <v>408.5</v>
      </c>
      <c r="K33" s="151">
        <v>428.5</v>
      </c>
      <c r="L33" s="151">
        <v>395.2</v>
      </c>
      <c r="M33" s="151">
        <v>328.5</v>
      </c>
      <c r="N33" s="151">
        <v>265.39999999999998</v>
      </c>
      <c r="O33" s="151">
        <v>198.5</v>
      </c>
      <c r="P33" s="151">
        <v>178.2</v>
      </c>
      <c r="R33" s="151">
        <v>62.4</v>
      </c>
      <c r="S33" s="151">
        <v>80.5</v>
      </c>
      <c r="T33" s="151">
        <v>128.4</v>
      </c>
      <c r="U33" s="151">
        <v>165.4</v>
      </c>
      <c r="V33" s="151">
        <v>205.4</v>
      </c>
      <c r="W33" s="151">
        <v>220.1</v>
      </c>
      <c r="X33" s="151">
        <v>228.5</v>
      </c>
      <c r="Y33" s="151">
        <v>202.1</v>
      </c>
      <c r="Z33" s="151">
        <v>152.4</v>
      </c>
      <c r="AA33" s="151">
        <v>110.2</v>
      </c>
      <c r="AB33" s="151">
        <v>75.400000000000006</v>
      </c>
      <c r="AC33" s="151">
        <v>58.4</v>
      </c>
      <c r="BC33" s="151">
        <v>14.35</v>
      </c>
      <c r="BD33" s="151">
        <v>13.31</v>
      </c>
      <c r="BE33" s="151">
        <v>12.02</v>
      </c>
      <c r="BF33" s="151">
        <v>10.42</v>
      </c>
      <c r="BG33" s="151">
        <v>9.35</v>
      </c>
      <c r="BH33" s="151">
        <v>9.08</v>
      </c>
      <c r="BI33" s="151">
        <v>9.24</v>
      </c>
      <c r="BJ33" s="151">
        <v>10.220000000000001</v>
      </c>
      <c r="BK33" s="151">
        <v>11.48</v>
      </c>
      <c r="BL33" s="151">
        <v>13.12</v>
      </c>
      <c r="BM33" s="151">
        <v>14.24</v>
      </c>
      <c r="BN33" s="151">
        <v>14.5</v>
      </c>
    </row>
    <row r="34" spans="1:66">
      <c r="A34" s="151" t="s">
        <v>794</v>
      </c>
      <c r="B34" s="707" t="s">
        <v>795</v>
      </c>
      <c r="C34" s="151" t="s">
        <v>796</v>
      </c>
      <c r="E34" s="151">
        <v>198.2</v>
      </c>
      <c r="F34" s="151">
        <v>225.1</v>
      </c>
      <c r="G34" s="151">
        <v>315.60000000000002</v>
      </c>
      <c r="H34" s="151">
        <v>355.8</v>
      </c>
      <c r="I34" s="151">
        <v>415.4</v>
      </c>
      <c r="J34" s="151">
        <v>420.6</v>
      </c>
      <c r="K34" s="151">
        <v>440.2</v>
      </c>
      <c r="L34" s="151">
        <v>408.4</v>
      </c>
      <c r="M34" s="151">
        <v>338.1</v>
      </c>
      <c r="N34" s="151">
        <v>275.39999999999998</v>
      </c>
      <c r="O34" s="151">
        <v>208.6</v>
      </c>
      <c r="P34" s="151">
        <v>185.1</v>
      </c>
      <c r="R34" s="151">
        <v>65.099999999999994</v>
      </c>
      <c r="S34" s="151">
        <v>85.4</v>
      </c>
      <c r="T34" s="151">
        <v>135.80000000000001</v>
      </c>
      <c r="U34" s="151">
        <v>172.5</v>
      </c>
      <c r="V34" s="151">
        <v>215.8</v>
      </c>
      <c r="W34" s="151">
        <v>230.4</v>
      </c>
      <c r="X34" s="151">
        <v>238.2</v>
      </c>
      <c r="Y34" s="151">
        <v>212.5</v>
      </c>
      <c r="Z34" s="151">
        <v>162.4</v>
      </c>
      <c r="AA34" s="151">
        <v>118.5</v>
      </c>
      <c r="AB34" s="151">
        <v>80.599999999999994</v>
      </c>
      <c r="AC34" s="151">
        <v>62.5</v>
      </c>
      <c r="BC34" s="151">
        <v>14.24</v>
      </c>
      <c r="BD34" s="151">
        <v>13.23</v>
      </c>
      <c r="BE34" s="151">
        <v>12.01</v>
      </c>
      <c r="BF34" s="151">
        <v>10.48</v>
      </c>
      <c r="BG34" s="151">
        <v>9.4499999999999993</v>
      </c>
      <c r="BH34" s="151">
        <v>9.19</v>
      </c>
      <c r="BI34" s="151">
        <v>9.34</v>
      </c>
      <c r="BJ34" s="151">
        <v>10.27</v>
      </c>
      <c r="BK34" s="151">
        <v>11.48</v>
      </c>
      <c r="BL34" s="151">
        <v>13.06</v>
      </c>
      <c r="BM34" s="151">
        <v>14.14</v>
      </c>
      <c r="BN34" s="151">
        <v>14.38</v>
      </c>
    </row>
    <row r="39" spans="1:66">
      <c r="A39" s="151" t="s">
        <v>797</v>
      </c>
      <c r="B39" s="707" t="s">
        <v>798</v>
      </c>
      <c r="C39" s="151" t="s">
        <v>799</v>
      </c>
      <c r="E39" s="151">
        <v>192.5</v>
      </c>
      <c r="F39" s="151">
        <v>219.8</v>
      </c>
      <c r="G39" s="151">
        <v>310.39999999999998</v>
      </c>
      <c r="H39" s="151">
        <v>350.5</v>
      </c>
      <c r="I39" s="151">
        <v>410.4</v>
      </c>
      <c r="J39" s="151">
        <v>418.2</v>
      </c>
      <c r="K39" s="151">
        <v>438.4</v>
      </c>
      <c r="L39" s="151">
        <v>405.6</v>
      </c>
      <c r="M39" s="151">
        <v>335.4</v>
      </c>
      <c r="N39" s="151">
        <v>270.5</v>
      </c>
      <c r="O39" s="151">
        <v>201.4</v>
      </c>
      <c r="P39" s="151">
        <v>182.5</v>
      </c>
      <c r="R39" s="151">
        <v>62.5</v>
      </c>
      <c r="S39" s="151">
        <v>81.400000000000006</v>
      </c>
      <c r="T39" s="151">
        <v>128.4</v>
      </c>
      <c r="U39" s="151">
        <v>165.5</v>
      </c>
      <c r="V39" s="151">
        <v>208.4</v>
      </c>
      <c r="W39" s="151">
        <v>222.4</v>
      </c>
      <c r="X39" s="151">
        <v>230.2</v>
      </c>
      <c r="Y39" s="151">
        <v>205.4</v>
      </c>
      <c r="Z39" s="151">
        <v>155.19999999999999</v>
      </c>
      <c r="AA39" s="151">
        <v>110.4</v>
      </c>
      <c r="AB39" s="151">
        <v>74.5</v>
      </c>
      <c r="AC39" s="151">
        <v>58.4</v>
      </c>
      <c r="BC39" s="151">
        <v>14.28</v>
      </c>
      <c r="BD39" s="151">
        <v>13.26</v>
      </c>
      <c r="BE39" s="151">
        <v>12.01</v>
      </c>
      <c r="BF39" s="151">
        <v>10.46</v>
      </c>
      <c r="BG39" s="151">
        <v>9.42</v>
      </c>
      <c r="BH39" s="151">
        <v>9.14</v>
      </c>
      <c r="BI39" s="151">
        <v>9.3000000000000007</v>
      </c>
      <c r="BJ39" s="151">
        <v>10.26</v>
      </c>
      <c r="BK39" s="151">
        <v>11.48</v>
      </c>
      <c r="BL39" s="151">
        <v>13.08</v>
      </c>
      <c r="BM39" s="151">
        <v>14.18</v>
      </c>
      <c r="BN39" s="151">
        <v>14.42</v>
      </c>
    </row>
    <row r="40" spans="1:66">
      <c r="A40" s="151" t="s">
        <v>800</v>
      </c>
      <c r="B40" s="707" t="s">
        <v>801</v>
      </c>
      <c r="C40" s="151" t="s">
        <v>802</v>
      </c>
      <c r="E40" s="151">
        <v>178.4</v>
      </c>
      <c r="F40" s="151">
        <v>205.1</v>
      </c>
      <c r="G40" s="151">
        <v>290.5</v>
      </c>
      <c r="H40" s="151">
        <v>325.39999999999998</v>
      </c>
      <c r="I40" s="151">
        <v>380.4</v>
      </c>
      <c r="J40" s="151">
        <v>388.5</v>
      </c>
      <c r="K40" s="151">
        <v>408.4</v>
      </c>
      <c r="L40" s="151">
        <v>375.4</v>
      </c>
      <c r="M40" s="151">
        <v>310.2</v>
      </c>
      <c r="N40" s="151">
        <v>248.5</v>
      </c>
      <c r="O40" s="151">
        <v>185.4</v>
      </c>
      <c r="P40" s="151">
        <v>165.4</v>
      </c>
      <c r="R40" s="151">
        <v>57.4</v>
      </c>
      <c r="S40" s="151">
        <v>74.5</v>
      </c>
      <c r="T40" s="151">
        <v>115.4</v>
      </c>
      <c r="U40" s="151">
        <v>148.4</v>
      </c>
      <c r="V40" s="151">
        <v>188.4</v>
      </c>
      <c r="W40" s="151">
        <v>201.4</v>
      </c>
      <c r="X40" s="151">
        <v>208.4</v>
      </c>
      <c r="Y40" s="151">
        <v>185.4</v>
      </c>
      <c r="Z40" s="151">
        <v>138.4</v>
      </c>
      <c r="AA40" s="151">
        <v>98.4</v>
      </c>
      <c r="AB40" s="151">
        <v>65.400000000000006</v>
      </c>
      <c r="AC40" s="151">
        <v>51.4</v>
      </c>
      <c r="BC40" s="151">
        <v>14.45</v>
      </c>
      <c r="BD40" s="151">
        <v>13.37</v>
      </c>
      <c r="BE40" s="151">
        <v>12.02</v>
      </c>
      <c r="BF40" s="151">
        <v>10.37</v>
      </c>
      <c r="BG40" s="151">
        <v>9.24</v>
      </c>
      <c r="BH40" s="151">
        <v>8.52</v>
      </c>
      <c r="BI40" s="151">
        <v>9.1</v>
      </c>
      <c r="BJ40" s="151">
        <v>10.17</v>
      </c>
      <c r="BK40" s="151">
        <v>11.47</v>
      </c>
      <c r="BL40" s="151">
        <v>13.16</v>
      </c>
      <c r="BM40" s="151">
        <v>14.38</v>
      </c>
      <c r="BN40" s="151">
        <v>15.04</v>
      </c>
    </row>
    <row r="41" spans="1:66">
      <c r="A41" s="151" t="s">
        <v>803</v>
      </c>
      <c r="B41" s="707" t="s">
        <v>804</v>
      </c>
      <c r="C41" s="151" t="s">
        <v>805</v>
      </c>
      <c r="E41" s="151">
        <v>132.4</v>
      </c>
      <c r="F41" s="151">
        <v>158.5</v>
      </c>
      <c r="G41" s="151">
        <v>245.6</v>
      </c>
      <c r="H41" s="151">
        <v>275.39999999999998</v>
      </c>
      <c r="I41" s="151">
        <v>335.4</v>
      </c>
      <c r="J41" s="151">
        <v>358.4</v>
      </c>
      <c r="K41" s="151">
        <v>378.2</v>
      </c>
      <c r="L41" s="151">
        <v>338.4</v>
      </c>
      <c r="M41" s="151">
        <v>265.39999999999998</v>
      </c>
      <c r="N41" s="151">
        <v>205.4</v>
      </c>
      <c r="O41" s="151">
        <v>142.5</v>
      </c>
      <c r="P41" s="151">
        <v>125.4</v>
      </c>
      <c r="R41" s="151">
        <v>34.5</v>
      </c>
      <c r="S41" s="151">
        <v>55.4</v>
      </c>
      <c r="T41" s="151">
        <v>98.4</v>
      </c>
      <c r="U41" s="151">
        <v>132.4</v>
      </c>
      <c r="V41" s="151">
        <v>178.4</v>
      </c>
      <c r="W41" s="151">
        <v>205.4</v>
      </c>
      <c r="X41" s="151">
        <v>222.4</v>
      </c>
      <c r="Y41" s="151">
        <v>185.4</v>
      </c>
      <c r="Z41" s="151">
        <v>128.4</v>
      </c>
      <c r="AA41" s="151">
        <v>82.4</v>
      </c>
      <c r="AB41" s="151">
        <v>42.4</v>
      </c>
      <c r="AC41" s="151">
        <v>32.4</v>
      </c>
      <c r="BC41" s="151">
        <v>15.12</v>
      </c>
      <c r="BD41" s="151">
        <v>13.46</v>
      </c>
      <c r="BE41" s="151">
        <v>12.05</v>
      </c>
      <c r="BF41" s="151">
        <v>10.28</v>
      </c>
      <c r="BG41" s="151">
        <v>9.1</v>
      </c>
      <c r="BH41" s="151">
        <v>8.35</v>
      </c>
      <c r="BI41" s="151">
        <v>8.5399999999999991</v>
      </c>
      <c r="BJ41" s="151">
        <v>10.1</v>
      </c>
      <c r="BK41" s="151">
        <v>11.45</v>
      </c>
      <c r="BL41" s="151">
        <v>13.26</v>
      </c>
      <c r="BM41" s="151">
        <v>14.56</v>
      </c>
      <c r="BN41" s="151">
        <v>15.28</v>
      </c>
    </row>
    <row r="42" spans="1:66">
      <c r="A42" s="151" t="s">
        <v>806</v>
      </c>
      <c r="B42" s="707" t="s">
        <v>807</v>
      </c>
      <c r="C42" s="151" t="s">
        <v>808</v>
      </c>
      <c r="E42" s="151">
        <v>202.1</v>
      </c>
      <c r="F42" s="151">
        <v>230.4</v>
      </c>
      <c r="G42" s="151">
        <v>325.39999999999998</v>
      </c>
      <c r="H42" s="151">
        <v>368.4</v>
      </c>
      <c r="I42" s="151">
        <v>430.2</v>
      </c>
      <c r="J42" s="151">
        <v>438.4</v>
      </c>
      <c r="K42" s="151">
        <v>458.5</v>
      </c>
      <c r="L42" s="151">
        <v>425.4</v>
      </c>
      <c r="M42" s="151">
        <v>355.4</v>
      </c>
      <c r="N42" s="151">
        <v>288.39999999999998</v>
      </c>
      <c r="O42" s="151">
        <v>215.4</v>
      </c>
      <c r="P42" s="151">
        <v>192.4</v>
      </c>
      <c r="R42" s="151">
        <v>68.400000000000006</v>
      </c>
      <c r="S42" s="151">
        <v>88.4</v>
      </c>
      <c r="T42" s="151">
        <v>142.5</v>
      </c>
      <c r="U42" s="151">
        <v>182.4</v>
      </c>
      <c r="V42" s="151">
        <v>228.6</v>
      </c>
      <c r="W42" s="151">
        <v>242.5</v>
      </c>
      <c r="X42" s="151">
        <v>252.4</v>
      </c>
      <c r="Y42" s="151">
        <v>225.4</v>
      </c>
      <c r="Z42" s="151">
        <v>172.4</v>
      </c>
      <c r="AA42" s="151">
        <v>125.4</v>
      </c>
      <c r="AB42" s="151">
        <v>85.4</v>
      </c>
      <c r="AC42" s="151">
        <v>65.400000000000006</v>
      </c>
      <c r="BC42" s="151">
        <v>14.18</v>
      </c>
      <c r="BD42" s="151">
        <v>13.18</v>
      </c>
      <c r="BE42" s="151">
        <v>12.01</v>
      </c>
      <c r="BF42" s="151">
        <v>10.52</v>
      </c>
      <c r="BG42" s="151">
        <v>9.51</v>
      </c>
      <c r="BH42" s="151">
        <v>9.26</v>
      </c>
      <c r="BI42" s="151">
        <v>9.4</v>
      </c>
      <c r="BJ42" s="151">
        <v>10.32</v>
      </c>
      <c r="BK42" s="151">
        <v>11.48</v>
      </c>
      <c r="BL42" s="151">
        <v>13.03</v>
      </c>
      <c r="BM42" s="151">
        <v>14.08</v>
      </c>
      <c r="BN42" s="151">
        <v>14.31</v>
      </c>
    </row>
    <row r="43" spans="1:66">
      <c r="A43" s="151" t="s">
        <v>809</v>
      </c>
      <c r="B43" s="707" t="s">
        <v>810</v>
      </c>
      <c r="C43" s="151" t="s">
        <v>811</v>
      </c>
      <c r="E43" s="151">
        <v>198.5</v>
      </c>
      <c r="F43" s="151">
        <v>225.4</v>
      </c>
      <c r="G43" s="151">
        <v>318.39999999999998</v>
      </c>
      <c r="H43" s="151">
        <v>360.5</v>
      </c>
      <c r="I43" s="151">
        <v>422.4</v>
      </c>
      <c r="J43" s="151">
        <v>430.5</v>
      </c>
      <c r="K43" s="151">
        <v>450.2</v>
      </c>
      <c r="L43" s="151">
        <v>418.5</v>
      </c>
      <c r="M43" s="151">
        <v>348.5</v>
      </c>
      <c r="N43" s="151">
        <v>280.39999999999998</v>
      </c>
      <c r="O43" s="151">
        <v>210.4</v>
      </c>
      <c r="P43" s="151">
        <v>188.4</v>
      </c>
      <c r="R43" s="151">
        <v>65.400000000000006</v>
      </c>
      <c r="S43" s="151">
        <v>85.4</v>
      </c>
      <c r="T43" s="151">
        <v>138.4</v>
      </c>
      <c r="U43" s="151">
        <v>175.4</v>
      </c>
      <c r="V43" s="151">
        <v>218.5</v>
      </c>
      <c r="W43" s="151">
        <v>232.5</v>
      </c>
      <c r="X43" s="151">
        <v>242.4</v>
      </c>
      <c r="Y43" s="151">
        <v>215.4</v>
      </c>
      <c r="Z43" s="151">
        <v>165.4</v>
      </c>
      <c r="AA43" s="151">
        <v>118.4</v>
      </c>
      <c r="AB43" s="151">
        <v>80.5</v>
      </c>
      <c r="AC43" s="151">
        <v>62.4</v>
      </c>
      <c r="BC43" s="151">
        <v>14.22</v>
      </c>
      <c r="BD43" s="151">
        <v>13.21</v>
      </c>
      <c r="BE43" s="151">
        <v>12.01</v>
      </c>
      <c r="BF43" s="151">
        <v>10.5</v>
      </c>
      <c r="BG43" s="151">
        <v>9.48</v>
      </c>
      <c r="BH43" s="151">
        <v>9.2200000000000006</v>
      </c>
      <c r="BI43" s="151">
        <v>9.3699999999999992</v>
      </c>
      <c r="BJ43" s="151">
        <v>10.3</v>
      </c>
      <c r="BK43" s="151">
        <v>11.48</v>
      </c>
      <c r="BL43" s="151">
        <v>13.05</v>
      </c>
      <c r="BM43" s="151">
        <v>14.12</v>
      </c>
      <c r="BN43" s="151">
        <v>14.35</v>
      </c>
    </row>
    <row r="44" spans="1:66">
      <c r="A44" s="151" t="s">
        <v>812</v>
      </c>
      <c r="B44" s="707" t="s">
        <v>775</v>
      </c>
      <c r="C44" s="151" t="s">
        <v>813</v>
      </c>
      <c r="E44" s="151">
        <v>188.4</v>
      </c>
      <c r="F44" s="151">
        <v>215.6</v>
      </c>
      <c r="G44" s="151">
        <v>305.39999999999998</v>
      </c>
      <c r="H44" s="151">
        <v>345.2</v>
      </c>
      <c r="I44" s="151">
        <v>402.1</v>
      </c>
      <c r="J44" s="151">
        <v>408.5</v>
      </c>
      <c r="K44" s="151">
        <v>428.5</v>
      </c>
      <c r="L44" s="151">
        <v>395.4</v>
      </c>
      <c r="M44" s="151">
        <v>328.5</v>
      </c>
      <c r="N44" s="151">
        <v>265.39999999999998</v>
      </c>
      <c r="O44" s="151">
        <v>198.5</v>
      </c>
      <c r="P44" s="151">
        <v>178.2</v>
      </c>
      <c r="R44" s="151">
        <v>62.4</v>
      </c>
      <c r="S44" s="151">
        <v>80.5</v>
      </c>
      <c r="T44" s="151">
        <v>128.4</v>
      </c>
      <c r="U44" s="151">
        <v>165.2</v>
      </c>
      <c r="V44" s="151">
        <v>205.4</v>
      </c>
      <c r="W44" s="151">
        <v>220.1</v>
      </c>
      <c r="X44" s="151">
        <v>228.5</v>
      </c>
      <c r="Y44" s="151">
        <v>202.4</v>
      </c>
      <c r="Z44" s="151">
        <v>152.4</v>
      </c>
      <c r="AA44" s="151">
        <v>110.2</v>
      </c>
      <c r="AB44" s="151">
        <v>75.400000000000006</v>
      </c>
      <c r="AC44" s="151">
        <v>58.4</v>
      </c>
      <c r="BC44" s="151">
        <v>14.35</v>
      </c>
      <c r="BD44" s="151">
        <v>13.31</v>
      </c>
      <c r="BE44" s="151">
        <v>12.02</v>
      </c>
      <c r="BF44" s="151">
        <v>10.42</v>
      </c>
      <c r="BG44" s="151">
        <v>9.36</v>
      </c>
      <c r="BH44" s="151">
        <v>9.08</v>
      </c>
      <c r="BI44" s="151">
        <v>9.24</v>
      </c>
      <c r="BJ44" s="151">
        <v>10.220000000000001</v>
      </c>
      <c r="BK44" s="151">
        <v>11.48</v>
      </c>
      <c r="BL44" s="151">
        <v>13.12</v>
      </c>
      <c r="BM44" s="151">
        <v>14.24</v>
      </c>
      <c r="BN44" s="151">
        <v>14.5</v>
      </c>
    </row>
    <row r="45" spans="1:66">
      <c r="A45" s="151" t="s">
        <v>814</v>
      </c>
      <c r="B45" s="707" t="s">
        <v>815</v>
      </c>
      <c r="C45" s="151" t="s">
        <v>816</v>
      </c>
      <c r="E45" s="151">
        <v>170.5</v>
      </c>
      <c r="F45" s="151">
        <v>195.4</v>
      </c>
      <c r="G45" s="151">
        <v>278.5</v>
      </c>
      <c r="H45" s="151">
        <v>312.39999999999998</v>
      </c>
      <c r="I45" s="151">
        <v>368.4</v>
      </c>
      <c r="J45" s="151">
        <v>375.4</v>
      </c>
      <c r="K45" s="151">
        <v>395.2</v>
      </c>
      <c r="L45" s="151">
        <v>362.5</v>
      </c>
      <c r="M45" s="151">
        <v>298.39999999999998</v>
      </c>
      <c r="N45" s="151">
        <v>238.5</v>
      </c>
      <c r="O45" s="151">
        <v>175.4</v>
      </c>
      <c r="P45" s="151">
        <v>155.4</v>
      </c>
      <c r="R45" s="151">
        <v>55.4</v>
      </c>
      <c r="S45" s="151">
        <v>72.400000000000006</v>
      </c>
      <c r="T45" s="151">
        <v>115.4</v>
      </c>
      <c r="U45" s="151">
        <v>148.4</v>
      </c>
      <c r="V45" s="151">
        <v>188.4</v>
      </c>
      <c r="W45" s="151">
        <v>201.4</v>
      </c>
      <c r="X45" s="151">
        <v>208.4</v>
      </c>
      <c r="Y45" s="151">
        <v>185.4</v>
      </c>
      <c r="Z45" s="151">
        <v>138.4</v>
      </c>
      <c r="AA45" s="151">
        <v>98.4</v>
      </c>
      <c r="AB45" s="151">
        <v>65.400000000000006</v>
      </c>
      <c r="AC45" s="151">
        <v>52.4</v>
      </c>
      <c r="BC45" s="151">
        <v>14.5</v>
      </c>
      <c r="BD45" s="151">
        <v>13.4</v>
      </c>
      <c r="BE45" s="151">
        <v>12.02</v>
      </c>
      <c r="BF45" s="151">
        <v>10.38</v>
      </c>
      <c r="BG45" s="151">
        <v>9.26</v>
      </c>
      <c r="BH45" s="151">
        <v>8.5500000000000007</v>
      </c>
      <c r="BI45" s="151">
        <v>9.1199999999999992</v>
      </c>
      <c r="BJ45" s="151">
        <v>10.199999999999999</v>
      </c>
      <c r="BK45" s="151">
        <v>11.47</v>
      </c>
      <c r="BL45" s="151">
        <v>13.18</v>
      </c>
      <c r="BM45" s="151">
        <v>14.4</v>
      </c>
      <c r="BN45" s="151">
        <v>15.04</v>
      </c>
    </row>
    <row r="46" spans="1:66">
      <c r="A46" s="151" t="s">
        <v>817</v>
      </c>
      <c r="B46" s="707" t="s">
        <v>818</v>
      </c>
      <c r="C46" s="151" t="s">
        <v>819</v>
      </c>
      <c r="E46" s="151">
        <v>190.4</v>
      </c>
      <c r="F46" s="151">
        <v>218.5</v>
      </c>
      <c r="G46" s="151">
        <v>308.39999999999998</v>
      </c>
      <c r="H46" s="151">
        <v>348.2</v>
      </c>
      <c r="I46" s="151">
        <v>405.4</v>
      </c>
      <c r="J46" s="151">
        <v>412.8</v>
      </c>
      <c r="K46" s="151">
        <v>432.6</v>
      </c>
      <c r="L46" s="151">
        <v>400.2</v>
      </c>
      <c r="M46" s="151">
        <v>332.1</v>
      </c>
      <c r="N46" s="151">
        <v>268.39999999999998</v>
      </c>
      <c r="O46" s="151">
        <v>201.4</v>
      </c>
      <c r="P46" s="151">
        <v>181.2</v>
      </c>
      <c r="R46" s="151">
        <v>61.4</v>
      </c>
      <c r="S46" s="151">
        <v>80.2</v>
      </c>
      <c r="T46" s="151">
        <v>128.4</v>
      </c>
      <c r="U46" s="151">
        <v>165.2</v>
      </c>
      <c r="V46" s="151">
        <v>205.4</v>
      </c>
      <c r="W46" s="151">
        <v>220.4</v>
      </c>
      <c r="X46" s="151">
        <v>228.2</v>
      </c>
      <c r="Y46" s="151">
        <v>202.2</v>
      </c>
      <c r="Z46" s="151">
        <v>152.1</v>
      </c>
      <c r="AA46" s="151">
        <v>110.4</v>
      </c>
      <c r="AB46" s="151">
        <v>75.400000000000006</v>
      </c>
      <c r="AC46" s="151">
        <v>58.4</v>
      </c>
      <c r="BC46" s="151">
        <v>14.35</v>
      </c>
      <c r="BD46" s="151">
        <v>13.3</v>
      </c>
      <c r="BE46" s="151">
        <v>12.02</v>
      </c>
      <c r="BF46" s="151">
        <v>10.42</v>
      </c>
      <c r="BG46" s="151">
        <v>9.36</v>
      </c>
      <c r="BH46" s="151">
        <v>9.08</v>
      </c>
      <c r="BI46" s="151">
        <v>9.24</v>
      </c>
      <c r="BJ46" s="151">
        <v>10.220000000000001</v>
      </c>
      <c r="BK46" s="151">
        <v>11.48</v>
      </c>
      <c r="BL46" s="151">
        <v>13.11</v>
      </c>
      <c r="BM46" s="151">
        <v>14.24</v>
      </c>
      <c r="BN46" s="151">
        <v>14.49</v>
      </c>
    </row>
    <row r="47" spans="1:66">
      <c r="A47" s="151" t="s">
        <v>820</v>
      </c>
      <c r="B47" s="707" t="s">
        <v>821</v>
      </c>
      <c r="C47" s="151" t="s">
        <v>822</v>
      </c>
      <c r="E47" s="151">
        <v>208.5</v>
      </c>
      <c r="F47" s="151">
        <v>238.4</v>
      </c>
      <c r="G47" s="151">
        <v>335.6</v>
      </c>
      <c r="H47" s="151">
        <v>378.5</v>
      </c>
      <c r="I47" s="151">
        <v>442.5</v>
      </c>
      <c r="J47" s="151">
        <v>450.2</v>
      </c>
      <c r="K47" s="151">
        <v>470.2</v>
      </c>
      <c r="L47" s="151">
        <v>438.4</v>
      </c>
      <c r="M47" s="151">
        <v>365.6</v>
      </c>
      <c r="N47" s="151">
        <v>298.39999999999998</v>
      </c>
      <c r="O47" s="151">
        <v>225.6</v>
      </c>
      <c r="P47" s="151">
        <v>198.4</v>
      </c>
      <c r="R47" s="151">
        <v>72.400000000000006</v>
      </c>
      <c r="S47" s="151">
        <v>92.4</v>
      </c>
      <c r="T47" s="151">
        <v>150.5</v>
      </c>
      <c r="U47" s="151">
        <v>190.4</v>
      </c>
      <c r="V47" s="151">
        <v>238.4</v>
      </c>
      <c r="W47" s="151">
        <v>252.1</v>
      </c>
      <c r="X47" s="151">
        <v>262.39999999999998</v>
      </c>
      <c r="Y47" s="151">
        <v>235.4</v>
      </c>
      <c r="Z47" s="151">
        <v>182.4</v>
      </c>
      <c r="AA47" s="151">
        <v>132.4</v>
      </c>
      <c r="AB47" s="151">
        <v>90.4</v>
      </c>
      <c r="AC47" s="151">
        <v>70.400000000000006</v>
      </c>
      <c r="BC47" s="151">
        <v>14.14</v>
      </c>
      <c r="BD47" s="151">
        <v>13.15</v>
      </c>
      <c r="BE47" s="151">
        <v>12.01</v>
      </c>
      <c r="BF47" s="151">
        <v>10.55</v>
      </c>
      <c r="BG47" s="151">
        <v>9.5500000000000007</v>
      </c>
      <c r="BH47" s="151">
        <v>9.31</v>
      </c>
      <c r="BI47" s="151">
        <v>9.4499999999999993</v>
      </c>
      <c r="BJ47" s="151">
        <v>10.35</v>
      </c>
      <c r="BK47" s="151">
        <v>11.48</v>
      </c>
      <c r="BL47" s="151">
        <v>13.01</v>
      </c>
      <c r="BM47" s="151">
        <v>14.04</v>
      </c>
      <c r="BN47" s="151">
        <v>14.26</v>
      </c>
    </row>
    <row r="48" spans="1:66">
      <c r="A48" s="151" t="s">
        <v>823</v>
      </c>
      <c r="B48" s="707" t="s">
        <v>824</v>
      </c>
      <c r="C48" s="151" t="s">
        <v>825</v>
      </c>
      <c r="E48" s="151">
        <v>202.4</v>
      </c>
      <c r="F48" s="151">
        <v>231.5</v>
      </c>
      <c r="G48" s="151">
        <v>325.8</v>
      </c>
      <c r="H48" s="151">
        <v>368.4</v>
      </c>
      <c r="I48" s="151">
        <v>430.4</v>
      </c>
      <c r="J48" s="151">
        <v>438.5</v>
      </c>
      <c r="K48" s="151">
        <v>458.5</v>
      </c>
      <c r="L48" s="151">
        <v>425.4</v>
      </c>
      <c r="M48" s="151">
        <v>355.4</v>
      </c>
      <c r="N48" s="151">
        <v>288.39999999999998</v>
      </c>
      <c r="O48" s="151">
        <v>215.4</v>
      </c>
      <c r="P48" s="151">
        <v>192.4</v>
      </c>
      <c r="R48" s="151">
        <v>68.400000000000006</v>
      </c>
      <c r="S48" s="151">
        <v>88.4</v>
      </c>
      <c r="T48" s="151">
        <v>142.5</v>
      </c>
      <c r="U48" s="151">
        <v>182.4</v>
      </c>
      <c r="V48" s="151">
        <v>228.4</v>
      </c>
      <c r="W48" s="151">
        <v>242.5</v>
      </c>
      <c r="X48" s="151">
        <v>252.4</v>
      </c>
      <c r="Y48" s="151">
        <v>225.4</v>
      </c>
      <c r="Z48" s="151">
        <v>172.4</v>
      </c>
      <c r="AA48" s="151">
        <v>125.4</v>
      </c>
      <c r="AB48" s="151">
        <v>85.4</v>
      </c>
      <c r="AC48" s="151">
        <v>65.400000000000006</v>
      </c>
      <c r="BC48" s="151">
        <v>14.17</v>
      </c>
      <c r="BD48" s="151">
        <v>13.17</v>
      </c>
      <c r="BE48" s="151">
        <v>12.01</v>
      </c>
      <c r="BF48" s="151">
        <v>10.52</v>
      </c>
      <c r="BG48" s="151">
        <v>9.52</v>
      </c>
      <c r="BH48" s="151">
        <v>9.27</v>
      </c>
      <c r="BI48" s="151">
        <v>9.41</v>
      </c>
      <c r="BJ48" s="151">
        <v>10.32</v>
      </c>
      <c r="BK48" s="151">
        <v>11.48</v>
      </c>
      <c r="BL48" s="151">
        <v>13.02</v>
      </c>
      <c r="BM48" s="151">
        <v>14.07</v>
      </c>
      <c r="BN48" s="151">
        <v>14.3</v>
      </c>
    </row>
    <row r="53" spans="1:66">
      <c r="A53" s="151" t="s">
        <v>826</v>
      </c>
      <c r="B53" s="707" t="s">
        <v>827</v>
      </c>
      <c r="C53" s="151" t="s">
        <v>828</v>
      </c>
      <c r="E53" s="151">
        <v>158.4</v>
      </c>
      <c r="F53" s="151">
        <v>185.2</v>
      </c>
      <c r="G53" s="151">
        <v>266.39999999999998</v>
      </c>
      <c r="H53" s="151">
        <v>288.5</v>
      </c>
      <c r="I53" s="151">
        <v>345.2</v>
      </c>
      <c r="J53" s="151">
        <v>358.6</v>
      </c>
      <c r="K53" s="151">
        <v>378.5</v>
      </c>
      <c r="L53" s="151">
        <v>344.2</v>
      </c>
      <c r="M53" s="151">
        <v>275.39999999999998</v>
      </c>
      <c r="N53" s="151">
        <v>215.8</v>
      </c>
      <c r="O53" s="151">
        <v>162.4</v>
      </c>
      <c r="P53" s="151">
        <v>148.19999999999999</v>
      </c>
      <c r="R53" s="151">
        <v>50.2</v>
      </c>
      <c r="S53" s="151">
        <v>68.5</v>
      </c>
      <c r="T53" s="151">
        <v>114.8</v>
      </c>
      <c r="U53" s="151">
        <v>145.5</v>
      </c>
      <c r="V53" s="151">
        <v>192.4</v>
      </c>
      <c r="W53" s="151">
        <v>208.5</v>
      </c>
      <c r="X53" s="151">
        <v>224.8</v>
      </c>
      <c r="Y53" s="151">
        <v>190.5</v>
      </c>
      <c r="Z53" s="151">
        <v>136.4</v>
      </c>
      <c r="AA53" s="151">
        <v>91.5</v>
      </c>
      <c r="AB53" s="151">
        <v>55.4</v>
      </c>
      <c r="AC53" s="151">
        <v>43.2</v>
      </c>
      <c r="BC53" s="151">
        <v>15.06</v>
      </c>
      <c r="BD53" s="151">
        <v>13.46</v>
      </c>
      <c r="BE53" s="151">
        <v>12.04</v>
      </c>
      <c r="BF53" s="151">
        <v>10.33</v>
      </c>
      <c r="BG53" s="151">
        <v>9.15</v>
      </c>
      <c r="BH53" s="151">
        <v>8.42</v>
      </c>
      <c r="BI53" s="151">
        <v>8.59</v>
      </c>
      <c r="BJ53" s="151">
        <v>10.119999999999999</v>
      </c>
      <c r="BK53" s="151">
        <v>11.46</v>
      </c>
      <c r="BL53" s="151">
        <v>13.2</v>
      </c>
      <c r="BM53" s="151">
        <v>14.48</v>
      </c>
      <c r="BN53" s="151">
        <v>15.18</v>
      </c>
    </row>
    <row r="54" spans="1:66">
      <c r="A54" s="151" t="s">
        <v>829</v>
      </c>
      <c r="B54" s="707" t="s">
        <v>830</v>
      </c>
      <c r="C54" s="151" t="s">
        <v>831</v>
      </c>
      <c r="E54" s="151">
        <v>195.6</v>
      </c>
      <c r="F54" s="151">
        <v>222.4</v>
      </c>
      <c r="G54" s="151">
        <v>312.5</v>
      </c>
      <c r="H54" s="151">
        <v>352.4</v>
      </c>
      <c r="I54" s="151">
        <v>412.5</v>
      </c>
      <c r="J54" s="151">
        <v>418.2</v>
      </c>
      <c r="K54" s="151">
        <v>438.4</v>
      </c>
      <c r="L54" s="151">
        <v>405.2</v>
      </c>
      <c r="M54" s="151">
        <v>335.2</v>
      </c>
      <c r="N54" s="151">
        <v>272.39999999999998</v>
      </c>
      <c r="O54" s="151">
        <v>202.4</v>
      </c>
      <c r="P54" s="151">
        <v>182.4</v>
      </c>
      <c r="R54" s="151">
        <v>63.2</v>
      </c>
      <c r="S54" s="151">
        <v>82.4</v>
      </c>
      <c r="T54" s="151">
        <v>132.4</v>
      </c>
      <c r="U54" s="151">
        <v>168.2</v>
      </c>
      <c r="V54" s="151">
        <v>212.4</v>
      </c>
      <c r="W54" s="151">
        <v>225.4</v>
      </c>
      <c r="X54" s="151">
        <v>235.2</v>
      </c>
      <c r="Y54" s="151">
        <v>208.4</v>
      </c>
      <c r="Z54" s="151">
        <v>158.19999999999999</v>
      </c>
      <c r="AA54" s="151">
        <v>112.5</v>
      </c>
      <c r="AB54" s="151">
        <v>78.400000000000006</v>
      </c>
      <c r="AC54" s="151">
        <v>60.2</v>
      </c>
      <c r="BC54" s="151">
        <v>14.26</v>
      </c>
      <c r="BD54" s="151">
        <v>13.24</v>
      </c>
      <c r="BE54" s="151">
        <v>12.01</v>
      </c>
      <c r="BF54" s="151">
        <v>10.47</v>
      </c>
      <c r="BG54" s="151">
        <v>9.44</v>
      </c>
      <c r="BH54" s="151">
        <v>9.18</v>
      </c>
      <c r="BI54" s="151">
        <v>9.33</v>
      </c>
      <c r="BJ54" s="151">
        <v>10.24</v>
      </c>
      <c r="BK54" s="151">
        <v>11.48</v>
      </c>
      <c r="BL54" s="151">
        <v>13.07</v>
      </c>
      <c r="BM54" s="151">
        <v>14.16</v>
      </c>
      <c r="BN54" s="151">
        <v>14.4</v>
      </c>
    </row>
    <row r="55" spans="1:66">
      <c r="A55" s="151" t="s">
        <v>832</v>
      </c>
      <c r="B55" s="707" t="s">
        <v>833</v>
      </c>
      <c r="C55" s="151" t="s">
        <v>834</v>
      </c>
      <c r="E55" s="151">
        <v>156.19999999999999</v>
      </c>
      <c r="F55" s="151">
        <v>183.1</v>
      </c>
      <c r="G55" s="151">
        <v>264.2</v>
      </c>
      <c r="H55" s="151">
        <v>285.39999999999998</v>
      </c>
      <c r="I55" s="151">
        <v>342.1</v>
      </c>
      <c r="J55" s="151">
        <v>355.8</v>
      </c>
      <c r="K55" s="151">
        <v>375.4</v>
      </c>
      <c r="L55" s="151">
        <v>340.5</v>
      </c>
      <c r="M55" s="151">
        <v>272.39999999999998</v>
      </c>
      <c r="N55" s="151">
        <v>212.4</v>
      </c>
      <c r="O55" s="151">
        <v>160.5</v>
      </c>
      <c r="P55" s="151">
        <v>145.19999999999999</v>
      </c>
      <c r="R55" s="151">
        <v>49.2</v>
      </c>
      <c r="S55" s="151">
        <v>67.099999999999994</v>
      </c>
      <c r="T55" s="151">
        <v>112.4</v>
      </c>
      <c r="U55" s="151">
        <v>142.5</v>
      </c>
      <c r="V55" s="151">
        <v>188.4</v>
      </c>
      <c r="W55" s="151">
        <v>205.4</v>
      </c>
      <c r="X55" s="151">
        <v>220.1</v>
      </c>
      <c r="Y55" s="151">
        <v>186.4</v>
      </c>
      <c r="Z55" s="151">
        <v>132.4</v>
      </c>
      <c r="AA55" s="151">
        <v>88.4</v>
      </c>
      <c r="AB55" s="151">
        <v>52.4</v>
      </c>
      <c r="AC55" s="151">
        <v>41.2</v>
      </c>
      <c r="BC55" s="151">
        <v>15.07</v>
      </c>
      <c r="BD55" s="151">
        <v>13.47</v>
      </c>
      <c r="BE55" s="151">
        <v>12.04</v>
      </c>
      <c r="BF55" s="151">
        <v>10.32</v>
      </c>
      <c r="BG55" s="151">
        <v>9.14</v>
      </c>
      <c r="BH55" s="151">
        <v>8.41</v>
      </c>
      <c r="BI55" s="151">
        <v>8.58</v>
      </c>
      <c r="BJ55" s="151">
        <v>10.11</v>
      </c>
      <c r="BK55" s="151">
        <v>11.46</v>
      </c>
      <c r="BL55" s="151">
        <v>13.21</v>
      </c>
      <c r="BM55" s="151">
        <v>14.49</v>
      </c>
      <c r="BN55" s="151">
        <v>15.19</v>
      </c>
    </row>
    <row r="56" spans="1:66">
      <c r="A56" s="151" t="s">
        <v>835</v>
      </c>
      <c r="B56" s="707" t="s">
        <v>836</v>
      </c>
      <c r="C56" s="151" t="s">
        <v>837</v>
      </c>
      <c r="E56" s="151">
        <v>136.4</v>
      </c>
      <c r="F56" s="151">
        <v>162.1</v>
      </c>
      <c r="G56" s="151">
        <v>248.5</v>
      </c>
      <c r="H56" s="151">
        <v>278.2</v>
      </c>
      <c r="I56" s="151">
        <v>338.4</v>
      </c>
      <c r="J56" s="151">
        <v>362.1</v>
      </c>
      <c r="K56" s="151">
        <v>382.4</v>
      </c>
      <c r="L56" s="151">
        <v>342.8</v>
      </c>
      <c r="M56" s="151">
        <v>270.5</v>
      </c>
      <c r="N56" s="151">
        <v>210.4</v>
      </c>
      <c r="O56" s="151">
        <v>145.19999999999999</v>
      </c>
      <c r="P56" s="151">
        <v>128.5</v>
      </c>
      <c r="R56" s="151">
        <v>36.4</v>
      </c>
      <c r="S56" s="151">
        <v>58.4</v>
      </c>
      <c r="T56" s="151">
        <v>102.1</v>
      </c>
      <c r="U56" s="151">
        <v>135.19999999999999</v>
      </c>
      <c r="V56" s="151">
        <v>182.1</v>
      </c>
      <c r="W56" s="151">
        <v>210.4</v>
      </c>
      <c r="X56" s="151">
        <v>228.2</v>
      </c>
      <c r="Y56" s="151">
        <v>190.5</v>
      </c>
      <c r="Z56" s="151">
        <v>132.4</v>
      </c>
      <c r="AA56" s="151">
        <v>86.5</v>
      </c>
      <c r="AB56" s="151">
        <v>45.4</v>
      </c>
      <c r="AC56" s="151">
        <v>34.200000000000003</v>
      </c>
      <c r="BC56" s="151">
        <v>15.11</v>
      </c>
      <c r="BD56" s="151">
        <v>13.45</v>
      </c>
      <c r="BE56" s="151">
        <v>12.04</v>
      </c>
      <c r="BF56" s="151">
        <v>10.3</v>
      </c>
      <c r="BG56" s="151">
        <v>9.1199999999999992</v>
      </c>
      <c r="BH56" s="151">
        <v>8.3699999999999992</v>
      </c>
      <c r="BI56" s="151">
        <v>8.5500000000000007</v>
      </c>
      <c r="BJ56" s="151">
        <v>10.11</v>
      </c>
      <c r="BK56" s="151">
        <v>11.46</v>
      </c>
      <c r="BL56" s="151">
        <v>13.25</v>
      </c>
      <c r="BM56" s="151">
        <v>14.54</v>
      </c>
      <c r="BN56" s="151">
        <v>15.26</v>
      </c>
    </row>
    <row r="57" spans="1:66">
      <c r="A57" s="151" t="s">
        <v>838</v>
      </c>
      <c r="B57" s="707" t="s">
        <v>839</v>
      </c>
      <c r="C57" s="151" t="s">
        <v>840</v>
      </c>
      <c r="E57" s="151">
        <v>198.2</v>
      </c>
      <c r="F57" s="151">
        <v>225.4</v>
      </c>
      <c r="G57" s="151">
        <v>315.39999999999998</v>
      </c>
      <c r="H57" s="151">
        <v>355.6</v>
      </c>
      <c r="I57" s="151">
        <v>415.2</v>
      </c>
      <c r="J57" s="151">
        <v>422.1</v>
      </c>
      <c r="K57" s="151">
        <v>442.4</v>
      </c>
      <c r="L57" s="151">
        <v>408.5</v>
      </c>
      <c r="M57" s="151">
        <v>338.5</v>
      </c>
      <c r="N57" s="151">
        <v>275.39999999999998</v>
      </c>
      <c r="O57" s="151">
        <v>208.4</v>
      </c>
      <c r="P57" s="151">
        <v>185.2</v>
      </c>
      <c r="R57" s="151">
        <v>65.099999999999994</v>
      </c>
      <c r="S57" s="151">
        <v>85.4</v>
      </c>
      <c r="T57" s="151">
        <v>135.4</v>
      </c>
      <c r="U57" s="151">
        <v>172.1</v>
      </c>
      <c r="V57" s="151">
        <v>215.2</v>
      </c>
      <c r="W57" s="151">
        <v>230.4</v>
      </c>
      <c r="X57" s="151">
        <v>238.5</v>
      </c>
      <c r="Y57" s="151">
        <v>212.4</v>
      </c>
      <c r="Z57" s="151">
        <v>162.5</v>
      </c>
      <c r="AA57" s="151">
        <v>118.5</v>
      </c>
      <c r="AB57" s="151">
        <v>80.400000000000006</v>
      </c>
      <c r="AC57" s="151">
        <v>62.1</v>
      </c>
      <c r="BC57" s="151">
        <v>14.25</v>
      </c>
      <c r="BD57" s="151">
        <v>13.23</v>
      </c>
      <c r="BE57" s="151">
        <v>12.01</v>
      </c>
      <c r="BF57" s="151">
        <v>10.47</v>
      </c>
      <c r="BG57" s="151">
        <v>9.4499999999999993</v>
      </c>
      <c r="BH57" s="151">
        <v>9.19</v>
      </c>
      <c r="BI57" s="151">
        <v>9.34</v>
      </c>
      <c r="BJ57" s="151">
        <v>10.25</v>
      </c>
      <c r="BK57" s="151">
        <v>11.48</v>
      </c>
      <c r="BL57" s="151">
        <v>13.07</v>
      </c>
      <c r="BM57" s="151">
        <v>14.15</v>
      </c>
      <c r="BN57" s="151">
        <v>14.39</v>
      </c>
    </row>
    <row r="58" spans="1:66">
      <c r="A58" s="151" t="s">
        <v>841</v>
      </c>
      <c r="B58" s="707" t="s">
        <v>842</v>
      </c>
      <c r="C58" s="151" t="s">
        <v>843</v>
      </c>
      <c r="E58" s="151">
        <v>163.5</v>
      </c>
      <c r="F58" s="151">
        <v>190.8</v>
      </c>
      <c r="G58" s="151">
        <v>272.39999999999998</v>
      </c>
      <c r="H58" s="151">
        <v>295.10000000000002</v>
      </c>
      <c r="I58" s="151">
        <v>350.8</v>
      </c>
      <c r="J58" s="151">
        <v>365.2</v>
      </c>
      <c r="K58" s="151">
        <v>385.4</v>
      </c>
      <c r="L58" s="151">
        <v>352.4</v>
      </c>
      <c r="M58" s="151">
        <v>282.39999999999998</v>
      </c>
      <c r="N58" s="151">
        <v>222.4</v>
      </c>
      <c r="O58" s="151">
        <v>168.5</v>
      </c>
      <c r="P58" s="151">
        <v>155.19999999999999</v>
      </c>
      <c r="R58" s="151">
        <v>53.1</v>
      </c>
      <c r="S58" s="151">
        <v>72.5</v>
      </c>
      <c r="T58" s="151">
        <v>119.5</v>
      </c>
      <c r="U58" s="151">
        <v>150.5</v>
      </c>
      <c r="V58" s="151">
        <v>198.5</v>
      </c>
      <c r="W58" s="151">
        <v>215.4</v>
      </c>
      <c r="X58" s="151">
        <v>232.5</v>
      </c>
      <c r="Y58" s="151">
        <v>198.4</v>
      </c>
      <c r="Z58" s="151">
        <v>142.4</v>
      </c>
      <c r="AA58" s="151">
        <v>98.4</v>
      </c>
      <c r="AB58" s="151">
        <v>61</v>
      </c>
      <c r="AC58" s="151">
        <v>48.6</v>
      </c>
      <c r="BC58" s="151">
        <v>14.51</v>
      </c>
      <c r="BD58" s="151">
        <v>13.38</v>
      </c>
      <c r="BE58" s="151">
        <v>12.02</v>
      </c>
      <c r="BF58" s="151">
        <v>10.37</v>
      </c>
      <c r="BG58" s="151">
        <v>9.2100000000000009</v>
      </c>
      <c r="BH58" s="151">
        <v>8.48</v>
      </c>
      <c r="BI58" s="151">
        <v>9.0500000000000007</v>
      </c>
      <c r="BJ58" s="151">
        <v>10.16</v>
      </c>
      <c r="BK58" s="151">
        <v>11.47</v>
      </c>
      <c r="BL58" s="151">
        <v>13.17</v>
      </c>
      <c r="BM58" s="151">
        <v>14.42</v>
      </c>
      <c r="BN58" s="151">
        <v>15.05</v>
      </c>
    </row>
    <row r="59" spans="1:66">
      <c r="A59" s="151" t="s">
        <v>844</v>
      </c>
      <c r="B59" s="707" t="s">
        <v>845</v>
      </c>
      <c r="C59" s="151" t="s">
        <v>846</v>
      </c>
      <c r="E59" s="151">
        <v>178.5</v>
      </c>
      <c r="F59" s="151">
        <v>204.6</v>
      </c>
      <c r="G59" s="151">
        <v>288.39999999999998</v>
      </c>
      <c r="H59" s="151">
        <v>322.10000000000002</v>
      </c>
      <c r="I59" s="151">
        <v>378.5</v>
      </c>
      <c r="J59" s="151">
        <v>385.4</v>
      </c>
      <c r="K59" s="151">
        <v>405.2</v>
      </c>
      <c r="L59" s="151">
        <v>372.4</v>
      </c>
      <c r="M59" s="151">
        <v>308.39999999999998</v>
      </c>
      <c r="N59" s="151">
        <v>248.5</v>
      </c>
      <c r="O59" s="151">
        <v>182.4</v>
      </c>
      <c r="P59" s="151">
        <v>162.5</v>
      </c>
      <c r="R59" s="151">
        <v>58.5</v>
      </c>
      <c r="S59" s="151">
        <v>75.400000000000006</v>
      </c>
      <c r="T59" s="151">
        <v>118.4</v>
      </c>
      <c r="U59" s="151">
        <v>152.1</v>
      </c>
      <c r="V59" s="151">
        <v>192.4</v>
      </c>
      <c r="W59" s="151">
        <v>205.4</v>
      </c>
      <c r="X59" s="151">
        <v>212.5</v>
      </c>
      <c r="Y59" s="151">
        <v>188.4</v>
      </c>
      <c r="Z59" s="151">
        <v>142.5</v>
      </c>
      <c r="AA59" s="151">
        <v>102.4</v>
      </c>
      <c r="AB59" s="151">
        <v>68.5</v>
      </c>
      <c r="AC59" s="151">
        <v>52.1</v>
      </c>
      <c r="BC59" s="151">
        <v>14.45</v>
      </c>
      <c r="BD59" s="151">
        <v>13.36</v>
      </c>
      <c r="BE59" s="151">
        <v>12.02</v>
      </c>
      <c r="BF59" s="151">
        <v>10.38</v>
      </c>
      <c r="BG59" s="151">
        <v>9.3000000000000007</v>
      </c>
      <c r="BH59" s="151">
        <v>9.01</v>
      </c>
      <c r="BI59" s="151">
        <v>9.17</v>
      </c>
      <c r="BJ59" s="151">
        <v>10.19</v>
      </c>
      <c r="BK59" s="151">
        <v>11.47</v>
      </c>
      <c r="BL59" s="151">
        <v>13.15</v>
      </c>
      <c r="BM59" s="151">
        <v>14.35</v>
      </c>
      <c r="BN59" s="151">
        <v>15</v>
      </c>
    </row>
    <row r="60" spans="1:66">
      <c r="A60" s="151" t="s">
        <v>847</v>
      </c>
      <c r="B60" s="707" t="s">
        <v>848</v>
      </c>
      <c r="C60" s="151" t="s">
        <v>840</v>
      </c>
      <c r="E60" s="151">
        <v>201.4</v>
      </c>
      <c r="F60" s="151">
        <v>228.5</v>
      </c>
      <c r="G60" s="151">
        <v>318.39999999999998</v>
      </c>
      <c r="H60" s="151">
        <v>360.5</v>
      </c>
      <c r="I60" s="151">
        <v>422.4</v>
      </c>
      <c r="J60" s="151">
        <v>430.4</v>
      </c>
      <c r="K60" s="151">
        <v>450.2</v>
      </c>
      <c r="L60" s="151">
        <v>418.4</v>
      </c>
      <c r="M60" s="151">
        <v>348.7</v>
      </c>
      <c r="N60" s="151">
        <v>280.39999999999998</v>
      </c>
      <c r="O60" s="151">
        <v>210.5</v>
      </c>
      <c r="P60" s="151">
        <v>188.4</v>
      </c>
      <c r="R60" s="151">
        <v>66.3</v>
      </c>
      <c r="S60" s="151">
        <v>86.2</v>
      </c>
      <c r="T60" s="151">
        <v>138.4</v>
      </c>
      <c r="U60" s="151">
        <v>175.2</v>
      </c>
      <c r="V60" s="151">
        <v>218.4</v>
      </c>
      <c r="W60" s="151">
        <v>232.4</v>
      </c>
      <c r="X60" s="151">
        <v>242.5</v>
      </c>
      <c r="Y60" s="151">
        <v>215.8</v>
      </c>
      <c r="Z60" s="151">
        <v>165.2</v>
      </c>
      <c r="AA60" s="151">
        <v>118.4</v>
      </c>
      <c r="AB60" s="151">
        <v>82.4</v>
      </c>
      <c r="AC60" s="151">
        <v>65.2</v>
      </c>
      <c r="BC60" s="151">
        <v>14.24</v>
      </c>
      <c r="BD60" s="151">
        <v>13.22</v>
      </c>
      <c r="BE60" s="151">
        <v>12.01</v>
      </c>
      <c r="BF60" s="151">
        <v>10.48</v>
      </c>
      <c r="BG60" s="151">
        <v>9.4600000000000009</v>
      </c>
      <c r="BH60" s="151">
        <v>9.1999999999999993</v>
      </c>
      <c r="BI60" s="151">
        <v>9.35</v>
      </c>
      <c r="BJ60" s="151">
        <v>10.28</v>
      </c>
      <c r="BK60" s="151">
        <v>11.48</v>
      </c>
      <c r="BL60" s="151">
        <v>13.06</v>
      </c>
      <c r="BM60" s="151">
        <v>14.14</v>
      </c>
      <c r="BN60" s="151">
        <v>14.38</v>
      </c>
    </row>
    <row r="65" spans="1:66">
      <c r="A65" s="151" t="s">
        <v>849</v>
      </c>
      <c r="B65" s="707" t="s">
        <v>850</v>
      </c>
      <c r="C65" s="151" t="s">
        <v>851</v>
      </c>
      <c r="E65" s="151">
        <v>180.5</v>
      </c>
      <c r="F65" s="151">
        <v>206.8</v>
      </c>
      <c r="G65" s="151">
        <v>292.10000000000002</v>
      </c>
      <c r="H65" s="151">
        <v>326.39999999999998</v>
      </c>
      <c r="I65" s="151">
        <v>382.5</v>
      </c>
      <c r="J65" s="151">
        <v>388.4</v>
      </c>
      <c r="K65" s="151">
        <v>408.6</v>
      </c>
      <c r="L65" s="151">
        <v>375.4</v>
      </c>
      <c r="M65" s="151">
        <v>312.10000000000002</v>
      </c>
      <c r="N65" s="151">
        <v>250.5</v>
      </c>
      <c r="O65" s="151">
        <v>185.4</v>
      </c>
      <c r="P65" s="151">
        <v>165.8</v>
      </c>
      <c r="R65" s="151">
        <v>59.5</v>
      </c>
      <c r="S65" s="151">
        <v>76.8</v>
      </c>
      <c r="T65" s="151">
        <v>121.4</v>
      </c>
      <c r="U65" s="151">
        <v>155.19999999999999</v>
      </c>
      <c r="V65" s="151">
        <v>195.4</v>
      </c>
      <c r="W65" s="151">
        <v>208.6</v>
      </c>
      <c r="X65" s="151">
        <v>215.8</v>
      </c>
      <c r="Y65" s="151">
        <v>191.2</v>
      </c>
      <c r="Z65" s="151">
        <v>145.1</v>
      </c>
      <c r="AA65" s="151">
        <v>105.4</v>
      </c>
      <c r="AB65" s="151">
        <v>71.2</v>
      </c>
      <c r="AC65" s="151">
        <v>54.5</v>
      </c>
      <c r="BC65" s="151">
        <v>14.43</v>
      </c>
      <c r="BD65" s="151">
        <v>13.36</v>
      </c>
      <c r="BE65" s="151">
        <v>12.02</v>
      </c>
      <c r="BF65" s="151">
        <v>10.38</v>
      </c>
      <c r="BG65" s="151">
        <v>9.2899999999999991</v>
      </c>
      <c r="BH65" s="151">
        <v>9</v>
      </c>
      <c r="BI65" s="151">
        <v>9.17</v>
      </c>
      <c r="BJ65" s="151">
        <v>10.18</v>
      </c>
      <c r="BK65" s="151">
        <v>11.47</v>
      </c>
      <c r="BL65" s="151">
        <v>13.15</v>
      </c>
      <c r="BM65" s="151">
        <v>14.34</v>
      </c>
      <c r="BN65" s="151">
        <v>14.59</v>
      </c>
    </row>
    <row r="66" spans="1:66">
      <c r="A66" s="151" t="s">
        <v>852</v>
      </c>
      <c r="B66" s="707" t="s">
        <v>853</v>
      </c>
      <c r="C66" s="151" t="s">
        <v>854</v>
      </c>
      <c r="E66" s="151">
        <v>184.2</v>
      </c>
      <c r="F66" s="151">
        <v>210.1</v>
      </c>
      <c r="G66" s="151">
        <v>296.5</v>
      </c>
      <c r="H66" s="151">
        <v>332.1</v>
      </c>
      <c r="I66" s="151">
        <v>388.4</v>
      </c>
      <c r="J66" s="151">
        <v>395.2</v>
      </c>
      <c r="K66" s="151">
        <v>415.8</v>
      </c>
      <c r="L66" s="151">
        <v>382.4</v>
      </c>
      <c r="M66" s="151">
        <v>318.5</v>
      </c>
      <c r="N66" s="151">
        <v>255.4</v>
      </c>
      <c r="O66" s="151">
        <v>192.1</v>
      </c>
      <c r="P66" s="151">
        <v>172.5</v>
      </c>
      <c r="R66" s="151">
        <v>61.2</v>
      </c>
      <c r="S66" s="151">
        <v>78.400000000000006</v>
      </c>
      <c r="T66" s="151">
        <v>124.5</v>
      </c>
      <c r="U66" s="151">
        <v>158.19999999999999</v>
      </c>
      <c r="V66" s="151">
        <v>198.1</v>
      </c>
      <c r="W66" s="151">
        <v>212.5</v>
      </c>
      <c r="X66" s="151">
        <v>220.1</v>
      </c>
      <c r="Y66" s="151">
        <v>195.4</v>
      </c>
      <c r="Z66" s="151">
        <v>148.19999999999999</v>
      </c>
      <c r="AA66" s="151">
        <v>108.1</v>
      </c>
      <c r="AB66" s="151">
        <v>74.5</v>
      </c>
      <c r="AC66" s="151">
        <v>56.8</v>
      </c>
      <c r="BC66" s="151">
        <v>14.41</v>
      </c>
      <c r="BD66" s="151">
        <v>13.34</v>
      </c>
      <c r="BE66" s="151">
        <v>12.02</v>
      </c>
      <c r="BF66" s="151">
        <v>10.4</v>
      </c>
      <c r="BG66" s="151">
        <v>9.31</v>
      </c>
      <c r="BH66" s="151">
        <v>9.02</v>
      </c>
      <c r="BI66" s="151">
        <v>9.18</v>
      </c>
      <c r="BJ66" s="151">
        <v>10.19</v>
      </c>
      <c r="BK66" s="151">
        <v>11.47</v>
      </c>
      <c r="BL66" s="151">
        <v>13.14</v>
      </c>
      <c r="BM66" s="151">
        <v>14.32</v>
      </c>
      <c r="BN66" s="151">
        <v>14.57</v>
      </c>
    </row>
    <row r="67" spans="1:66">
      <c r="A67" s="151" t="s">
        <v>855</v>
      </c>
      <c r="B67" s="707" t="s">
        <v>856</v>
      </c>
      <c r="C67" s="151" t="s">
        <v>857</v>
      </c>
      <c r="E67" s="151">
        <v>195.4</v>
      </c>
      <c r="F67" s="151">
        <v>222.4</v>
      </c>
      <c r="G67" s="151">
        <v>312.8</v>
      </c>
      <c r="H67" s="151">
        <v>352.4</v>
      </c>
      <c r="I67" s="151">
        <v>412.4</v>
      </c>
      <c r="J67" s="151">
        <v>418.5</v>
      </c>
      <c r="K67" s="151">
        <v>438.2</v>
      </c>
      <c r="L67" s="151">
        <v>405.1</v>
      </c>
      <c r="M67" s="151">
        <v>335.2</v>
      </c>
      <c r="N67" s="151">
        <v>272.39999999999998</v>
      </c>
      <c r="O67" s="151">
        <v>205.6</v>
      </c>
      <c r="P67" s="151">
        <v>182.4</v>
      </c>
      <c r="R67" s="151">
        <v>64.2</v>
      </c>
      <c r="S67" s="151">
        <v>82.4</v>
      </c>
      <c r="T67" s="151">
        <v>132.5</v>
      </c>
      <c r="U67" s="151">
        <v>168.2</v>
      </c>
      <c r="V67" s="151">
        <v>212.4</v>
      </c>
      <c r="W67" s="151">
        <v>225.4</v>
      </c>
      <c r="X67" s="151">
        <v>235.2</v>
      </c>
      <c r="Y67" s="151">
        <v>208.4</v>
      </c>
      <c r="Z67" s="151">
        <v>158.19999999999999</v>
      </c>
      <c r="AA67" s="151">
        <v>112.5</v>
      </c>
      <c r="AB67" s="151">
        <v>78.400000000000006</v>
      </c>
      <c r="AC67" s="151">
        <v>60.5</v>
      </c>
      <c r="BC67" s="151">
        <v>14.32</v>
      </c>
      <c r="BD67" s="151">
        <v>13.28</v>
      </c>
      <c r="BE67" s="151">
        <v>12.01</v>
      </c>
      <c r="BF67" s="151">
        <v>10.44</v>
      </c>
      <c r="BG67" s="151">
        <v>9.3800000000000008</v>
      </c>
      <c r="BH67" s="151">
        <v>9.1</v>
      </c>
      <c r="BI67" s="151">
        <v>9.26</v>
      </c>
      <c r="BJ67" s="151">
        <v>10.24</v>
      </c>
      <c r="BK67" s="151">
        <v>11.48</v>
      </c>
      <c r="BL67" s="151">
        <v>13.1</v>
      </c>
      <c r="BM67" s="151">
        <v>14.22</v>
      </c>
      <c r="BN67" s="151">
        <v>14.48</v>
      </c>
    </row>
    <row r="68" spans="1:66">
      <c r="A68" s="151" t="s">
        <v>858</v>
      </c>
      <c r="B68" s="707" t="s">
        <v>859</v>
      </c>
      <c r="C68" s="151" t="s">
        <v>860</v>
      </c>
      <c r="E68" s="151">
        <v>154.5</v>
      </c>
      <c r="F68" s="151">
        <v>181.2</v>
      </c>
      <c r="G68" s="151">
        <v>262.5</v>
      </c>
      <c r="H68" s="151">
        <v>283.2</v>
      </c>
      <c r="I68" s="151">
        <v>340.1</v>
      </c>
      <c r="J68" s="151">
        <v>354.2</v>
      </c>
      <c r="K68" s="151">
        <v>374.5</v>
      </c>
      <c r="L68" s="151">
        <v>338.4</v>
      </c>
      <c r="M68" s="151">
        <v>270.5</v>
      </c>
      <c r="N68" s="151">
        <v>210.1</v>
      </c>
      <c r="O68" s="151">
        <v>158.4</v>
      </c>
      <c r="P68" s="151">
        <v>142.5</v>
      </c>
      <c r="R68" s="151">
        <v>48.4</v>
      </c>
      <c r="S68" s="151">
        <v>66.099999999999994</v>
      </c>
      <c r="T68" s="151">
        <v>111.2</v>
      </c>
      <c r="U68" s="151">
        <v>141.5</v>
      </c>
      <c r="V68" s="151">
        <v>187.4</v>
      </c>
      <c r="W68" s="151">
        <v>204.5</v>
      </c>
      <c r="X68" s="151">
        <v>218.6</v>
      </c>
      <c r="Y68" s="151">
        <v>185.2</v>
      </c>
      <c r="Z68" s="151">
        <v>131.5</v>
      </c>
      <c r="AA68" s="151">
        <v>87.4</v>
      </c>
      <c r="AB68" s="151">
        <v>51.2</v>
      </c>
      <c r="AC68" s="151">
        <v>40.5</v>
      </c>
      <c r="BC68" s="151">
        <v>15.08</v>
      </c>
      <c r="BD68" s="151">
        <v>13.47</v>
      </c>
      <c r="BE68" s="151">
        <v>12.04</v>
      </c>
      <c r="BF68" s="151">
        <v>10.31</v>
      </c>
      <c r="BG68" s="151">
        <v>9.1300000000000008</v>
      </c>
      <c r="BH68" s="151">
        <v>8.4</v>
      </c>
      <c r="BI68" s="151">
        <v>8.57</v>
      </c>
      <c r="BJ68" s="151">
        <v>10.11</v>
      </c>
      <c r="BK68" s="151">
        <v>11.46</v>
      </c>
      <c r="BL68" s="151">
        <v>13.21</v>
      </c>
      <c r="BM68" s="151">
        <v>14.49</v>
      </c>
      <c r="BN68" s="151">
        <v>15.2</v>
      </c>
    </row>
    <row r="69" spans="1:66">
      <c r="A69" s="151" t="s">
        <v>861</v>
      </c>
      <c r="B69" s="707" t="s">
        <v>862</v>
      </c>
      <c r="C69" s="151" t="s">
        <v>863</v>
      </c>
      <c r="E69" s="151">
        <v>201.4</v>
      </c>
      <c r="F69" s="151">
        <v>228.6</v>
      </c>
      <c r="G69" s="151">
        <v>322.39999999999998</v>
      </c>
      <c r="H69" s="151">
        <v>365.2</v>
      </c>
      <c r="I69" s="151">
        <v>428.5</v>
      </c>
      <c r="J69" s="151">
        <v>435.4</v>
      </c>
      <c r="K69" s="151">
        <v>455.4</v>
      </c>
      <c r="L69" s="151">
        <v>422.1</v>
      </c>
      <c r="M69" s="151">
        <v>352.6</v>
      </c>
      <c r="N69" s="151">
        <v>285.39999999999998</v>
      </c>
      <c r="O69" s="151">
        <v>212.4</v>
      </c>
      <c r="P69" s="151">
        <v>188.4</v>
      </c>
      <c r="R69" s="151">
        <v>67.599999999999994</v>
      </c>
      <c r="S69" s="151">
        <v>87.4</v>
      </c>
      <c r="T69" s="151">
        <v>141.5</v>
      </c>
      <c r="U69" s="151">
        <v>180.2</v>
      </c>
      <c r="V69" s="151">
        <v>225.4</v>
      </c>
      <c r="W69" s="151">
        <v>238.6</v>
      </c>
      <c r="X69" s="151">
        <v>248.5</v>
      </c>
      <c r="Y69" s="151">
        <v>220.1</v>
      </c>
      <c r="Z69" s="151">
        <v>168.2</v>
      </c>
      <c r="AA69" s="151">
        <v>122.1</v>
      </c>
      <c r="AB69" s="151">
        <v>83.4</v>
      </c>
      <c r="AC69" s="151">
        <v>64.099999999999994</v>
      </c>
      <c r="BC69" s="151">
        <v>14.19</v>
      </c>
      <c r="BD69" s="151">
        <v>13.19</v>
      </c>
      <c r="BE69" s="151">
        <v>12.01</v>
      </c>
      <c r="BF69" s="151">
        <v>10.51</v>
      </c>
      <c r="BG69" s="151">
        <v>9.51</v>
      </c>
      <c r="BH69" s="151">
        <v>9.25</v>
      </c>
      <c r="BI69" s="151">
        <v>9.39</v>
      </c>
      <c r="BJ69" s="151">
        <v>10.31</v>
      </c>
      <c r="BK69" s="151">
        <v>11.48</v>
      </c>
      <c r="BL69" s="151">
        <v>13.04</v>
      </c>
      <c r="BM69" s="151">
        <v>14.1</v>
      </c>
      <c r="BN69" s="151">
        <v>14.33</v>
      </c>
    </row>
    <row r="70" spans="1:66">
      <c r="A70" s="151" t="s">
        <v>864</v>
      </c>
      <c r="B70" s="707" t="s">
        <v>865</v>
      </c>
      <c r="C70" s="151" t="s">
        <v>837</v>
      </c>
      <c r="E70" s="151">
        <v>145.19999999999999</v>
      </c>
      <c r="F70" s="151">
        <v>171.4</v>
      </c>
      <c r="G70" s="151">
        <v>258.2</v>
      </c>
      <c r="H70" s="151">
        <v>285.10000000000002</v>
      </c>
      <c r="I70" s="151">
        <v>345.4</v>
      </c>
      <c r="J70" s="151">
        <v>368.1</v>
      </c>
      <c r="K70" s="151">
        <v>388.4</v>
      </c>
      <c r="L70" s="151">
        <v>354.2</v>
      </c>
      <c r="M70" s="151">
        <v>281.39999999999998</v>
      </c>
      <c r="N70" s="151">
        <v>221.4</v>
      </c>
      <c r="O70" s="151">
        <v>152.4</v>
      </c>
      <c r="P70" s="151">
        <v>135.1</v>
      </c>
      <c r="R70" s="151">
        <v>41.2</v>
      </c>
      <c r="S70" s="151">
        <v>60.4</v>
      </c>
      <c r="T70" s="151">
        <v>105.1</v>
      </c>
      <c r="U70" s="151">
        <v>138.4</v>
      </c>
      <c r="V70" s="151">
        <v>185.1</v>
      </c>
      <c r="W70" s="151">
        <v>212.4</v>
      </c>
      <c r="X70" s="151">
        <v>230.5</v>
      </c>
      <c r="Y70" s="151">
        <v>192.4</v>
      </c>
      <c r="Z70" s="151">
        <v>138.5</v>
      </c>
      <c r="AA70" s="151">
        <v>92.1</v>
      </c>
      <c r="AB70" s="151">
        <v>48.4</v>
      </c>
      <c r="AC70" s="151">
        <v>38.200000000000003</v>
      </c>
      <c r="BC70" s="151">
        <v>15.09</v>
      </c>
      <c r="BD70" s="151">
        <v>13.46</v>
      </c>
      <c r="BE70" s="151">
        <v>12.05</v>
      </c>
      <c r="BF70" s="151">
        <v>10.29</v>
      </c>
      <c r="BG70" s="151">
        <v>9.11</v>
      </c>
      <c r="BH70" s="151">
        <v>8.3699999999999992</v>
      </c>
      <c r="BI70" s="151">
        <v>8.5500000000000007</v>
      </c>
      <c r="BJ70" s="151">
        <v>10.1</v>
      </c>
      <c r="BK70" s="151">
        <v>11.46</v>
      </c>
      <c r="BL70" s="151">
        <v>13.23</v>
      </c>
      <c r="BM70" s="151">
        <v>14.52</v>
      </c>
      <c r="BN70" s="151">
        <v>15.23</v>
      </c>
    </row>
    <row r="71" spans="1:66">
      <c r="A71" s="151" t="s">
        <v>866</v>
      </c>
      <c r="B71" s="707" t="s">
        <v>867</v>
      </c>
      <c r="C71" s="151" t="s">
        <v>868</v>
      </c>
      <c r="E71" s="151">
        <v>130.5</v>
      </c>
      <c r="F71" s="151">
        <v>156.19999999999999</v>
      </c>
      <c r="G71" s="151">
        <v>242.1</v>
      </c>
      <c r="H71" s="151">
        <v>272.39999999999998</v>
      </c>
      <c r="I71" s="151">
        <v>332.1</v>
      </c>
      <c r="J71" s="151">
        <v>355.4</v>
      </c>
      <c r="K71" s="151">
        <v>375.6</v>
      </c>
      <c r="L71" s="151">
        <v>335.2</v>
      </c>
      <c r="M71" s="151">
        <v>262.39999999999998</v>
      </c>
      <c r="N71" s="151">
        <v>202.5</v>
      </c>
      <c r="O71" s="151">
        <v>140.4</v>
      </c>
      <c r="P71" s="151">
        <v>122.5</v>
      </c>
      <c r="R71" s="151">
        <v>33.5</v>
      </c>
      <c r="S71" s="151">
        <v>54.2</v>
      </c>
      <c r="T71" s="151">
        <v>96.4</v>
      </c>
      <c r="U71" s="151">
        <v>130.4</v>
      </c>
      <c r="V71" s="151">
        <v>175.6</v>
      </c>
      <c r="W71" s="151">
        <v>202.4</v>
      </c>
      <c r="X71" s="151">
        <v>220.1</v>
      </c>
      <c r="Y71" s="151">
        <v>182.4</v>
      </c>
      <c r="Z71" s="151">
        <v>125.4</v>
      </c>
      <c r="AA71" s="151">
        <v>80.5</v>
      </c>
      <c r="AB71" s="151">
        <v>40.4</v>
      </c>
      <c r="AC71" s="151">
        <v>30.4</v>
      </c>
      <c r="BC71" s="151">
        <v>15.13</v>
      </c>
      <c r="BD71" s="151">
        <v>13.47</v>
      </c>
      <c r="BE71" s="151">
        <v>12.05</v>
      </c>
      <c r="BF71" s="151">
        <v>10.27</v>
      </c>
      <c r="BG71" s="151">
        <v>9.09</v>
      </c>
      <c r="BH71" s="151">
        <v>8.34</v>
      </c>
      <c r="BI71" s="151">
        <v>8.5299999999999994</v>
      </c>
      <c r="BJ71" s="151">
        <v>10.09</v>
      </c>
      <c r="BK71" s="151">
        <v>11.45</v>
      </c>
      <c r="BL71" s="151">
        <v>13.27</v>
      </c>
      <c r="BM71" s="151">
        <v>14.57</v>
      </c>
      <c r="BN71" s="151">
        <v>15.29</v>
      </c>
    </row>
    <row r="72" spans="1:66">
      <c r="A72" s="151" t="s">
        <v>869</v>
      </c>
      <c r="B72" s="707" t="s">
        <v>870</v>
      </c>
      <c r="C72" s="151" t="s">
        <v>871</v>
      </c>
      <c r="E72" s="151">
        <v>134.19999999999999</v>
      </c>
      <c r="F72" s="151">
        <v>160.4</v>
      </c>
      <c r="G72" s="151">
        <v>248.5</v>
      </c>
      <c r="H72" s="151">
        <v>278.60000000000002</v>
      </c>
      <c r="I72" s="151">
        <v>338.4</v>
      </c>
      <c r="J72" s="151">
        <v>362.5</v>
      </c>
      <c r="K72" s="151">
        <v>382.1</v>
      </c>
      <c r="L72" s="151">
        <v>342.4</v>
      </c>
      <c r="M72" s="151">
        <v>268.5</v>
      </c>
      <c r="N72" s="151">
        <v>208.4</v>
      </c>
      <c r="O72" s="151">
        <v>145.19999999999999</v>
      </c>
      <c r="P72" s="151">
        <v>128.4</v>
      </c>
      <c r="R72" s="151">
        <v>36.1</v>
      </c>
      <c r="S72" s="151">
        <v>56.4</v>
      </c>
      <c r="T72" s="151">
        <v>100.5</v>
      </c>
      <c r="U72" s="151">
        <v>135.1</v>
      </c>
      <c r="V72" s="151">
        <v>182.4</v>
      </c>
      <c r="W72" s="151">
        <v>210.6</v>
      </c>
      <c r="X72" s="151">
        <v>228.4</v>
      </c>
      <c r="Y72" s="151">
        <v>190.2</v>
      </c>
      <c r="Z72" s="151">
        <v>131.5</v>
      </c>
      <c r="AA72" s="151">
        <v>85.4</v>
      </c>
      <c r="AB72" s="151">
        <v>44.1</v>
      </c>
      <c r="AC72" s="151">
        <v>34.799999999999997</v>
      </c>
      <c r="BC72" s="151">
        <v>15.11</v>
      </c>
      <c r="BD72" s="151">
        <v>13.46</v>
      </c>
      <c r="BE72" s="151">
        <v>12.05</v>
      </c>
      <c r="BF72" s="151">
        <v>10.28</v>
      </c>
      <c r="BG72" s="151">
        <v>9.1</v>
      </c>
      <c r="BH72" s="151">
        <v>8.35</v>
      </c>
      <c r="BI72" s="151">
        <v>8.5399999999999991</v>
      </c>
      <c r="BJ72" s="151">
        <v>10.1</v>
      </c>
      <c r="BK72" s="151">
        <v>11.45</v>
      </c>
      <c r="BL72" s="151">
        <v>13.26</v>
      </c>
      <c r="BM72" s="151">
        <v>14.55</v>
      </c>
      <c r="BN72" s="151">
        <v>15.27</v>
      </c>
    </row>
    <row r="75" spans="1:66">
      <c r="A75" s="151" t="s">
        <v>872</v>
      </c>
      <c r="B75" s="707" t="s">
        <v>873</v>
      </c>
      <c r="C75" s="151" t="s">
        <v>874</v>
      </c>
      <c r="E75" s="151">
        <v>158.5</v>
      </c>
      <c r="F75" s="151">
        <v>185.4</v>
      </c>
      <c r="G75" s="151">
        <v>266.3</v>
      </c>
      <c r="H75" s="151">
        <v>288.7</v>
      </c>
      <c r="I75" s="151">
        <v>345.6</v>
      </c>
      <c r="J75" s="151">
        <v>358.4</v>
      </c>
      <c r="K75" s="151">
        <v>378.2</v>
      </c>
      <c r="L75" s="151">
        <v>344.5</v>
      </c>
      <c r="M75" s="151">
        <v>275.3</v>
      </c>
      <c r="N75" s="151">
        <v>215.8</v>
      </c>
      <c r="O75" s="151">
        <v>162.4</v>
      </c>
      <c r="P75" s="151">
        <v>148.1</v>
      </c>
      <c r="R75" s="151">
        <v>50.2</v>
      </c>
      <c r="S75" s="151">
        <v>68.599999999999994</v>
      </c>
      <c r="T75" s="151">
        <v>114.7</v>
      </c>
      <c r="U75" s="151">
        <v>145.5</v>
      </c>
      <c r="V75" s="151">
        <v>192.2</v>
      </c>
      <c r="W75" s="151">
        <v>208.5</v>
      </c>
      <c r="X75" s="151">
        <v>224.7</v>
      </c>
      <c r="Y75" s="151">
        <v>190.6</v>
      </c>
      <c r="Z75" s="151">
        <v>136.5</v>
      </c>
      <c r="AA75" s="151">
        <v>91.5</v>
      </c>
      <c r="AB75" s="151">
        <v>55.5</v>
      </c>
      <c r="AC75" s="151">
        <v>43.4</v>
      </c>
      <c r="BC75" s="151">
        <v>14.56</v>
      </c>
      <c r="BD75" s="151">
        <v>13.42</v>
      </c>
      <c r="BE75" s="151">
        <v>12.02</v>
      </c>
      <c r="BF75" s="151">
        <v>10.34</v>
      </c>
      <c r="BG75" s="151">
        <v>9.18</v>
      </c>
      <c r="BH75" s="151">
        <v>8.4499999999999993</v>
      </c>
      <c r="BI75" s="151">
        <v>9.02</v>
      </c>
      <c r="BJ75" s="151">
        <v>10.14</v>
      </c>
      <c r="BK75" s="151">
        <v>11.46</v>
      </c>
      <c r="BL75" s="151">
        <v>13.18</v>
      </c>
      <c r="BM75" s="151">
        <v>14.46</v>
      </c>
      <c r="BN75" s="151">
        <v>15.1</v>
      </c>
    </row>
    <row r="76" spans="1:66">
      <c r="A76" s="151" t="s">
        <v>875</v>
      </c>
      <c r="B76" s="707" t="s">
        <v>876</v>
      </c>
      <c r="C76" s="151" t="s">
        <v>877</v>
      </c>
      <c r="E76" s="151">
        <v>172.4</v>
      </c>
      <c r="F76" s="151">
        <v>198.5</v>
      </c>
      <c r="G76" s="151">
        <v>282.10000000000002</v>
      </c>
      <c r="H76" s="151">
        <v>315.60000000000002</v>
      </c>
      <c r="I76" s="151">
        <v>372.2</v>
      </c>
      <c r="J76" s="151">
        <v>378.5</v>
      </c>
      <c r="K76" s="151">
        <v>398.4</v>
      </c>
      <c r="L76" s="151">
        <v>365.5</v>
      </c>
      <c r="M76" s="151">
        <v>302.39999999999998</v>
      </c>
      <c r="N76" s="151">
        <v>242.8</v>
      </c>
      <c r="O76" s="151">
        <v>178.5</v>
      </c>
      <c r="P76" s="151">
        <v>158.4</v>
      </c>
      <c r="R76" s="151">
        <v>56.4</v>
      </c>
      <c r="S76" s="151">
        <v>74.2</v>
      </c>
      <c r="T76" s="151">
        <v>118.5</v>
      </c>
      <c r="U76" s="151">
        <v>152.4</v>
      </c>
      <c r="V76" s="151">
        <v>192.5</v>
      </c>
      <c r="W76" s="151">
        <v>205.8</v>
      </c>
      <c r="X76" s="151">
        <v>212.5</v>
      </c>
      <c r="Y76" s="151">
        <v>188.4</v>
      </c>
      <c r="Z76" s="151">
        <v>142.5</v>
      </c>
      <c r="AA76" s="151">
        <v>102.1</v>
      </c>
      <c r="AB76" s="151">
        <v>68.400000000000006</v>
      </c>
      <c r="AC76" s="151">
        <v>54.5</v>
      </c>
      <c r="BC76" s="151">
        <v>14.47</v>
      </c>
      <c r="BD76" s="151">
        <v>13.38</v>
      </c>
      <c r="BE76" s="151">
        <v>12.02</v>
      </c>
      <c r="BF76" s="151">
        <v>10.38</v>
      </c>
      <c r="BG76" s="151">
        <v>9.2799999999999994</v>
      </c>
      <c r="BH76" s="151">
        <v>8.58</v>
      </c>
      <c r="BI76" s="151">
        <v>9.14</v>
      </c>
      <c r="BJ76" s="151">
        <v>10.19</v>
      </c>
      <c r="BK76" s="151">
        <v>11.47</v>
      </c>
      <c r="BL76" s="151">
        <v>13.16</v>
      </c>
      <c r="BM76" s="151">
        <v>14.38</v>
      </c>
      <c r="BN76" s="151">
        <v>15.02</v>
      </c>
    </row>
    <row r="77" spans="1:66">
      <c r="A77" s="151" t="s">
        <v>878</v>
      </c>
      <c r="B77" s="707" t="s">
        <v>879</v>
      </c>
      <c r="C77" s="151" t="s">
        <v>880</v>
      </c>
      <c r="E77" s="151">
        <v>185.2</v>
      </c>
      <c r="F77" s="151">
        <v>212.4</v>
      </c>
      <c r="G77" s="151">
        <v>302.10000000000002</v>
      </c>
      <c r="H77" s="151">
        <v>342.5</v>
      </c>
      <c r="I77" s="151">
        <v>398.4</v>
      </c>
      <c r="J77" s="151">
        <v>405.2</v>
      </c>
      <c r="K77" s="151">
        <v>425.1</v>
      </c>
      <c r="L77" s="151">
        <v>392.4</v>
      </c>
      <c r="M77" s="151">
        <v>325.39999999999998</v>
      </c>
      <c r="N77" s="151">
        <v>262.39999999999998</v>
      </c>
      <c r="O77" s="151">
        <v>195.6</v>
      </c>
      <c r="P77" s="151">
        <v>175.6</v>
      </c>
      <c r="R77" s="151">
        <v>60.1</v>
      </c>
      <c r="S77" s="151">
        <v>78.400000000000006</v>
      </c>
      <c r="T77" s="151">
        <v>125.4</v>
      </c>
      <c r="U77" s="151">
        <v>162.4</v>
      </c>
      <c r="V77" s="151">
        <v>202.1</v>
      </c>
      <c r="W77" s="151">
        <v>215.6</v>
      </c>
      <c r="X77" s="151">
        <v>224.1</v>
      </c>
      <c r="Y77" s="151">
        <v>198.5</v>
      </c>
      <c r="Z77" s="151">
        <v>148.5</v>
      </c>
      <c r="AA77" s="151">
        <v>108.4</v>
      </c>
      <c r="AB77" s="151">
        <v>74.5</v>
      </c>
      <c r="AC77" s="151">
        <v>56.8</v>
      </c>
      <c r="BC77" s="151">
        <v>14.38</v>
      </c>
      <c r="BD77" s="151">
        <v>13.32</v>
      </c>
      <c r="BE77" s="151">
        <v>12.02</v>
      </c>
      <c r="BF77" s="151">
        <v>10.41</v>
      </c>
      <c r="BG77" s="151">
        <v>9.33</v>
      </c>
      <c r="BH77" s="151">
        <v>9.0399999999999991</v>
      </c>
      <c r="BI77" s="151">
        <v>9.1999999999999993</v>
      </c>
      <c r="BJ77" s="151">
        <v>10.210000000000001</v>
      </c>
      <c r="BK77" s="151">
        <v>11.48</v>
      </c>
      <c r="BL77" s="151">
        <v>13.13</v>
      </c>
      <c r="BM77" s="151">
        <v>14.28</v>
      </c>
      <c r="BN77" s="151">
        <v>14.54</v>
      </c>
    </row>
    <row r="78" spans="1:66">
      <c r="A78" s="151" t="s">
        <v>881</v>
      </c>
      <c r="B78" s="707" t="s">
        <v>882</v>
      </c>
      <c r="C78" s="151" t="s">
        <v>883</v>
      </c>
      <c r="E78" s="151">
        <v>186.4</v>
      </c>
      <c r="F78" s="151">
        <v>213.5</v>
      </c>
      <c r="G78" s="151">
        <v>303.8</v>
      </c>
      <c r="H78" s="151">
        <v>344.1</v>
      </c>
      <c r="I78" s="151">
        <v>400.2</v>
      </c>
      <c r="J78" s="151">
        <v>407.1</v>
      </c>
      <c r="K78" s="151">
        <v>426.5</v>
      </c>
      <c r="L78" s="151">
        <v>394.1</v>
      </c>
      <c r="M78" s="151">
        <v>327.10000000000002</v>
      </c>
      <c r="N78" s="151">
        <v>264.10000000000002</v>
      </c>
      <c r="O78" s="151">
        <v>197.2</v>
      </c>
      <c r="P78" s="151">
        <v>177.1</v>
      </c>
      <c r="R78" s="151">
        <v>60.5</v>
      </c>
      <c r="S78" s="151">
        <v>79.099999999999994</v>
      </c>
      <c r="T78" s="151">
        <v>126.5</v>
      </c>
      <c r="U78" s="151">
        <v>163.5</v>
      </c>
      <c r="V78" s="151">
        <v>203.5</v>
      </c>
      <c r="W78" s="151">
        <v>217.1</v>
      </c>
      <c r="X78" s="151">
        <v>225.6</v>
      </c>
      <c r="Y78" s="151">
        <v>200.1</v>
      </c>
      <c r="Z78" s="151">
        <v>150.1</v>
      </c>
      <c r="AA78" s="151">
        <v>109.5</v>
      </c>
      <c r="AB78" s="151">
        <v>75.599999999999994</v>
      </c>
      <c r="AC78" s="151">
        <v>57.6</v>
      </c>
      <c r="BC78" s="151">
        <v>14.39</v>
      </c>
      <c r="BD78" s="151">
        <v>13.33</v>
      </c>
      <c r="BE78" s="151">
        <v>12.02</v>
      </c>
      <c r="BF78" s="151">
        <v>10.41</v>
      </c>
      <c r="BG78" s="151">
        <v>9.32</v>
      </c>
      <c r="BH78" s="151">
        <v>9.0299999999999994</v>
      </c>
      <c r="BI78" s="151">
        <v>9.19</v>
      </c>
      <c r="BJ78" s="151">
        <v>10.199999999999999</v>
      </c>
      <c r="BK78" s="151">
        <v>11.48</v>
      </c>
      <c r="BL78" s="151">
        <v>13.14</v>
      </c>
      <c r="BM78" s="151">
        <v>14.29</v>
      </c>
      <c r="BN78" s="151">
        <v>14.55</v>
      </c>
    </row>
    <row r="79" spans="1:66">
      <c r="A79" s="151" t="s">
        <v>884</v>
      </c>
      <c r="B79" s="707" t="s">
        <v>885</v>
      </c>
      <c r="C79" s="151" t="s">
        <v>886</v>
      </c>
      <c r="E79" s="151">
        <v>186.8</v>
      </c>
      <c r="F79" s="151">
        <v>214.1</v>
      </c>
      <c r="G79" s="151">
        <v>304.5</v>
      </c>
      <c r="H79" s="151">
        <v>344.8</v>
      </c>
      <c r="I79" s="151">
        <v>401.1</v>
      </c>
      <c r="J79" s="151">
        <v>408</v>
      </c>
      <c r="K79" s="151">
        <v>427.6</v>
      </c>
      <c r="L79" s="151">
        <v>395.1</v>
      </c>
      <c r="M79" s="151">
        <v>328.1</v>
      </c>
      <c r="N79" s="151">
        <v>264.8</v>
      </c>
      <c r="O79" s="151">
        <v>198.1</v>
      </c>
      <c r="P79" s="151">
        <v>178.1</v>
      </c>
      <c r="R79" s="151">
        <v>60.8</v>
      </c>
      <c r="S79" s="151">
        <v>79.5</v>
      </c>
      <c r="T79" s="151">
        <v>127.1</v>
      </c>
      <c r="U79" s="151">
        <v>164.2</v>
      </c>
      <c r="V79" s="151">
        <v>204.5</v>
      </c>
      <c r="W79" s="151">
        <v>218.1</v>
      </c>
      <c r="X79" s="151">
        <v>226.6</v>
      </c>
      <c r="Y79" s="151">
        <v>201.1</v>
      </c>
      <c r="Z79" s="151">
        <v>151.1</v>
      </c>
      <c r="AA79" s="151">
        <v>110.2</v>
      </c>
      <c r="AB79" s="151">
        <v>76.400000000000006</v>
      </c>
      <c r="AC79" s="151">
        <v>58.4</v>
      </c>
      <c r="BC79" s="151">
        <v>14.39</v>
      </c>
      <c r="BD79" s="151">
        <v>13.33</v>
      </c>
      <c r="BE79" s="151">
        <v>12.02</v>
      </c>
      <c r="BF79" s="151">
        <v>10.41</v>
      </c>
      <c r="BG79" s="151">
        <v>9.32</v>
      </c>
      <c r="BH79" s="151">
        <v>9.0399999999999991</v>
      </c>
      <c r="BI79" s="151">
        <v>9.1999999999999993</v>
      </c>
      <c r="BJ79" s="151">
        <v>10.199999999999999</v>
      </c>
      <c r="BK79" s="151">
        <v>11.48</v>
      </c>
      <c r="BL79" s="151">
        <v>13.14</v>
      </c>
      <c r="BM79" s="151">
        <v>14.29</v>
      </c>
      <c r="BN79" s="151">
        <v>14.55</v>
      </c>
    </row>
    <row r="80" spans="1:66">
      <c r="A80" s="151" t="s">
        <v>887</v>
      </c>
      <c r="B80" s="707" t="s">
        <v>888</v>
      </c>
      <c r="C80" s="151" t="s">
        <v>889</v>
      </c>
      <c r="E80" s="151">
        <v>178.5</v>
      </c>
      <c r="F80" s="151">
        <v>204.6</v>
      </c>
      <c r="G80" s="151">
        <v>288.39999999999998</v>
      </c>
      <c r="H80" s="151">
        <v>322.10000000000002</v>
      </c>
      <c r="I80" s="151">
        <v>378.5</v>
      </c>
      <c r="J80" s="151">
        <v>385.4</v>
      </c>
      <c r="K80" s="151">
        <v>405.2</v>
      </c>
      <c r="L80" s="151">
        <v>372.4</v>
      </c>
      <c r="M80" s="151">
        <v>308.39999999999998</v>
      </c>
      <c r="N80" s="151">
        <v>248.5</v>
      </c>
      <c r="O80" s="151">
        <v>182.4</v>
      </c>
      <c r="P80" s="151">
        <v>162.5</v>
      </c>
      <c r="R80" s="151">
        <v>58.5</v>
      </c>
      <c r="S80" s="151">
        <v>75.400000000000006</v>
      </c>
      <c r="T80" s="151">
        <v>118.4</v>
      </c>
      <c r="U80" s="151">
        <v>152.1</v>
      </c>
      <c r="V80" s="151">
        <v>192.4</v>
      </c>
      <c r="W80" s="151">
        <v>205.4</v>
      </c>
      <c r="X80" s="151">
        <v>212.5</v>
      </c>
      <c r="Y80" s="151">
        <v>188.4</v>
      </c>
      <c r="Z80" s="151">
        <v>142.5</v>
      </c>
      <c r="AA80" s="151">
        <v>102.4</v>
      </c>
      <c r="AB80" s="151">
        <v>68.5</v>
      </c>
      <c r="AC80" s="151">
        <v>52.1</v>
      </c>
      <c r="BC80" s="151">
        <v>14.45</v>
      </c>
      <c r="BD80" s="151">
        <v>13.36</v>
      </c>
      <c r="BE80" s="151">
        <v>12.02</v>
      </c>
      <c r="BF80" s="151">
        <v>10.38</v>
      </c>
      <c r="BG80" s="151">
        <v>9.3000000000000007</v>
      </c>
      <c r="BH80" s="151">
        <v>9.01</v>
      </c>
      <c r="BI80" s="151">
        <v>9.17</v>
      </c>
      <c r="BJ80" s="151">
        <v>10.19</v>
      </c>
      <c r="BK80" s="151">
        <v>11.47</v>
      </c>
      <c r="BL80" s="151">
        <v>13.15</v>
      </c>
      <c r="BM80" s="151">
        <v>14.35</v>
      </c>
      <c r="BN80" s="151">
        <v>15</v>
      </c>
    </row>
    <row r="81" spans="1:66">
      <c r="A81" s="151" t="s">
        <v>890</v>
      </c>
      <c r="B81" s="707" t="s">
        <v>891</v>
      </c>
      <c r="C81" s="151" t="s">
        <v>892</v>
      </c>
      <c r="E81" s="151">
        <v>184.2</v>
      </c>
      <c r="F81" s="151">
        <v>210.1</v>
      </c>
      <c r="G81" s="151">
        <v>296.5</v>
      </c>
      <c r="H81" s="151">
        <v>332.1</v>
      </c>
      <c r="I81" s="151">
        <v>388.4</v>
      </c>
      <c r="J81" s="151">
        <v>395.2</v>
      </c>
      <c r="K81" s="151">
        <v>415.8</v>
      </c>
      <c r="L81" s="151">
        <v>382.4</v>
      </c>
      <c r="M81" s="151">
        <v>318.5</v>
      </c>
      <c r="N81" s="151">
        <v>255.4</v>
      </c>
      <c r="O81" s="151">
        <v>192.1</v>
      </c>
      <c r="P81" s="151">
        <v>172.5</v>
      </c>
      <c r="R81" s="151">
        <v>61.2</v>
      </c>
      <c r="S81" s="151">
        <v>78.400000000000006</v>
      </c>
      <c r="T81" s="151">
        <v>124.5</v>
      </c>
      <c r="U81" s="151">
        <v>158.19999999999999</v>
      </c>
      <c r="V81" s="151">
        <v>198.1</v>
      </c>
      <c r="W81" s="151">
        <v>212.5</v>
      </c>
      <c r="X81" s="151">
        <v>220.1</v>
      </c>
      <c r="Y81" s="151">
        <v>195.4</v>
      </c>
      <c r="Z81" s="151">
        <v>148.19999999999999</v>
      </c>
      <c r="AA81" s="151">
        <v>108.1</v>
      </c>
      <c r="AB81" s="151">
        <v>74.5</v>
      </c>
      <c r="AC81" s="151">
        <v>56.8</v>
      </c>
      <c r="BC81" s="151">
        <v>14.41</v>
      </c>
      <c r="BD81" s="151">
        <v>13.34</v>
      </c>
      <c r="BE81" s="151">
        <v>12.02</v>
      </c>
      <c r="BF81" s="151">
        <v>10.4</v>
      </c>
      <c r="BG81" s="151">
        <v>9.31</v>
      </c>
      <c r="BH81" s="151">
        <v>9.02</v>
      </c>
      <c r="BI81" s="151">
        <v>9.18</v>
      </c>
      <c r="BJ81" s="151">
        <v>10.19</v>
      </c>
      <c r="BK81" s="151">
        <v>11.47</v>
      </c>
      <c r="BL81" s="151">
        <v>13.14</v>
      </c>
      <c r="BM81" s="151">
        <v>14.32</v>
      </c>
      <c r="BN81" s="151">
        <v>14.57</v>
      </c>
    </row>
    <row r="82" spans="1:66">
      <c r="A82" s="151" t="s">
        <v>893</v>
      </c>
      <c r="B82" s="707" t="s">
        <v>894</v>
      </c>
      <c r="C82" s="151" t="s">
        <v>895</v>
      </c>
      <c r="E82" s="151">
        <v>156.80000000000001</v>
      </c>
      <c r="F82" s="151">
        <v>183.7</v>
      </c>
      <c r="G82" s="151">
        <v>264.8</v>
      </c>
      <c r="H82" s="151">
        <v>286.2</v>
      </c>
      <c r="I82" s="151">
        <v>343.1</v>
      </c>
      <c r="J82" s="151">
        <v>356.8</v>
      </c>
      <c r="K82" s="151">
        <v>376.5</v>
      </c>
      <c r="L82" s="151">
        <v>342.1</v>
      </c>
      <c r="M82" s="151">
        <v>273.10000000000002</v>
      </c>
      <c r="N82" s="151">
        <v>213.5</v>
      </c>
      <c r="O82" s="151">
        <v>161.19999999999999</v>
      </c>
      <c r="P82" s="151">
        <v>146.80000000000001</v>
      </c>
      <c r="R82" s="151">
        <v>49.5</v>
      </c>
      <c r="S82" s="151">
        <v>67.8</v>
      </c>
      <c r="T82" s="151">
        <v>113.5</v>
      </c>
      <c r="U82" s="151">
        <v>144.1</v>
      </c>
      <c r="V82" s="151">
        <v>190.5</v>
      </c>
      <c r="W82" s="151">
        <v>206.8</v>
      </c>
      <c r="X82" s="151">
        <v>222.2</v>
      </c>
      <c r="Y82" s="151">
        <v>188.1</v>
      </c>
      <c r="Z82" s="151">
        <v>134.1</v>
      </c>
      <c r="AA82" s="151">
        <v>89.5</v>
      </c>
      <c r="AB82" s="151">
        <v>53.4</v>
      </c>
      <c r="AC82" s="151">
        <v>42.1</v>
      </c>
      <c r="BC82" s="151">
        <v>15.04</v>
      </c>
      <c r="BD82" s="151">
        <v>13.44</v>
      </c>
      <c r="BE82" s="151">
        <v>12.02</v>
      </c>
      <c r="BF82" s="151">
        <v>10.33</v>
      </c>
      <c r="BG82" s="151">
        <v>9.15</v>
      </c>
      <c r="BH82" s="151">
        <v>8.42</v>
      </c>
      <c r="BI82" s="151">
        <v>8.59</v>
      </c>
      <c r="BJ82" s="151">
        <v>10.119999999999999</v>
      </c>
      <c r="BK82" s="151">
        <v>11.46</v>
      </c>
      <c r="BL82" s="151">
        <v>13.2</v>
      </c>
      <c r="BM82" s="151">
        <v>14.48</v>
      </c>
      <c r="BN82" s="151">
        <v>15.18</v>
      </c>
    </row>
    <row r="85" spans="1:66">
      <c r="A85" s="151" t="s">
        <v>896</v>
      </c>
      <c r="B85" s="707" t="s">
        <v>897</v>
      </c>
      <c r="C85" s="151" t="s">
        <v>898</v>
      </c>
      <c r="E85" s="151">
        <v>194.5</v>
      </c>
      <c r="F85" s="151">
        <v>221.4</v>
      </c>
      <c r="G85" s="151">
        <v>311.5</v>
      </c>
      <c r="H85" s="151">
        <v>351.4</v>
      </c>
      <c r="I85" s="151">
        <v>411.5</v>
      </c>
      <c r="J85" s="151">
        <v>417.2</v>
      </c>
      <c r="K85" s="151">
        <v>437.4</v>
      </c>
      <c r="L85" s="151">
        <v>404.2</v>
      </c>
      <c r="M85" s="151">
        <v>334.2</v>
      </c>
      <c r="N85" s="151">
        <v>271.39999999999998</v>
      </c>
      <c r="O85" s="151">
        <v>204.4</v>
      </c>
      <c r="P85" s="151">
        <v>181.4</v>
      </c>
      <c r="R85" s="151">
        <v>63</v>
      </c>
      <c r="S85" s="151">
        <v>82</v>
      </c>
      <c r="T85" s="151">
        <v>132</v>
      </c>
      <c r="U85" s="151">
        <v>167</v>
      </c>
      <c r="V85" s="151">
        <v>211</v>
      </c>
      <c r="W85" s="151">
        <v>224</v>
      </c>
      <c r="X85" s="151">
        <v>234</v>
      </c>
      <c r="Y85" s="151">
        <v>207</v>
      </c>
      <c r="Z85" s="151">
        <v>157</v>
      </c>
      <c r="AA85" s="151">
        <v>111</v>
      </c>
      <c r="AB85" s="151">
        <v>77</v>
      </c>
      <c r="AC85" s="151">
        <v>60</v>
      </c>
      <c r="BC85" s="151">
        <v>14.26</v>
      </c>
      <c r="BD85" s="151">
        <v>13.24</v>
      </c>
      <c r="BE85" s="151">
        <v>12.01</v>
      </c>
      <c r="BF85" s="151">
        <v>10.47</v>
      </c>
      <c r="BG85" s="151">
        <v>9.43</v>
      </c>
      <c r="BH85" s="151">
        <v>9.17</v>
      </c>
      <c r="BI85" s="151">
        <v>9.32</v>
      </c>
      <c r="BJ85" s="151">
        <v>10.25</v>
      </c>
      <c r="BK85" s="151">
        <v>11.48</v>
      </c>
      <c r="BL85" s="151">
        <v>13.07</v>
      </c>
      <c r="BM85" s="151">
        <v>14.16</v>
      </c>
      <c r="BN85" s="151">
        <v>14.4</v>
      </c>
    </row>
    <row r="86" spans="1:66">
      <c r="A86" s="151" t="s">
        <v>899</v>
      </c>
      <c r="B86" s="707" t="s">
        <v>900</v>
      </c>
      <c r="C86" s="151" t="s">
        <v>886</v>
      </c>
      <c r="E86" s="151">
        <v>210.5</v>
      </c>
      <c r="F86" s="151">
        <v>240.4</v>
      </c>
      <c r="G86" s="151">
        <v>338.7</v>
      </c>
      <c r="H86" s="151">
        <v>382.5</v>
      </c>
      <c r="I86" s="151">
        <v>448.6</v>
      </c>
      <c r="J86" s="151">
        <v>456.2</v>
      </c>
      <c r="K86" s="151">
        <v>476.2</v>
      </c>
      <c r="L86" s="151">
        <v>444.4</v>
      </c>
      <c r="M86" s="151">
        <v>370.6</v>
      </c>
      <c r="N86" s="151">
        <v>302.39999999999998</v>
      </c>
      <c r="O86" s="151">
        <v>230.6</v>
      </c>
      <c r="P86" s="151">
        <v>202.4</v>
      </c>
      <c r="R86" s="151">
        <v>74.5</v>
      </c>
      <c r="S86" s="151">
        <v>94.5</v>
      </c>
      <c r="T86" s="151">
        <v>154.5</v>
      </c>
      <c r="U86" s="151">
        <v>195.5</v>
      </c>
      <c r="V86" s="151">
        <v>244.5</v>
      </c>
      <c r="W86" s="151">
        <v>258.39999999999998</v>
      </c>
      <c r="X86" s="151">
        <v>268.39999999999998</v>
      </c>
      <c r="Y86" s="151">
        <v>241.4</v>
      </c>
      <c r="Z86" s="151">
        <v>187.4</v>
      </c>
      <c r="AA86" s="151">
        <v>136.4</v>
      </c>
      <c r="AB86" s="151">
        <v>94.5</v>
      </c>
      <c r="AC86" s="151">
        <v>74.5</v>
      </c>
      <c r="BC86" s="151">
        <v>14.11</v>
      </c>
      <c r="BD86" s="151">
        <v>13.13</v>
      </c>
      <c r="BE86" s="151">
        <v>12.01</v>
      </c>
      <c r="BF86" s="151">
        <v>10.57</v>
      </c>
      <c r="BG86" s="151">
        <v>9.58</v>
      </c>
      <c r="BH86" s="151">
        <v>9.34</v>
      </c>
      <c r="BI86" s="151">
        <v>9.48</v>
      </c>
      <c r="BJ86" s="151">
        <v>10.38</v>
      </c>
      <c r="BK86" s="151">
        <v>11.48</v>
      </c>
      <c r="BL86" s="151">
        <v>12.58</v>
      </c>
      <c r="BM86" s="151">
        <v>14.01</v>
      </c>
      <c r="BN86" s="151">
        <v>14.22</v>
      </c>
    </row>
    <row r="87" spans="1:66">
      <c r="A87" s="151" t="s">
        <v>901</v>
      </c>
      <c r="B87" s="707" t="s">
        <v>902</v>
      </c>
      <c r="C87" s="151" t="s">
        <v>903</v>
      </c>
      <c r="E87" s="151">
        <v>130.1</v>
      </c>
      <c r="F87" s="151">
        <v>155.80000000000001</v>
      </c>
      <c r="G87" s="151">
        <v>241.7</v>
      </c>
      <c r="H87" s="151">
        <v>272</v>
      </c>
      <c r="I87" s="151">
        <v>331.7</v>
      </c>
      <c r="J87" s="151">
        <v>355</v>
      </c>
      <c r="K87" s="151">
        <v>375.2</v>
      </c>
      <c r="L87" s="151">
        <v>334.8</v>
      </c>
      <c r="M87" s="151">
        <v>262</v>
      </c>
      <c r="N87" s="151">
        <v>202.1</v>
      </c>
      <c r="O87" s="151">
        <v>140</v>
      </c>
      <c r="P87" s="151">
        <v>122.1</v>
      </c>
      <c r="R87" s="151">
        <v>33.1</v>
      </c>
      <c r="S87" s="151">
        <v>53.8</v>
      </c>
      <c r="T87" s="151">
        <v>96</v>
      </c>
      <c r="U87" s="151">
        <v>130</v>
      </c>
      <c r="V87" s="151">
        <v>175.2</v>
      </c>
      <c r="W87" s="151">
        <v>202</v>
      </c>
      <c r="X87" s="151">
        <v>219.7</v>
      </c>
      <c r="Y87" s="151">
        <v>182</v>
      </c>
      <c r="Z87" s="151">
        <v>125</v>
      </c>
      <c r="AA87" s="151">
        <v>80.099999999999994</v>
      </c>
      <c r="AB87" s="151">
        <v>40</v>
      </c>
      <c r="AC87" s="151">
        <v>30</v>
      </c>
      <c r="BC87" s="151">
        <v>15.13</v>
      </c>
      <c r="BD87" s="151">
        <v>13.47</v>
      </c>
      <c r="BE87" s="151">
        <v>12.05</v>
      </c>
      <c r="BF87" s="151">
        <v>10.27</v>
      </c>
      <c r="BG87" s="151">
        <v>9.09</v>
      </c>
      <c r="BH87" s="151">
        <v>8.34</v>
      </c>
      <c r="BI87" s="151">
        <v>8.5299999999999994</v>
      </c>
      <c r="BJ87" s="151">
        <v>10.09</v>
      </c>
      <c r="BK87" s="151">
        <v>11.45</v>
      </c>
      <c r="BL87" s="151">
        <v>13.27</v>
      </c>
      <c r="BM87" s="151">
        <v>14.57</v>
      </c>
      <c r="BN87" s="151">
        <v>15.29</v>
      </c>
    </row>
    <row r="88" spans="1:66">
      <c r="A88" s="151" t="s">
        <v>904</v>
      </c>
      <c r="B88" s="707" t="s">
        <v>905</v>
      </c>
      <c r="C88" s="151" t="s">
        <v>906</v>
      </c>
      <c r="E88" s="151">
        <v>162.80000000000001</v>
      </c>
      <c r="F88" s="151">
        <v>189.9</v>
      </c>
      <c r="G88" s="151">
        <v>270.89999999999998</v>
      </c>
      <c r="H88" s="151">
        <v>293.2</v>
      </c>
      <c r="I88" s="151">
        <v>349</v>
      </c>
      <c r="J88" s="151">
        <v>362.9</v>
      </c>
      <c r="K88" s="151">
        <v>382.8</v>
      </c>
      <c r="L88" s="151">
        <v>349.1</v>
      </c>
      <c r="M88" s="151">
        <v>279.3</v>
      </c>
      <c r="N88" s="151">
        <v>220.5</v>
      </c>
      <c r="O88" s="151">
        <v>166.2</v>
      </c>
      <c r="P88" s="151">
        <v>152.80000000000001</v>
      </c>
      <c r="R88" s="151">
        <v>52.8</v>
      </c>
      <c r="S88" s="151">
        <v>71.900000000000006</v>
      </c>
      <c r="T88" s="151">
        <v>118.9</v>
      </c>
      <c r="U88" s="151">
        <v>149</v>
      </c>
      <c r="V88" s="151">
        <v>194.9</v>
      </c>
      <c r="W88" s="151">
        <v>212.8</v>
      </c>
      <c r="X88" s="151">
        <v>229</v>
      </c>
      <c r="Y88" s="151">
        <v>194.6</v>
      </c>
      <c r="Z88" s="151">
        <v>139.9</v>
      </c>
      <c r="AA88" s="151">
        <v>95</v>
      </c>
      <c r="AB88" s="151">
        <v>58.8</v>
      </c>
      <c r="AC88" s="151">
        <v>46.9</v>
      </c>
      <c r="BC88" s="151">
        <v>14.54</v>
      </c>
      <c r="BD88" s="151">
        <v>13.4</v>
      </c>
      <c r="BE88" s="151">
        <v>12.02</v>
      </c>
      <c r="BF88" s="151">
        <v>10.35</v>
      </c>
      <c r="BG88" s="151">
        <v>9.19</v>
      </c>
      <c r="BH88" s="151">
        <v>8.4600000000000009</v>
      </c>
      <c r="BI88" s="151">
        <v>9.0299999999999994</v>
      </c>
      <c r="BJ88" s="151">
        <v>10.15</v>
      </c>
      <c r="BK88" s="151">
        <v>11.47</v>
      </c>
      <c r="BL88" s="151">
        <v>13.18</v>
      </c>
      <c r="BM88" s="151">
        <v>14.45</v>
      </c>
      <c r="BN88" s="151">
        <v>15.08</v>
      </c>
    </row>
    <row r="89" spans="1:66">
      <c r="A89" s="151" t="s">
        <v>907</v>
      </c>
      <c r="B89" s="707" t="s">
        <v>908</v>
      </c>
      <c r="C89" s="151" t="s">
        <v>909</v>
      </c>
      <c r="E89" s="151">
        <v>180.9</v>
      </c>
      <c r="F89" s="151">
        <v>207.2</v>
      </c>
      <c r="G89" s="151">
        <v>292.5</v>
      </c>
      <c r="H89" s="151">
        <v>326.8</v>
      </c>
      <c r="I89" s="151">
        <v>382.9</v>
      </c>
      <c r="J89" s="151">
        <v>388.8</v>
      </c>
      <c r="K89" s="151">
        <v>409</v>
      </c>
      <c r="L89" s="151">
        <v>375.8</v>
      </c>
      <c r="M89" s="151">
        <v>312.5</v>
      </c>
      <c r="N89" s="151">
        <v>250.9</v>
      </c>
      <c r="O89" s="151">
        <v>185.8</v>
      </c>
      <c r="P89" s="151">
        <v>166.2</v>
      </c>
      <c r="R89" s="151">
        <v>59.9</v>
      </c>
      <c r="S89" s="151">
        <v>77.2</v>
      </c>
      <c r="T89" s="151">
        <v>121.8</v>
      </c>
      <c r="U89" s="151">
        <v>155.6</v>
      </c>
      <c r="V89" s="151">
        <v>195.8</v>
      </c>
      <c r="W89" s="151">
        <v>209</v>
      </c>
      <c r="X89" s="151">
        <v>216.2</v>
      </c>
      <c r="Y89" s="151">
        <v>191.6</v>
      </c>
      <c r="Z89" s="151">
        <v>145.5</v>
      </c>
      <c r="AA89" s="151">
        <v>105.8</v>
      </c>
      <c r="AB89" s="151">
        <v>71.599999999999994</v>
      </c>
      <c r="AC89" s="151">
        <v>54.9</v>
      </c>
      <c r="BC89" s="151">
        <v>14.42</v>
      </c>
      <c r="BD89" s="151">
        <v>13.35</v>
      </c>
      <c r="BE89" s="151">
        <v>12.02</v>
      </c>
      <c r="BF89" s="151">
        <v>10.38</v>
      </c>
      <c r="BG89" s="151">
        <v>9.3000000000000007</v>
      </c>
      <c r="BH89" s="151">
        <v>9.01</v>
      </c>
      <c r="BI89" s="151">
        <v>9.17</v>
      </c>
      <c r="BJ89" s="151">
        <v>10.19</v>
      </c>
      <c r="BK89" s="151">
        <v>11.47</v>
      </c>
      <c r="BL89" s="151">
        <v>13.15</v>
      </c>
      <c r="BM89" s="151">
        <v>14.33</v>
      </c>
      <c r="BN89" s="151">
        <v>14.58</v>
      </c>
    </row>
    <row r="93" spans="1:66">
      <c r="A93" s="151" t="s">
        <v>910</v>
      </c>
      <c r="B93" s="707" t="s">
        <v>798</v>
      </c>
      <c r="C93" s="151" t="s">
        <v>911</v>
      </c>
      <c r="E93" s="151">
        <v>192.8</v>
      </c>
      <c r="F93" s="151">
        <v>220.1</v>
      </c>
      <c r="G93" s="151">
        <v>310.7</v>
      </c>
      <c r="H93" s="151">
        <v>350.8</v>
      </c>
      <c r="I93" s="151">
        <v>410.7</v>
      </c>
      <c r="J93" s="151">
        <v>418.5</v>
      </c>
      <c r="K93" s="151">
        <v>438.7</v>
      </c>
      <c r="L93" s="151">
        <v>405.9</v>
      </c>
      <c r="M93" s="151">
        <v>335.7</v>
      </c>
      <c r="N93" s="151">
        <v>270.8</v>
      </c>
      <c r="O93" s="151">
        <v>201.7</v>
      </c>
      <c r="P93" s="151">
        <v>182.8</v>
      </c>
      <c r="R93" s="151">
        <v>62.8</v>
      </c>
      <c r="S93" s="151">
        <v>81.7</v>
      </c>
      <c r="T93" s="151">
        <v>128.69999999999999</v>
      </c>
      <c r="U93" s="151">
        <v>165.8</v>
      </c>
      <c r="V93" s="151">
        <v>208.7</v>
      </c>
      <c r="W93" s="151">
        <v>222.7</v>
      </c>
      <c r="X93" s="151">
        <v>230.5</v>
      </c>
      <c r="Y93" s="151">
        <v>205.7</v>
      </c>
      <c r="Z93" s="151">
        <v>155.5</v>
      </c>
      <c r="AA93" s="151">
        <v>110.7</v>
      </c>
      <c r="AB93" s="151">
        <v>74.8</v>
      </c>
      <c r="AC93" s="151">
        <v>58.7</v>
      </c>
      <c r="BC93" s="151">
        <v>14.28</v>
      </c>
      <c r="BD93" s="151">
        <v>13.26</v>
      </c>
      <c r="BE93" s="151">
        <v>12.01</v>
      </c>
      <c r="BF93" s="151">
        <v>10.46</v>
      </c>
      <c r="BG93" s="151">
        <v>9.42</v>
      </c>
      <c r="BH93" s="151">
        <v>9.14</v>
      </c>
      <c r="BI93" s="151">
        <v>9.3000000000000007</v>
      </c>
      <c r="BJ93" s="151">
        <v>10.26</v>
      </c>
      <c r="BK93" s="151">
        <v>11.48</v>
      </c>
      <c r="BL93" s="151">
        <v>13.08</v>
      </c>
      <c r="BM93" s="151">
        <v>14.18</v>
      </c>
      <c r="BN93" s="151">
        <v>14.42</v>
      </c>
    </row>
    <row r="94" spans="1:66">
      <c r="A94" s="151" t="s">
        <v>912</v>
      </c>
      <c r="B94" s="707" t="s">
        <v>913</v>
      </c>
      <c r="C94" s="151" t="s">
        <v>914</v>
      </c>
      <c r="E94" s="151">
        <v>212.4</v>
      </c>
      <c r="F94" s="151">
        <v>242.3</v>
      </c>
      <c r="G94" s="151">
        <v>340.6</v>
      </c>
      <c r="H94" s="151">
        <v>384.4</v>
      </c>
      <c r="I94" s="151">
        <v>450.5</v>
      </c>
      <c r="J94" s="151">
        <v>458.1</v>
      </c>
      <c r="K94" s="151">
        <v>478.1</v>
      </c>
      <c r="L94" s="151">
        <v>446.3</v>
      </c>
      <c r="M94" s="151">
        <v>372.5</v>
      </c>
      <c r="N94" s="151">
        <v>304.3</v>
      </c>
      <c r="O94" s="151">
        <v>232.5</v>
      </c>
      <c r="P94" s="151">
        <v>204.3</v>
      </c>
      <c r="R94" s="151">
        <v>76.400000000000006</v>
      </c>
      <c r="S94" s="151">
        <v>96.4</v>
      </c>
      <c r="T94" s="151">
        <v>156.4</v>
      </c>
      <c r="U94" s="151">
        <v>197.4</v>
      </c>
      <c r="V94" s="151">
        <v>246.4</v>
      </c>
      <c r="W94" s="151">
        <v>260.3</v>
      </c>
      <c r="X94" s="151">
        <v>270.3</v>
      </c>
      <c r="Y94" s="151">
        <v>243.3</v>
      </c>
      <c r="Z94" s="151">
        <v>189.3</v>
      </c>
      <c r="AA94" s="151">
        <v>138.30000000000001</v>
      </c>
      <c r="AB94" s="151">
        <v>96.4</v>
      </c>
      <c r="AC94" s="151">
        <v>76.400000000000006</v>
      </c>
      <c r="BC94" s="151">
        <v>14.08</v>
      </c>
      <c r="BD94" s="151">
        <v>13.1</v>
      </c>
      <c r="BE94" s="151">
        <v>12</v>
      </c>
      <c r="BF94" s="151">
        <v>10.58</v>
      </c>
      <c r="BG94" s="151">
        <v>10</v>
      </c>
      <c r="BH94" s="151">
        <v>9.36</v>
      </c>
      <c r="BI94" s="151">
        <v>9.5</v>
      </c>
      <c r="BJ94" s="151">
        <v>10.4</v>
      </c>
      <c r="BK94" s="151">
        <v>11.48</v>
      </c>
      <c r="BL94" s="151">
        <v>12.56</v>
      </c>
      <c r="BM94" s="151">
        <v>13.58</v>
      </c>
      <c r="BN94" s="151">
        <v>14.19</v>
      </c>
    </row>
    <row r="95" spans="1:66">
      <c r="A95" s="151" t="s">
        <v>915</v>
      </c>
      <c r="B95" s="707" t="s">
        <v>916</v>
      </c>
      <c r="C95" s="151" t="s">
        <v>917</v>
      </c>
      <c r="E95" s="151">
        <v>204.2</v>
      </c>
      <c r="F95" s="151">
        <v>234.1</v>
      </c>
      <c r="G95" s="151">
        <v>330.4</v>
      </c>
      <c r="H95" s="151">
        <v>374.2</v>
      </c>
      <c r="I95" s="151">
        <v>438.2</v>
      </c>
      <c r="J95" s="151">
        <v>445.8</v>
      </c>
      <c r="K95" s="151">
        <v>465.8</v>
      </c>
      <c r="L95" s="151">
        <v>434.1</v>
      </c>
      <c r="M95" s="151">
        <v>362.2</v>
      </c>
      <c r="N95" s="151">
        <v>294.3</v>
      </c>
      <c r="O95" s="151">
        <v>222.3</v>
      </c>
      <c r="P95" s="151">
        <v>194.1</v>
      </c>
      <c r="R95" s="151">
        <v>68.2</v>
      </c>
      <c r="S95" s="151">
        <v>88.1</v>
      </c>
      <c r="T95" s="151">
        <v>144.19999999999999</v>
      </c>
      <c r="U95" s="151">
        <v>184.2</v>
      </c>
      <c r="V95" s="151">
        <v>230.2</v>
      </c>
      <c r="W95" s="151">
        <v>243.8</v>
      </c>
      <c r="X95" s="151">
        <v>253.8</v>
      </c>
      <c r="Y95" s="151">
        <v>226.1</v>
      </c>
      <c r="Z95" s="151">
        <v>174.2</v>
      </c>
      <c r="AA95" s="151">
        <v>126.3</v>
      </c>
      <c r="AB95" s="151">
        <v>86.3</v>
      </c>
      <c r="AC95" s="151">
        <v>66.099999999999994</v>
      </c>
      <c r="BC95" s="151">
        <v>14.16</v>
      </c>
      <c r="BD95" s="151">
        <v>13.16</v>
      </c>
      <c r="BE95" s="151">
        <v>12.01</v>
      </c>
      <c r="BF95" s="151">
        <v>10.53</v>
      </c>
      <c r="BG95" s="151">
        <v>9.5299999999999994</v>
      </c>
      <c r="BH95" s="151">
        <v>9.2799999999999994</v>
      </c>
      <c r="BI95" s="151">
        <v>9.42</v>
      </c>
      <c r="BJ95" s="151">
        <v>10.33</v>
      </c>
      <c r="BK95" s="151">
        <v>11.48</v>
      </c>
      <c r="BL95" s="151">
        <v>13.02</v>
      </c>
      <c r="BM95" s="151">
        <v>14.06</v>
      </c>
      <c r="BN95" s="151">
        <v>14.28</v>
      </c>
    </row>
    <row r="96" spans="1:66">
      <c r="A96" s="151" t="s">
        <v>918</v>
      </c>
      <c r="B96" s="707" t="s">
        <v>919</v>
      </c>
      <c r="C96" s="151" t="s">
        <v>920</v>
      </c>
      <c r="E96" s="151">
        <v>157.4</v>
      </c>
      <c r="F96" s="151">
        <v>184.3</v>
      </c>
      <c r="G96" s="151">
        <v>265.39999999999998</v>
      </c>
      <c r="H96" s="151">
        <v>286.8</v>
      </c>
      <c r="I96" s="151">
        <v>343.7</v>
      </c>
      <c r="J96" s="151">
        <v>357.4</v>
      </c>
      <c r="K96" s="151">
        <v>377.1</v>
      </c>
      <c r="L96" s="151">
        <v>342.7</v>
      </c>
      <c r="M96" s="151">
        <v>273.7</v>
      </c>
      <c r="N96" s="151">
        <v>214.1</v>
      </c>
      <c r="O96" s="151">
        <v>161.80000000000001</v>
      </c>
      <c r="P96" s="151">
        <v>147.4</v>
      </c>
      <c r="R96" s="151">
        <v>50.1</v>
      </c>
      <c r="S96" s="151">
        <v>68.400000000000006</v>
      </c>
      <c r="T96" s="151">
        <v>114.1</v>
      </c>
      <c r="U96" s="151">
        <v>144.69999999999999</v>
      </c>
      <c r="V96" s="151">
        <v>191.1</v>
      </c>
      <c r="W96" s="151">
        <v>207.4</v>
      </c>
      <c r="X96" s="151">
        <v>222.8</v>
      </c>
      <c r="Y96" s="151">
        <v>188.7</v>
      </c>
      <c r="Z96" s="151">
        <v>134.69999999999999</v>
      </c>
      <c r="AA96" s="151">
        <v>90.1</v>
      </c>
      <c r="AB96" s="151">
        <v>54</v>
      </c>
      <c r="AC96" s="151">
        <v>42.7</v>
      </c>
      <c r="BC96" s="151">
        <v>15.04</v>
      </c>
      <c r="BD96" s="151">
        <v>13.44</v>
      </c>
      <c r="BE96" s="151">
        <v>12.02</v>
      </c>
      <c r="BF96" s="151">
        <v>10.33</v>
      </c>
      <c r="BG96" s="151">
        <v>9.15</v>
      </c>
      <c r="BH96" s="151">
        <v>8.42</v>
      </c>
      <c r="BI96" s="151">
        <v>8.59</v>
      </c>
      <c r="BJ96" s="151">
        <v>10.119999999999999</v>
      </c>
      <c r="BK96" s="151">
        <v>11.46</v>
      </c>
      <c r="BL96" s="151">
        <v>13.2</v>
      </c>
      <c r="BM96" s="151">
        <v>14.48</v>
      </c>
      <c r="BN96" s="151">
        <v>15.18</v>
      </c>
    </row>
    <row r="97" spans="1:84">
      <c r="A97" s="151" t="s">
        <v>921</v>
      </c>
      <c r="B97" s="707" t="s">
        <v>922</v>
      </c>
      <c r="C97" s="151" t="s">
        <v>923</v>
      </c>
      <c r="E97" s="151">
        <v>201.8</v>
      </c>
      <c r="F97" s="151">
        <v>230.1</v>
      </c>
      <c r="G97" s="151">
        <v>325.10000000000002</v>
      </c>
      <c r="H97" s="151">
        <v>368.1</v>
      </c>
      <c r="I97" s="151">
        <v>429.9</v>
      </c>
      <c r="J97" s="151">
        <v>438.1</v>
      </c>
      <c r="K97" s="151">
        <v>458.2</v>
      </c>
      <c r="L97" s="151">
        <v>425.1</v>
      </c>
      <c r="M97" s="151">
        <v>355.1</v>
      </c>
      <c r="N97" s="151">
        <v>288.10000000000002</v>
      </c>
      <c r="O97" s="151">
        <v>215.1</v>
      </c>
      <c r="P97" s="151">
        <v>192.1</v>
      </c>
      <c r="R97" s="151">
        <v>68.099999999999994</v>
      </c>
      <c r="S97" s="151">
        <v>88.1</v>
      </c>
      <c r="T97" s="151">
        <v>142.19999999999999</v>
      </c>
      <c r="U97" s="151">
        <v>182.1</v>
      </c>
      <c r="V97" s="151">
        <v>228.3</v>
      </c>
      <c r="W97" s="151">
        <v>242.2</v>
      </c>
      <c r="X97" s="151">
        <v>252.1</v>
      </c>
      <c r="Y97" s="151">
        <v>225.1</v>
      </c>
      <c r="Z97" s="151">
        <v>172.1</v>
      </c>
      <c r="AA97" s="151">
        <v>125.1</v>
      </c>
      <c r="AB97" s="151">
        <v>85.1</v>
      </c>
      <c r="AC97" s="151">
        <v>65.099999999999994</v>
      </c>
      <c r="BC97" s="151">
        <v>14.18</v>
      </c>
      <c r="BD97" s="151">
        <v>13.18</v>
      </c>
      <c r="BE97" s="151">
        <v>12.01</v>
      </c>
      <c r="BF97" s="151">
        <v>10.52</v>
      </c>
      <c r="BG97" s="151">
        <v>9.51</v>
      </c>
      <c r="BH97" s="151">
        <v>9.26</v>
      </c>
      <c r="BI97" s="151">
        <v>9.4</v>
      </c>
      <c r="BJ97" s="151">
        <v>10.32</v>
      </c>
      <c r="BK97" s="151">
        <v>11.48</v>
      </c>
      <c r="BL97" s="151">
        <v>13.03</v>
      </c>
      <c r="BM97" s="151">
        <v>14.08</v>
      </c>
      <c r="BN97" s="151">
        <v>14.31</v>
      </c>
    </row>
    <row r="98" spans="1:84">
      <c r="A98" s="151" t="s">
        <v>924</v>
      </c>
      <c r="B98" s="707" t="s">
        <v>925</v>
      </c>
      <c r="C98" s="151" t="s">
        <v>926</v>
      </c>
      <c r="E98" s="151">
        <v>201.6</v>
      </c>
      <c r="F98" s="151">
        <v>229.9</v>
      </c>
      <c r="G98" s="151">
        <v>324.89999999999998</v>
      </c>
      <c r="H98" s="151">
        <v>367.9</v>
      </c>
      <c r="I98" s="151">
        <v>429.7</v>
      </c>
      <c r="J98" s="151">
        <v>437.9</v>
      </c>
      <c r="K98" s="151">
        <v>458</v>
      </c>
      <c r="L98" s="151">
        <v>424.9</v>
      </c>
      <c r="M98" s="151">
        <v>354.9</v>
      </c>
      <c r="N98" s="151">
        <v>287.89999999999998</v>
      </c>
      <c r="O98" s="151">
        <v>214.9</v>
      </c>
      <c r="P98" s="151">
        <v>191.9</v>
      </c>
      <c r="R98" s="151">
        <v>67.900000000000006</v>
      </c>
      <c r="S98" s="151">
        <v>87.9</v>
      </c>
      <c r="T98" s="151">
        <v>142</v>
      </c>
      <c r="U98" s="151">
        <v>181.9</v>
      </c>
      <c r="V98" s="151">
        <v>228.1</v>
      </c>
      <c r="W98" s="151">
        <v>242</v>
      </c>
      <c r="X98" s="151">
        <v>251.9</v>
      </c>
      <c r="Y98" s="151">
        <v>224.9</v>
      </c>
      <c r="Z98" s="151">
        <v>171.9</v>
      </c>
      <c r="AA98" s="151">
        <v>124.9</v>
      </c>
      <c r="AB98" s="151">
        <v>84.9</v>
      </c>
      <c r="AC98" s="151">
        <v>64.900000000000006</v>
      </c>
      <c r="BC98" s="151">
        <v>14.18</v>
      </c>
      <c r="BD98" s="151">
        <v>13.18</v>
      </c>
      <c r="BE98" s="151">
        <v>12.01</v>
      </c>
      <c r="BF98" s="151">
        <v>10.52</v>
      </c>
      <c r="BG98" s="151">
        <v>9.51</v>
      </c>
      <c r="BH98" s="151">
        <v>9.26</v>
      </c>
      <c r="BI98" s="151">
        <v>9.4</v>
      </c>
      <c r="BJ98" s="151">
        <v>10.32</v>
      </c>
      <c r="BK98" s="151">
        <v>11.48</v>
      </c>
      <c r="BL98" s="151">
        <v>13.03</v>
      </c>
      <c r="BM98" s="151">
        <v>14.08</v>
      </c>
      <c r="BN98" s="151">
        <v>14.31</v>
      </c>
    </row>
    <row r="99" spans="1:84">
      <c r="A99" s="151" t="s">
        <v>927</v>
      </c>
      <c r="B99" s="707" t="s">
        <v>928</v>
      </c>
      <c r="C99" s="151" t="s">
        <v>929</v>
      </c>
      <c r="E99" s="151">
        <v>128.5</v>
      </c>
      <c r="F99" s="151">
        <v>154.19999999999999</v>
      </c>
      <c r="G99" s="151">
        <v>240.1</v>
      </c>
      <c r="H99" s="151">
        <v>270.39999999999998</v>
      </c>
      <c r="I99" s="151">
        <v>330.1</v>
      </c>
      <c r="J99" s="151">
        <v>353.4</v>
      </c>
      <c r="K99" s="151">
        <v>373.6</v>
      </c>
      <c r="L99" s="151">
        <v>333.2</v>
      </c>
      <c r="M99" s="151">
        <v>260.39999999999998</v>
      </c>
      <c r="N99" s="151">
        <v>200.5</v>
      </c>
      <c r="O99" s="151">
        <v>138.4</v>
      </c>
      <c r="P99" s="151">
        <v>120.5</v>
      </c>
      <c r="R99" s="151">
        <v>31.5</v>
      </c>
      <c r="S99" s="151">
        <v>52.2</v>
      </c>
      <c r="T99" s="151">
        <v>94.4</v>
      </c>
      <c r="U99" s="151">
        <v>128.4</v>
      </c>
      <c r="V99" s="151">
        <v>173.6</v>
      </c>
      <c r="W99" s="151">
        <v>200.4</v>
      </c>
      <c r="X99" s="151">
        <v>218.1</v>
      </c>
      <c r="Y99" s="151">
        <v>180.4</v>
      </c>
      <c r="Z99" s="151">
        <v>123.4</v>
      </c>
      <c r="AA99" s="151">
        <v>78.5</v>
      </c>
      <c r="AB99" s="151">
        <v>38.4</v>
      </c>
      <c r="AC99" s="151">
        <v>28.4</v>
      </c>
      <c r="BC99" s="151">
        <v>15.14</v>
      </c>
      <c r="BD99" s="151">
        <v>13.48</v>
      </c>
      <c r="BE99" s="151">
        <v>12.05</v>
      </c>
      <c r="BF99" s="151">
        <v>10.26</v>
      </c>
      <c r="BG99" s="151">
        <v>9.08</v>
      </c>
      <c r="BH99" s="151">
        <v>8.33</v>
      </c>
      <c r="BI99" s="151">
        <v>8.52</v>
      </c>
      <c r="BJ99" s="151">
        <v>10.09</v>
      </c>
      <c r="BK99" s="151">
        <v>11.45</v>
      </c>
      <c r="BL99" s="151">
        <v>13.28</v>
      </c>
      <c r="BM99" s="151">
        <v>14.58</v>
      </c>
      <c r="BN99" s="151">
        <v>15.3</v>
      </c>
    </row>
    <row r="100" spans="1:84">
      <c r="A100" s="151" t="s">
        <v>768</v>
      </c>
      <c r="B100" s="707" t="s">
        <v>769</v>
      </c>
      <c r="C100" s="151" t="s">
        <v>770</v>
      </c>
      <c r="E100" s="151">
        <v>186.1</v>
      </c>
      <c r="F100" s="151">
        <v>213.1</v>
      </c>
      <c r="G100" s="151">
        <v>299.10000000000002</v>
      </c>
      <c r="H100" s="151">
        <v>335.9</v>
      </c>
      <c r="I100" s="151">
        <v>390.9</v>
      </c>
      <c r="J100" s="151">
        <v>399.2</v>
      </c>
      <c r="K100" s="151">
        <v>419.2</v>
      </c>
      <c r="L100" s="151">
        <v>386.1</v>
      </c>
      <c r="M100" s="151">
        <v>320.8</v>
      </c>
      <c r="N100" s="151">
        <v>259.10000000000002</v>
      </c>
      <c r="O100" s="151">
        <v>193.1</v>
      </c>
      <c r="P100" s="151">
        <v>173.2</v>
      </c>
      <c r="R100" s="151">
        <v>60.8</v>
      </c>
      <c r="S100" s="151">
        <v>79.099999999999994</v>
      </c>
      <c r="T100" s="151">
        <v>123.1</v>
      </c>
      <c r="U100" s="151">
        <v>159.1</v>
      </c>
      <c r="V100" s="151">
        <v>199.1</v>
      </c>
      <c r="W100" s="151">
        <v>211.1</v>
      </c>
      <c r="X100" s="151">
        <v>219.2</v>
      </c>
      <c r="Y100" s="151">
        <v>193.1</v>
      </c>
      <c r="Z100" s="151">
        <v>146.19999999999999</v>
      </c>
      <c r="AA100" s="151">
        <v>106.1</v>
      </c>
      <c r="AB100" s="151">
        <v>73.099999999999994</v>
      </c>
      <c r="AC100" s="151">
        <v>56.1</v>
      </c>
      <c r="AU100" s="151" t="s">
        <v>930</v>
      </c>
      <c r="BU100" s="151">
        <v>14.37</v>
      </c>
      <c r="BV100" s="151">
        <v>13.32</v>
      </c>
      <c r="BW100" s="151">
        <v>12.02</v>
      </c>
      <c r="BX100" s="151">
        <v>10.41</v>
      </c>
      <c r="BY100" s="151">
        <v>9.32</v>
      </c>
      <c r="BZ100" s="151">
        <v>9.0299999999999994</v>
      </c>
      <c r="CA100" s="151">
        <v>9.19</v>
      </c>
      <c r="CB100" s="151">
        <v>10.199999999999999</v>
      </c>
      <c r="CC100" s="151">
        <v>11.48</v>
      </c>
      <c r="CD100" s="151">
        <v>13.14</v>
      </c>
      <c r="CE100" s="151">
        <v>14.27</v>
      </c>
      <c r="CF100" s="151">
        <v>14.53</v>
      </c>
    </row>
    <row r="104" spans="1:84">
      <c r="A104" s="151" t="s">
        <v>931</v>
      </c>
      <c r="B104" s="707" t="s">
        <v>932</v>
      </c>
      <c r="C104" s="151" t="s">
        <v>933</v>
      </c>
      <c r="E104" s="151">
        <v>186.8</v>
      </c>
      <c r="F104" s="151">
        <v>214.1</v>
      </c>
      <c r="G104" s="151">
        <v>304.5</v>
      </c>
      <c r="H104" s="151">
        <v>344.8</v>
      </c>
      <c r="I104" s="151">
        <v>401.1</v>
      </c>
      <c r="J104" s="151">
        <v>408</v>
      </c>
      <c r="K104" s="151">
        <v>427.6</v>
      </c>
      <c r="L104" s="151">
        <v>395.1</v>
      </c>
      <c r="M104" s="151">
        <v>328.1</v>
      </c>
      <c r="N104" s="151">
        <v>264.8</v>
      </c>
      <c r="O104" s="151">
        <v>198.1</v>
      </c>
      <c r="P104" s="151">
        <v>178.1</v>
      </c>
      <c r="R104" s="151">
        <v>60.8</v>
      </c>
      <c r="S104" s="151">
        <v>79.5</v>
      </c>
      <c r="T104" s="151">
        <v>127.1</v>
      </c>
      <c r="U104" s="151">
        <v>164.2</v>
      </c>
      <c r="V104" s="151">
        <v>204.5</v>
      </c>
      <c r="W104" s="151">
        <v>218.1</v>
      </c>
      <c r="X104" s="151">
        <v>226.6</v>
      </c>
      <c r="Y104" s="151">
        <v>201.1</v>
      </c>
      <c r="Z104" s="151">
        <v>151.1</v>
      </c>
      <c r="AA104" s="151">
        <v>110.2</v>
      </c>
      <c r="AB104" s="151">
        <v>76.400000000000006</v>
      </c>
      <c r="AC104" s="151">
        <v>58.4</v>
      </c>
      <c r="BC104" s="151">
        <v>14.38</v>
      </c>
      <c r="BD104" s="151">
        <v>13.32</v>
      </c>
      <c r="BE104" s="151">
        <v>12.02</v>
      </c>
      <c r="BF104" s="151">
        <v>10.41</v>
      </c>
      <c r="BG104" s="151">
        <v>9.33</v>
      </c>
      <c r="BH104" s="151">
        <v>9.0399999999999991</v>
      </c>
      <c r="BI104" s="151">
        <v>9.1999999999999993</v>
      </c>
      <c r="BJ104" s="151">
        <v>10.210000000000001</v>
      </c>
      <c r="BK104" s="151">
        <v>11.48</v>
      </c>
      <c r="BL104" s="151">
        <v>13.13</v>
      </c>
      <c r="BM104" s="151">
        <v>14.28</v>
      </c>
      <c r="BN104" s="151">
        <v>14.54</v>
      </c>
    </row>
    <row r="105" spans="1:84">
      <c r="A105" s="151" t="s">
        <v>934</v>
      </c>
      <c r="B105" s="707" t="s">
        <v>935</v>
      </c>
      <c r="C105" s="151" t="s">
        <v>936</v>
      </c>
      <c r="E105" s="151">
        <v>186.1</v>
      </c>
      <c r="F105" s="151">
        <v>213.4</v>
      </c>
      <c r="G105" s="151">
        <v>303.5</v>
      </c>
      <c r="H105" s="151">
        <v>343.8</v>
      </c>
      <c r="I105" s="151">
        <v>400.1</v>
      </c>
      <c r="J105" s="151">
        <v>407.2</v>
      </c>
      <c r="K105" s="151">
        <v>426.5</v>
      </c>
      <c r="L105" s="151">
        <v>394.1</v>
      </c>
      <c r="M105" s="151">
        <v>327.39999999999998</v>
      </c>
      <c r="N105" s="151">
        <v>264.10000000000002</v>
      </c>
      <c r="O105" s="151">
        <v>197.4</v>
      </c>
      <c r="P105" s="151">
        <v>177.1</v>
      </c>
      <c r="R105" s="151">
        <v>60.4</v>
      </c>
      <c r="S105" s="151">
        <v>79.099999999999994</v>
      </c>
      <c r="T105" s="151">
        <v>126.4</v>
      </c>
      <c r="U105" s="151">
        <v>163.5</v>
      </c>
      <c r="V105" s="151">
        <v>203.5</v>
      </c>
      <c r="W105" s="151">
        <v>217.2</v>
      </c>
      <c r="X105" s="151">
        <v>225.5</v>
      </c>
      <c r="Y105" s="151">
        <v>200.4</v>
      </c>
      <c r="Z105" s="151">
        <v>150.5</v>
      </c>
      <c r="AA105" s="151">
        <v>109.5</v>
      </c>
      <c r="AB105" s="151">
        <v>75.8</v>
      </c>
      <c r="AC105" s="151">
        <v>57.8</v>
      </c>
      <c r="BC105" s="151">
        <v>14.38</v>
      </c>
      <c r="BD105" s="151">
        <v>13.32</v>
      </c>
      <c r="BE105" s="151">
        <v>12.02</v>
      </c>
      <c r="BF105" s="151">
        <v>10.41</v>
      </c>
      <c r="BG105" s="151">
        <v>9.32</v>
      </c>
      <c r="BH105" s="151">
        <v>9.0399999999999991</v>
      </c>
      <c r="BI105" s="151">
        <v>9.1999999999999993</v>
      </c>
      <c r="BJ105" s="151">
        <v>10.210000000000001</v>
      </c>
      <c r="BK105" s="151">
        <v>11.48</v>
      </c>
      <c r="BL105" s="151">
        <v>13.13</v>
      </c>
      <c r="BM105" s="151">
        <v>14.28</v>
      </c>
      <c r="BN105" s="151">
        <v>14.54</v>
      </c>
    </row>
    <row r="106" spans="1:84">
      <c r="A106" s="151" t="s">
        <v>937</v>
      </c>
      <c r="B106" s="707" t="s">
        <v>938</v>
      </c>
      <c r="C106" s="151" t="s">
        <v>939</v>
      </c>
      <c r="E106" s="151">
        <v>195.8</v>
      </c>
      <c r="F106" s="151">
        <v>222.8</v>
      </c>
      <c r="G106" s="151">
        <v>312.89999999999998</v>
      </c>
      <c r="H106" s="151">
        <v>352.8</v>
      </c>
      <c r="I106" s="151">
        <v>412.8</v>
      </c>
      <c r="J106" s="151">
        <v>418.6</v>
      </c>
      <c r="K106" s="151">
        <v>438.8</v>
      </c>
      <c r="L106" s="151">
        <v>406</v>
      </c>
      <c r="M106" s="151">
        <v>335.6</v>
      </c>
      <c r="N106" s="151">
        <v>272.8</v>
      </c>
      <c r="O106" s="151">
        <v>206</v>
      </c>
      <c r="P106" s="151">
        <v>182.8</v>
      </c>
      <c r="R106" s="151">
        <v>63.8</v>
      </c>
      <c r="S106" s="151">
        <v>82.8</v>
      </c>
      <c r="T106" s="151">
        <v>132.9</v>
      </c>
      <c r="U106" s="151">
        <v>168.6</v>
      </c>
      <c r="V106" s="151">
        <v>212.8</v>
      </c>
      <c r="W106" s="151">
        <v>225.8</v>
      </c>
      <c r="X106" s="151">
        <v>235.6</v>
      </c>
      <c r="Y106" s="151">
        <v>208.8</v>
      </c>
      <c r="Z106" s="151">
        <v>158.6</v>
      </c>
      <c r="AA106" s="151">
        <v>112.9</v>
      </c>
      <c r="AB106" s="151">
        <v>78.8</v>
      </c>
      <c r="AC106" s="151">
        <v>60.9</v>
      </c>
      <c r="BC106" s="151">
        <v>14.28</v>
      </c>
      <c r="BD106" s="151">
        <v>13.26</v>
      </c>
      <c r="BE106" s="151">
        <v>12.01</v>
      </c>
      <c r="BF106" s="151">
        <v>10.46</v>
      </c>
      <c r="BG106" s="151">
        <v>9.42</v>
      </c>
      <c r="BH106" s="151">
        <v>9.14</v>
      </c>
      <c r="BI106" s="151">
        <v>9.3000000000000007</v>
      </c>
      <c r="BJ106" s="151">
        <v>10.26</v>
      </c>
      <c r="BK106" s="151">
        <v>11.48</v>
      </c>
      <c r="BL106" s="151">
        <v>13.08</v>
      </c>
      <c r="BM106" s="151">
        <v>14.18</v>
      </c>
      <c r="BN106" s="151">
        <v>14.42</v>
      </c>
    </row>
    <row r="107" spans="1:84">
      <c r="A107" s="151" t="s">
        <v>940</v>
      </c>
      <c r="B107" s="707" t="s">
        <v>941</v>
      </c>
      <c r="C107" s="151" t="s">
        <v>942</v>
      </c>
      <c r="E107" s="151">
        <v>194.5</v>
      </c>
      <c r="F107" s="151">
        <v>221.8</v>
      </c>
      <c r="G107" s="151">
        <v>311.89999999999998</v>
      </c>
      <c r="H107" s="151">
        <v>351.8</v>
      </c>
      <c r="I107" s="151">
        <v>411.8</v>
      </c>
      <c r="J107" s="151">
        <v>417.6</v>
      </c>
      <c r="K107" s="151">
        <v>437.8</v>
      </c>
      <c r="L107" s="151">
        <v>405</v>
      </c>
      <c r="M107" s="151">
        <v>334.6</v>
      </c>
      <c r="N107" s="151">
        <v>271.8</v>
      </c>
      <c r="O107" s="151">
        <v>205</v>
      </c>
      <c r="P107" s="151">
        <v>181.8</v>
      </c>
      <c r="R107" s="151">
        <v>62.5</v>
      </c>
      <c r="S107" s="151">
        <v>81.400000000000006</v>
      </c>
      <c r="T107" s="151">
        <v>131.6</v>
      </c>
      <c r="U107" s="151">
        <v>167.8</v>
      </c>
      <c r="V107" s="151">
        <v>211.8</v>
      </c>
      <c r="W107" s="151">
        <v>224.8</v>
      </c>
      <c r="X107" s="151">
        <v>233.5</v>
      </c>
      <c r="Y107" s="151">
        <v>206.5</v>
      </c>
      <c r="Z107" s="151">
        <v>156.5</v>
      </c>
      <c r="AA107" s="151">
        <v>111.8</v>
      </c>
      <c r="AB107" s="151">
        <v>78.099999999999994</v>
      </c>
      <c r="AC107" s="151">
        <v>61.1</v>
      </c>
      <c r="BC107" s="151">
        <v>14.32</v>
      </c>
      <c r="BD107" s="151">
        <v>13.28</v>
      </c>
      <c r="BE107" s="151">
        <v>12.02</v>
      </c>
      <c r="BF107" s="151">
        <v>10.43</v>
      </c>
      <c r="BG107" s="151">
        <v>9.3800000000000008</v>
      </c>
      <c r="BH107" s="151">
        <v>9.1</v>
      </c>
      <c r="BI107" s="151">
        <v>9.26</v>
      </c>
      <c r="BJ107" s="151">
        <v>10.24</v>
      </c>
      <c r="BK107" s="151">
        <v>11.48</v>
      </c>
      <c r="BL107" s="151">
        <v>13.1</v>
      </c>
      <c r="BM107" s="151">
        <v>14.22</v>
      </c>
      <c r="BN107" s="151">
        <v>14.48</v>
      </c>
    </row>
    <row r="108" spans="1:84">
      <c r="A108" s="151" t="s">
        <v>943</v>
      </c>
      <c r="B108" s="707" t="s">
        <v>944</v>
      </c>
      <c r="C108" s="151" t="s">
        <v>945</v>
      </c>
      <c r="E108" s="151">
        <v>202.3</v>
      </c>
      <c r="F108" s="151">
        <v>231.4</v>
      </c>
      <c r="G108" s="151">
        <v>325.7</v>
      </c>
      <c r="H108" s="151">
        <v>368.3</v>
      </c>
      <c r="I108" s="151">
        <v>430.3</v>
      </c>
      <c r="J108" s="151">
        <v>438.4</v>
      </c>
      <c r="K108" s="151">
        <v>458.4</v>
      </c>
      <c r="L108" s="151">
        <v>425.3</v>
      </c>
      <c r="M108" s="151">
        <v>355.3</v>
      </c>
      <c r="N108" s="151">
        <v>288.3</v>
      </c>
      <c r="O108" s="151">
        <v>215.3</v>
      </c>
      <c r="P108" s="151">
        <v>192.3</v>
      </c>
      <c r="R108" s="151">
        <v>68.3</v>
      </c>
      <c r="S108" s="151">
        <v>88.3</v>
      </c>
      <c r="T108" s="151">
        <v>142.4</v>
      </c>
      <c r="U108" s="151">
        <v>182.3</v>
      </c>
      <c r="V108" s="151">
        <v>228.3</v>
      </c>
      <c r="W108" s="151">
        <v>242.4</v>
      </c>
      <c r="X108" s="151">
        <v>252.3</v>
      </c>
      <c r="Y108" s="151">
        <v>225.3</v>
      </c>
      <c r="Z108" s="151">
        <v>172.3</v>
      </c>
      <c r="AA108" s="151">
        <v>125.3</v>
      </c>
      <c r="AB108" s="151">
        <v>85.3</v>
      </c>
      <c r="AC108" s="151">
        <v>65.3</v>
      </c>
      <c r="BC108" s="151">
        <v>14.17</v>
      </c>
      <c r="BD108" s="151">
        <v>13.17</v>
      </c>
      <c r="BE108" s="151">
        <v>12.01</v>
      </c>
      <c r="BF108" s="151">
        <v>10.52</v>
      </c>
      <c r="BG108" s="151">
        <v>9.52</v>
      </c>
      <c r="BH108" s="151">
        <v>9.27</v>
      </c>
      <c r="BI108" s="151">
        <v>9.41</v>
      </c>
      <c r="BJ108" s="151">
        <v>10.32</v>
      </c>
      <c r="BK108" s="151">
        <v>11.48</v>
      </c>
      <c r="BL108" s="151">
        <v>13.02</v>
      </c>
      <c r="BM108" s="151">
        <v>14.07</v>
      </c>
      <c r="BN108" s="151">
        <v>14.3</v>
      </c>
    </row>
    <row r="109" spans="1:84">
      <c r="A109" s="151" t="s">
        <v>946</v>
      </c>
      <c r="B109" s="707" t="s">
        <v>947</v>
      </c>
      <c r="C109" s="151" t="s">
        <v>948</v>
      </c>
      <c r="E109" s="151">
        <v>159.19999999999999</v>
      </c>
      <c r="F109" s="151">
        <v>186.1</v>
      </c>
      <c r="G109" s="151">
        <v>267.2</v>
      </c>
      <c r="H109" s="151">
        <v>289.5</v>
      </c>
      <c r="I109" s="151">
        <v>346.7</v>
      </c>
      <c r="J109" s="151">
        <v>359.5</v>
      </c>
      <c r="K109" s="151">
        <v>379.4</v>
      </c>
      <c r="L109" s="151">
        <v>345.6</v>
      </c>
      <c r="M109" s="151">
        <v>276.39999999999998</v>
      </c>
      <c r="N109" s="151">
        <v>216.7</v>
      </c>
      <c r="O109" s="151">
        <v>163.19999999999999</v>
      </c>
      <c r="P109" s="151">
        <v>148.9</v>
      </c>
      <c r="R109" s="151">
        <v>50.5</v>
      </c>
      <c r="S109" s="151">
        <v>68.900000000000006</v>
      </c>
      <c r="T109" s="151">
        <v>115.1</v>
      </c>
      <c r="U109" s="151">
        <v>146</v>
      </c>
      <c r="V109" s="151">
        <v>192.8</v>
      </c>
      <c r="W109" s="151">
        <v>209.1</v>
      </c>
      <c r="X109" s="151">
        <v>225.4</v>
      </c>
      <c r="Y109" s="151">
        <v>191.2</v>
      </c>
      <c r="Z109" s="151">
        <v>137</v>
      </c>
      <c r="AA109" s="151">
        <v>91.9</v>
      </c>
      <c r="AB109" s="151">
        <v>55.8</v>
      </c>
      <c r="AC109" s="151">
        <v>43.7</v>
      </c>
      <c r="BC109" s="151">
        <v>14.56</v>
      </c>
      <c r="BD109" s="151">
        <v>13.41</v>
      </c>
      <c r="BE109" s="151">
        <v>12.02</v>
      </c>
      <c r="BF109" s="151">
        <v>10.33</v>
      </c>
      <c r="BG109" s="151">
        <v>9.17</v>
      </c>
      <c r="BH109" s="151">
        <v>8.44</v>
      </c>
      <c r="BI109" s="151">
        <v>9.01</v>
      </c>
      <c r="BJ109" s="151">
        <v>10.130000000000001</v>
      </c>
      <c r="BK109" s="151">
        <v>11.46</v>
      </c>
      <c r="BL109" s="151">
        <v>13.19</v>
      </c>
      <c r="BM109" s="151">
        <v>14.47</v>
      </c>
      <c r="BN109" s="151">
        <v>15.12</v>
      </c>
    </row>
    <row r="110" spans="1:84">
      <c r="A110" s="151" t="s">
        <v>949</v>
      </c>
      <c r="B110" s="707" t="s">
        <v>950</v>
      </c>
      <c r="C110" s="151" t="s">
        <v>951</v>
      </c>
      <c r="E110" s="151">
        <v>173.4</v>
      </c>
      <c r="F110" s="151">
        <v>199.5</v>
      </c>
      <c r="G110" s="151">
        <v>283.2</v>
      </c>
      <c r="H110" s="151">
        <v>316.5</v>
      </c>
      <c r="I110" s="151">
        <v>373.4</v>
      </c>
      <c r="J110" s="151">
        <v>379.5</v>
      </c>
      <c r="K110" s="151">
        <v>399.5</v>
      </c>
      <c r="L110" s="151">
        <v>366.8</v>
      </c>
      <c r="M110" s="151">
        <v>303.5</v>
      </c>
      <c r="N110" s="151">
        <v>244.1</v>
      </c>
      <c r="O110" s="151">
        <v>179.6</v>
      </c>
      <c r="P110" s="151">
        <v>159.5</v>
      </c>
      <c r="R110" s="151">
        <v>56.8</v>
      </c>
      <c r="S110" s="151">
        <v>74.5</v>
      </c>
      <c r="T110" s="151">
        <v>119.5</v>
      </c>
      <c r="U110" s="151">
        <v>153.4</v>
      </c>
      <c r="V110" s="151">
        <v>193.4</v>
      </c>
      <c r="W110" s="151">
        <v>206.8</v>
      </c>
      <c r="X110" s="151">
        <v>213.5</v>
      </c>
      <c r="Y110" s="151">
        <v>189.5</v>
      </c>
      <c r="Z110" s="151">
        <v>143.6</v>
      </c>
      <c r="AA110" s="151">
        <v>103.4</v>
      </c>
      <c r="AB110" s="151">
        <v>69.5</v>
      </c>
      <c r="AC110" s="151">
        <v>55.4</v>
      </c>
      <c r="BC110" s="151">
        <v>14.48</v>
      </c>
      <c r="BD110" s="151">
        <v>13.39</v>
      </c>
      <c r="BE110" s="151">
        <v>12.02</v>
      </c>
      <c r="BF110" s="151">
        <v>10.38</v>
      </c>
      <c r="BG110" s="151">
        <v>9.27</v>
      </c>
      <c r="BH110" s="151">
        <v>8.57</v>
      </c>
      <c r="BI110" s="151">
        <v>9.1300000000000008</v>
      </c>
      <c r="BJ110" s="151">
        <v>10.19</v>
      </c>
      <c r="BK110" s="151">
        <v>11.47</v>
      </c>
      <c r="BL110" s="151">
        <v>13.16</v>
      </c>
      <c r="BM110" s="151">
        <v>14.39</v>
      </c>
      <c r="BN110" s="151">
        <v>15.02</v>
      </c>
    </row>
    <row r="111" spans="1:84">
      <c r="A111" s="151" t="s">
        <v>952</v>
      </c>
      <c r="B111" s="707" t="s">
        <v>953</v>
      </c>
      <c r="C111" s="151" t="s">
        <v>954</v>
      </c>
      <c r="E111" s="151">
        <v>168.5</v>
      </c>
      <c r="F111" s="151">
        <v>193.4</v>
      </c>
      <c r="G111" s="151">
        <v>276.2</v>
      </c>
      <c r="H111" s="151">
        <v>310.10000000000002</v>
      </c>
      <c r="I111" s="151">
        <v>365.4</v>
      </c>
      <c r="J111" s="151">
        <v>372.5</v>
      </c>
      <c r="K111" s="151">
        <v>392.1</v>
      </c>
      <c r="L111" s="151">
        <v>359.5</v>
      </c>
      <c r="M111" s="151">
        <v>295.39999999999998</v>
      </c>
      <c r="N111" s="151">
        <v>235.5</v>
      </c>
      <c r="O111" s="151">
        <v>172.4</v>
      </c>
      <c r="P111" s="151">
        <v>152.4</v>
      </c>
      <c r="R111" s="151">
        <v>53.5</v>
      </c>
      <c r="S111" s="151">
        <v>70.400000000000006</v>
      </c>
      <c r="T111" s="151">
        <v>113.4</v>
      </c>
      <c r="U111" s="151">
        <v>146.5</v>
      </c>
      <c r="V111" s="151">
        <v>186.4</v>
      </c>
      <c r="W111" s="151">
        <v>199.5</v>
      </c>
      <c r="X111" s="151">
        <v>206.4</v>
      </c>
      <c r="Y111" s="151">
        <v>183.2</v>
      </c>
      <c r="Z111" s="151">
        <v>136.5</v>
      </c>
      <c r="AA111" s="151">
        <v>96.6</v>
      </c>
      <c r="AB111" s="151">
        <v>63.2</v>
      </c>
      <c r="AC111" s="151">
        <v>50.5</v>
      </c>
      <c r="BC111" s="151">
        <v>14.51</v>
      </c>
      <c r="BD111" s="151">
        <v>13.41</v>
      </c>
      <c r="BE111" s="151">
        <v>12.02</v>
      </c>
      <c r="BF111" s="151">
        <v>10.37</v>
      </c>
      <c r="BG111" s="151">
        <v>9.25</v>
      </c>
      <c r="BH111" s="151">
        <v>8.5399999999999991</v>
      </c>
      <c r="BI111" s="151">
        <v>9.11</v>
      </c>
      <c r="BJ111" s="151">
        <v>10.210000000000001</v>
      </c>
      <c r="BK111" s="151">
        <v>11.47</v>
      </c>
      <c r="BL111" s="151">
        <v>13.19</v>
      </c>
      <c r="BM111" s="151">
        <v>14.41</v>
      </c>
      <c r="BN111" s="151">
        <v>15.05</v>
      </c>
    </row>
    <row r="112" spans="1:84">
      <c r="A112" s="151" t="s">
        <v>955</v>
      </c>
      <c r="B112" s="707" t="s">
        <v>956</v>
      </c>
      <c r="C112" s="151" t="s">
        <v>957</v>
      </c>
      <c r="E112" s="151">
        <v>173.8</v>
      </c>
      <c r="F112" s="151">
        <v>199.9</v>
      </c>
      <c r="G112" s="151">
        <v>283.60000000000002</v>
      </c>
      <c r="H112" s="151">
        <v>317</v>
      </c>
      <c r="I112" s="151">
        <v>373.8</v>
      </c>
      <c r="J112" s="151">
        <v>380</v>
      </c>
      <c r="K112" s="151">
        <v>400</v>
      </c>
      <c r="L112" s="151">
        <v>367.2</v>
      </c>
      <c r="M112" s="151">
        <v>303.89999999999998</v>
      </c>
      <c r="N112" s="151">
        <v>244.5</v>
      </c>
      <c r="O112" s="151">
        <v>180</v>
      </c>
      <c r="P112" s="151">
        <v>159.9</v>
      </c>
      <c r="R112" s="151">
        <v>57.2</v>
      </c>
      <c r="S112" s="151">
        <v>75</v>
      </c>
      <c r="T112" s="151">
        <v>120</v>
      </c>
      <c r="U112" s="151">
        <v>153.9</v>
      </c>
      <c r="V112" s="151">
        <v>193.9</v>
      </c>
      <c r="W112" s="151">
        <v>207.3</v>
      </c>
      <c r="X112" s="151">
        <v>214</v>
      </c>
      <c r="Y112" s="151">
        <v>190</v>
      </c>
      <c r="Z112" s="151">
        <v>144</v>
      </c>
      <c r="AA112" s="151">
        <v>103.9</v>
      </c>
      <c r="AB112" s="151">
        <v>70</v>
      </c>
      <c r="AC112" s="151">
        <v>55.9</v>
      </c>
      <c r="BC112" s="151">
        <v>14.48</v>
      </c>
      <c r="BD112" s="151">
        <v>13.38</v>
      </c>
      <c r="BE112" s="151">
        <v>12.02</v>
      </c>
      <c r="BF112" s="151">
        <v>10.38</v>
      </c>
      <c r="BG112" s="151">
        <v>9.27</v>
      </c>
      <c r="BH112" s="151">
        <v>8.57</v>
      </c>
      <c r="BI112" s="151">
        <v>9.1300000000000008</v>
      </c>
      <c r="BJ112" s="151">
        <v>10.19</v>
      </c>
      <c r="BK112" s="151">
        <v>11.47</v>
      </c>
      <c r="BL112" s="151">
        <v>13.16</v>
      </c>
      <c r="BM112" s="151">
        <v>14.38</v>
      </c>
      <c r="BN112" s="151">
        <v>15.02</v>
      </c>
    </row>
    <row r="113" spans="1:66">
      <c r="A113" s="151" t="s">
        <v>958</v>
      </c>
      <c r="B113" s="707" t="s">
        <v>959</v>
      </c>
      <c r="C113" s="151" t="s">
        <v>781</v>
      </c>
      <c r="E113" s="151">
        <v>208.2</v>
      </c>
      <c r="F113" s="151">
        <v>238.1</v>
      </c>
      <c r="G113" s="151">
        <v>335.4</v>
      </c>
      <c r="H113" s="151">
        <v>379.2</v>
      </c>
      <c r="I113" s="151">
        <v>445.2</v>
      </c>
      <c r="J113" s="151">
        <v>452.8</v>
      </c>
      <c r="K113" s="151">
        <v>472.8</v>
      </c>
      <c r="L113" s="151">
        <v>441.1</v>
      </c>
      <c r="M113" s="151">
        <v>367.2</v>
      </c>
      <c r="N113" s="151">
        <v>299.10000000000002</v>
      </c>
      <c r="O113" s="151">
        <v>227.1</v>
      </c>
      <c r="P113" s="151">
        <v>199.2</v>
      </c>
      <c r="R113" s="151">
        <v>72.2</v>
      </c>
      <c r="S113" s="151">
        <v>92.1</v>
      </c>
      <c r="T113" s="151">
        <v>151.19999999999999</v>
      </c>
      <c r="U113" s="151">
        <v>191.2</v>
      </c>
      <c r="V113" s="151">
        <v>241.2</v>
      </c>
      <c r="W113" s="151">
        <v>254.8</v>
      </c>
      <c r="X113" s="151">
        <v>264.8</v>
      </c>
      <c r="Y113" s="151">
        <v>238.1</v>
      </c>
      <c r="Z113" s="151">
        <v>184.2</v>
      </c>
      <c r="AA113" s="151">
        <v>133.1</v>
      </c>
      <c r="AB113" s="151">
        <v>91.1</v>
      </c>
      <c r="AC113" s="151">
        <v>71.099999999999994</v>
      </c>
      <c r="BC113" s="151">
        <v>14.13</v>
      </c>
      <c r="BD113" s="151">
        <v>13.14</v>
      </c>
      <c r="BE113" s="151">
        <v>12.01</v>
      </c>
      <c r="BF113" s="151">
        <v>10.56</v>
      </c>
      <c r="BG113" s="151">
        <v>9.56</v>
      </c>
      <c r="BH113" s="151">
        <v>9.32</v>
      </c>
      <c r="BI113" s="151">
        <v>9.4600000000000009</v>
      </c>
      <c r="BJ113" s="151">
        <v>10.36</v>
      </c>
      <c r="BK113" s="151">
        <v>11.48</v>
      </c>
      <c r="BL113" s="151">
        <v>12.59</v>
      </c>
      <c r="BM113" s="151">
        <v>14.03</v>
      </c>
      <c r="BN113" s="151">
        <v>14.24</v>
      </c>
    </row>
    <row r="117" spans="1:66">
      <c r="A117" s="151" t="s">
        <v>960</v>
      </c>
      <c r="B117" s="707" t="s">
        <v>961</v>
      </c>
      <c r="C117" s="151" t="s">
        <v>962</v>
      </c>
      <c r="E117" s="151">
        <v>212.8</v>
      </c>
      <c r="F117" s="151">
        <v>242.7</v>
      </c>
      <c r="G117" s="151">
        <v>341.1</v>
      </c>
      <c r="H117" s="151">
        <v>385.1</v>
      </c>
      <c r="I117" s="151">
        <v>451.2</v>
      </c>
      <c r="J117" s="151">
        <v>458.8</v>
      </c>
      <c r="K117" s="151">
        <v>478.8</v>
      </c>
      <c r="L117" s="151">
        <v>447.2</v>
      </c>
      <c r="M117" s="151">
        <v>373.4</v>
      </c>
      <c r="N117" s="151">
        <v>305.2</v>
      </c>
      <c r="O117" s="151">
        <v>233.1</v>
      </c>
      <c r="P117" s="151">
        <v>205.1</v>
      </c>
      <c r="R117" s="151">
        <v>76.8</v>
      </c>
      <c r="S117" s="151">
        <v>96.8</v>
      </c>
      <c r="T117" s="151">
        <v>157.1</v>
      </c>
      <c r="U117" s="151">
        <v>198.1</v>
      </c>
      <c r="V117" s="151">
        <v>247.2</v>
      </c>
      <c r="W117" s="151">
        <v>261.10000000000002</v>
      </c>
      <c r="X117" s="151">
        <v>271.10000000000002</v>
      </c>
      <c r="Y117" s="151">
        <v>244.1</v>
      </c>
      <c r="Z117" s="151">
        <v>190.1</v>
      </c>
      <c r="AA117" s="151">
        <v>139.1</v>
      </c>
      <c r="AB117" s="151">
        <v>97.2</v>
      </c>
      <c r="AC117" s="151">
        <v>77.2</v>
      </c>
      <c r="BC117" s="151">
        <v>14.07</v>
      </c>
      <c r="BD117" s="151">
        <v>13.09</v>
      </c>
      <c r="BE117" s="151">
        <v>12</v>
      </c>
      <c r="BF117" s="151">
        <v>10.59</v>
      </c>
      <c r="BG117" s="151">
        <v>10.01</v>
      </c>
      <c r="BH117" s="151">
        <v>9.3699999999999992</v>
      </c>
      <c r="BI117" s="151">
        <v>9.51</v>
      </c>
      <c r="BJ117" s="151">
        <v>10.41</v>
      </c>
      <c r="BK117" s="151">
        <v>11.48</v>
      </c>
      <c r="BL117" s="151">
        <v>12.56</v>
      </c>
      <c r="BM117" s="151">
        <v>13.57</v>
      </c>
      <c r="BN117" s="151">
        <v>14.18</v>
      </c>
    </row>
    <row r="118" spans="1:66">
      <c r="A118" s="151" t="s">
        <v>963</v>
      </c>
      <c r="B118" s="707" t="s">
        <v>964</v>
      </c>
      <c r="C118" s="151" t="s">
        <v>965</v>
      </c>
      <c r="E118" s="151">
        <v>154.19999999999999</v>
      </c>
      <c r="F118" s="151">
        <v>182.1</v>
      </c>
      <c r="G118" s="151">
        <v>262.39999999999998</v>
      </c>
      <c r="H118" s="151">
        <v>285.60000000000002</v>
      </c>
      <c r="I118" s="151">
        <v>342.8</v>
      </c>
      <c r="J118" s="151">
        <v>355.1</v>
      </c>
      <c r="K118" s="151">
        <v>375.3</v>
      </c>
      <c r="L118" s="151">
        <v>341.9</v>
      </c>
      <c r="M118" s="151">
        <v>272.39999999999998</v>
      </c>
      <c r="N118" s="151">
        <v>212.5</v>
      </c>
      <c r="O118" s="151">
        <v>159.19999999999999</v>
      </c>
      <c r="P118" s="151">
        <v>145.5</v>
      </c>
      <c r="R118" s="151">
        <v>48.1</v>
      </c>
      <c r="S118" s="151">
        <v>66.400000000000006</v>
      </c>
      <c r="T118" s="151">
        <v>112.5</v>
      </c>
      <c r="U118" s="151">
        <v>143.19999999999999</v>
      </c>
      <c r="V118" s="151">
        <v>190.1</v>
      </c>
      <c r="W118" s="151">
        <v>206.4</v>
      </c>
      <c r="X118" s="151">
        <v>222.6</v>
      </c>
      <c r="Y118" s="151">
        <v>188.4</v>
      </c>
      <c r="Z118" s="151">
        <v>134.1</v>
      </c>
      <c r="AA118" s="151">
        <v>89.2</v>
      </c>
      <c r="AB118" s="151">
        <v>53.4</v>
      </c>
      <c r="AC118" s="151">
        <v>41.2</v>
      </c>
      <c r="BC118" s="151">
        <v>15.08</v>
      </c>
      <c r="BD118" s="151">
        <v>13.48</v>
      </c>
      <c r="BE118" s="151">
        <v>12.04</v>
      </c>
      <c r="BF118" s="151">
        <v>10.32</v>
      </c>
      <c r="BG118" s="151">
        <v>9.14</v>
      </c>
      <c r="BH118" s="151">
        <v>8.41</v>
      </c>
      <c r="BI118" s="151">
        <v>8.58</v>
      </c>
      <c r="BJ118" s="151">
        <v>10.11</v>
      </c>
      <c r="BK118" s="151">
        <v>11.44</v>
      </c>
      <c r="BL118" s="151">
        <v>13.21</v>
      </c>
      <c r="BM118" s="151">
        <v>14.5</v>
      </c>
      <c r="BN118" s="151">
        <v>15.22</v>
      </c>
    </row>
    <row r="119" spans="1:66">
      <c r="A119" s="151" t="s">
        <v>966</v>
      </c>
      <c r="B119" s="707" t="s">
        <v>967</v>
      </c>
      <c r="C119" s="151" t="s">
        <v>968</v>
      </c>
      <c r="E119" s="151">
        <v>158.1</v>
      </c>
      <c r="F119" s="151">
        <v>184.8</v>
      </c>
      <c r="G119" s="151">
        <v>265.5</v>
      </c>
      <c r="H119" s="151">
        <v>287.5</v>
      </c>
      <c r="I119" s="151">
        <v>344.8</v>
      </c>
      <c r="J119" s="151">
        <v>357.8</v>
      </c>
      <c r="K119" s="151">
        <v>377.8</v>
      </c>
      <c r="L119" s="151">
        <v>343.2</v>
      </c>
      <c r="M119" s="151">
        <v>274.5</v>
      </c>
      <c r="N119" s="151">
        <v>214.5</v>
      </c>
      <c r="O119" s="151">
        <v>161.4</v>
      </c>
      <c r="P119" s="151">
        <v>147.6</v>
      </c>
      <c r="R119" s="151">
        <v>49.8</v>
      </c>
      <c r="S119" s="151">
        <v>68.099999999999994</v>
      </c>
      <c r="T119" s="151">
        <v>114.2</v>
      </c>
      <c r="U119" s="151">
        <v>144.80000000000001</v>
      </c>
      <c r="V119" s="151">
        <v>191.8</v>
      </c>
      <c r="W119" s="151">
        <v>207.8</v>
      </c>
      <c r="X119" s="151">
        <v>224.1</v>
      </c>
      <c r="Y119" s="151">
        <v>189.8</v>
      </c>
      <c r="Z119" s="151">
        <v>135.5</v>
      </c>
      <c r="AA119" s="151">
        <v>90.8</v>
      </c>
      <c r="AB119" s="151">
        <v>54.8</v>
      </c>
      <c r="AC119" s="151">
        <v>42.8</v>
      </c>
      <c r="BC119" s="151">
        <v>15.04</v>
      </c>
      <c r="BD119" s="151">
        <v>13.44</v>
      </c>
      <c r="BE119" s="151">
        <v>12.02</v>
      </c>
      <c r="BF119" s="151">
        <v>10.33</v>
      </c>
      <c r="BG119" s="151">
        <v>9.15</v>
      </c>
      <c r="BH119" s="151">
        <v>8.42</v>
      </c>
      <c r="BI119" s="151">
        <v>8.59</v>
      </c>
      <c r="BJ119" s="151">
        <v>10.119999999999999</v>
      </c>
      <c r="BK119" s="151">
        <v>11.46</v>
      </c>
      <c r="BL119" s="151">
        <v>13.2</v>
      </c>
      <c r="BM119" s="151">
        <v>14.48</v>
      </c>
      <c r="BN119" s="151">
        <v>15.18</v>
      </c>
    </row>
    <row r="120" spans="1:66">
      <c r="A120" s="151" t="s">
        <v>969</v>
      </c>
      <c r="B120" s="707" t="s">
        <v>970</v>
      </c>
      <c r="C120" s="151" t="s">
        <v>971</v>
      </c>
      <c r="E120" s="151">
        <v>201.1</v>
      </c>
      <c r="F120" s="151">
        <v>228.4</v>
      </c>
      <c r="G120" s="151">
        <v>322.10000000000002</v>
      </c>
      <c r="H120" s="151">
        <v>365.1</v>
      </c>
      <c r="I120" s="151">
        <v>428.2</v>
      </c>
      <c r="J120" s="151">
        <v>435.2</v>
      </c>
      <c r="K120" s="151">
        <v>455.2</v>
      </c>
      <c r="L120" s="151">
        <v>422.1</v>
      </c>
      <c r="M120" s="151">
        <v>352.4</v>
      </c>
      <c r="N120" s="151">
        <v>285.10000000000002</v>
      </c>
      <c r="O120" s="151">
        <v>212.1</v>
      </c>
      <c r="P120" s="151">
        <v>188.1</v>
      </c>
      <c r="R120" s="151">
        <v>67.3</v>
      </c>
      <c r="S120" s="151">
        <v>87.1</v>
      </c>
      <c r="T120" s="151">
        <v>141.1</v>
      </c>
      <c r="U120" s="151">
        <v>180.1</v>
      </c>
      <c r="V120" s="151">
        <v>225.1</v>
      </c>
      <c r="W120" s="151">
        <v>238.2</v>
      </c>
      <c r="X120" s="151">
        <v>248.1</v>
      </c>
      <c r="Y120" s="151">
        <v>220.1</v>
      </c>
      <c r="Z120" s="151">
        <v>167.8</v>
      </c>
      <c r="AA120" s="151">
        <v>121.8</v>
      </c>
      <c r="AB120" s="151">
        <v>83.1</v>
      </c>
      <c r="AC120" s="151">
        <v>63.8</v>
      </c>
      <c r="BC120" s="151">
        <v>14.19</v>
      </c>
      <c r="BD120" s="151">
        <v>13.19</v>
      </c>
      <c r="BE120" s="151">
        <v>12.01</v>
      </c>
      <c r="BF120" s="151">
        <v>10.51</v>
      </c>
      <c r="BG120" s="151">
        <v>9.51</v>
      </c>
      <c r="BH120" s="151">
        <v>9.25</v>
      </c>
      <c r="BI120" s="151">
        <v>9.39</v>
      </c>
      <c r="BJ120" s="151">
        <v>10.31</v>
      </c>
      <c r="BK120" s="151">
        <v>11.48</v>
      </c>
      <c r="BL120" s="151">
        <v>13.04</v>
      </c>
      <c r="BM120" s="151">
        <v>14.09</v>
      </c>
      <c r="BN120" s="151">
        <v>14.32</v>
      </c>
    </row>
    <row r="121" spans="1:66">
      <c r="A121" s="151" t="s">
        <v>972</v>
      </c>
      <c r="B121" s="707" t="s">
        <v>973</v>
      </c>
      <c r="C121" s="151" t="s">
        <v>974</v>
      </c>
      <c r="E121" s="151">
        <v>164.2</v>
      </c>
      <c r="F121" s="151">
        <v>191.1</v>
      </c>
      <c r="G121" s="151">
        <v>272.8</v>
      </c>
      <c r="H121" s="151">
        <v>295.5</v>
      </c>
      <c r="I121" s="151">
        <v>352.1</v>
      </c>
      <c r="J121" s="151">
        <v>366.2</v>
      </c>
      <c r="K121" s="151">
        <v>386.4</v>
      </c>
      <c r="L121" s="151">
        <v>353.2</v>
      </c>
      <c r="M121" s="151">
        <v>283.5</v>
      </c>
      <c r="N121" s="151">
        <v>223.6</v>
      </c>
      <c r="O121" s="151">
        <v>169.4</v>
      </c>
      <c r="P121" s="151">
        <v>156.1</v>
      </c>
      <c r="R121" s="151">
        <v>53.6</v>
      </c>
      <c r="S121" s="151">
        <v>72.8</v>
      </c>
      <c r="T121" s="151">
        <v>120.4</v>
      </c>
      <c r="U121" s="151">
        <v>151.80000000000001</v>
      </c>
      <c r="V121" s="151">
        <v>200.1</v>
      </c>
      <c r="W121" s="151">
        <v>217.1</v>
      </c>
      <c r="X121" s="151">
        <v>234.4</v>
      </c>
      <c r="Y121" s="151">
        <v>200.1</v>
      </c>
      <c r="Z121" s="151">
        <v>144.1</v>
      </c>
      <c r="AA121" s="151">
        <v>99.8</v>
      </c>
      <c r="AB121" s="151">
        <v>62.5</v>
      </c>
      <c r="AC121" s="151">
        <v>49.8</v>
      </c>
      <c r="BC121" s="151">
        <v>14.53</v>
      </c>
      <c r="BD121" s="151">
        <v>13.39</v>
      </c>
      <c r="BE121" s="151">
        <v>12.02</v>
      </c>
      <c r="BF121" s="151">
        <v>10.36</v>
      </c>
      <c r="BG121" s="151">
        <v>9.1999999999999993</v>
      </c>
      <c r="BH121" s="151">
        <v>8.4700000000000006</v>
      </c>
      <c r="BI121" s="151">
        <v>9.0399999999999991</v>
      </c>
      <c r="BJ121" s="151">
        <v>10.16</v>
      </c>
      <c r="BK121" s="151">
        <v>11.47</v>
      </c>
      <c r="BL121" s="151">
        <v>13.17</v>
      </c>
      <c r="BM121" s="151">
        <v>14.44</v>
      </c>
      <c r="BN121" s="151">
        <v>15.07</v>
      </c>
    </row>
    <row r="122" spans="1:66">
      <c r="A122" s="151" t="s">
        <v>975</v>
      </c>
      <c r="B122" s="707" t="s">
        <v>976</v>
      </c>
      <c r="C122" s="151" t="s">
        <v>977</v>
      </c>
      <c r="E122" s="151">
        <v>188.1</v>
      </c>
      <c r="F122" s="151">
        <v>215.4</v>
      </c>
      <c r="G122" s="151">
        <v>305.39999999999998</v>
      </c>
      <c r="H122" s="151">
        <v>345.6</v>
      </c>
      <c r="I122" s="151">
        <v>402.1</v>
      </c>
      <c r="J122" s="151">
        <v>408.4</v>
      </c>
      <c r="K122" s="151">
        <v>428.1</v>
      </c>
      <c r="L122" s="151">
        <v>395.6</v>
      </c>
      <c r="M122" s="151">
        <v>328.1</v>
      </c>
      <c r="N122" s="151">
        <v>265.10000000000002</v>
      </c>
      <c r="O122" s="151">
        <v>198.1</v>
      </c>
      <c r="P122" s="151">
        <v>178.4</v>
      </c>
      <c r="R122" s="151">
        <v>62.1</v>
      </c>
      <c r="S122" s="151">
        <v>80.5</v>
      </c>
      <c r="T122" s="151">
        <v>128.1</v>
      </c>
      <c r="U122" s="151">
        <v>165.4</v>
      </c>
      <c r="V122" s="151">
        <v>205.4</v>
      </c>
      <c r="W122" s="151">
        <v>219.8</v>
      </c>
      <c r="X122" s="151">
        <v>228.1</v>
      </c>
      <c r="Y122" s="151">
        <v>202.1</v>
      </c>
      <c r="Z122" s="151">
        <v>152.4</v>
      </c>
      <c r="AA122" s="151">
        <v>110.1</v>
      </c>
      <c r="AB122" s="151">
        <v>75.400000000000006</v>
      </c>
      <c r="AC122" s="151">
        <v>58.4</v>
      </c>
      <c r="BC122" s="151">
        <v>14.37</v>
      </c>
      <c r="BD122" s="151">
        <v>13.32</v>
      </c>
      <c r="BE122" s="151">
        <v>12.02</v>
      </c>
      <c r="BF122" s="151">
        <v>10.41</v>
      </c>
      <c r="BG122" s="151">
        <v>9.34</v>
      </c>
      <c r="BH122" s="151">
        <v>9.0500000000000007</v>
      </c>
      <c r="BI122" s="151">
        <v>9.2100000000000009</v>
      </c>
      <c r="BJ122" s="151">
        <v>10.210000000000001</v>
      </c>
      <c r="BK122" s="151">
        <v>11.48</v>
      </c>
      <c r="BL122" s="151">
        <v>13.13</v>
      </c>
      <c r="BM122" s="151">
        <v>14.26</v>
      </c>
      <c r="BN122" s="151">
        <v>14.52</v>
      </c>
    </row>
    <row r="123" spans="1:66">
      <c r="A123" s="151" t="s">
        <v>978</v>
      </c>
      <c r="B123" s="707" t="s">
        <v>947</v>
      </c>
      <c r="C123" s="151" t="s">
        <v>979</v>
      </c>
      <c r="E123" s="151">
        <v>159.19999999999999</v>
      </c>
      <c r="F123" s="151">
        <v>186.1</v>
      </c>
      <c r="G123" s="151">
        <v>267.2</v>
      </c>
      <c r="H123" s="151">
        <v>289.5</v>
      </c>
      <c r="I123" s="151">
        <v>346.7</v>
      </c>
      <c r="J123" s="151">
        <v>359.5</v>
      </c>
      <c r="K123" s="151">
        <v>379.4</v>
      </c>
      <c r="L123" s="151">
        <v>345.6</v>
      </c>
      <c r="M123" s="151">
        <v>276.39999999999998</v>
      </c>
      <c r="N123" s="151">
        <v>216.7</v>
      </c>
      <c r="O123" s="151">
        <v>163.19999999999999</v>
      </c>
      <c r="P123" s="151">
        <v>148.9</v>
      </c>
      <c r="R123" s="151">
        <v>50.5</v>
      </c>
      <c r="S123" s="151">
        <v>68.900000000000006</v>
      </c>
      <c r="T123" s="151">
        <v>115.1</v>
      </c>
      <c r="U123" s="151">
        <v>146</v>
      </c>
      <c r="V123" s="151">
        <v>192.8</v>
      </c>
      <c r="W123" s="151">
        <v>209.1</v>
      </c>
      <c r="X123" s="151">
        <v>225.4</v>
      </c>
      <c r="Y123" s="151">
        <v>191.2</v>
      </c>
      <c r="Z123" s="151">
        <v>137</v>
      </c>
      <c r="AA123" s="151">
        <v>91.9</v>
      </c>
      <c r="AB123" s="151">
        <v>55.8</v>
      </c>
      <c r="AC123" s="151">
        <v>43.7</v>
      </c>
      <c r="BC123" s="151">
        <v>14.56</v>
      </c>
      <c r="BD123" s="151">
        <v>13.41</v>
      </c>
      <c r="BE123" s="151">
        <v>12.02</v>
      </c>
      <c r="BF123" s="151">
        <v>10.33</v>
      </c>
      <c r="BG123" s="151">
        <v>9.17</v>
      </c>
      <c r="BH123" s="151">
        <v>8.44</v>
      </c>
      <c r="BI123" s="151">
        <v>9.01</v>
      </c>
      <c r="BJ123" s="151">
        <v>10.130000000000001</v>
      </c>
      <c r="BK123" s="151">
        <v>11.46</v>
      </c>
      <c r="BL123" s="151">
        <v>13.19</v>
      </c>
      <c r="BM123" s="151">
        <v>14.47</v>
      </c>
      <c r="BN123" s="151">
        <v>15.12</v>
      </c>
    </row>
    <row r="124" spans="1:66">
      <c r="A124" s="151" t="s">
        <v>980</v>
      </c>
      <c r="B124" s="707" t="s">
        <v>981</v>
      </c>
      <c r="C124" s="151" t="s">
        <v>982</v>
      </c>
      <c r="E124" s="151">
        <v>168.1</v>
      </c>
      <c r="F124" s="151">
        <v>193</v>
      </c>
      <c r="G124" s="151">
        <v>275.8</v>
      </c>
      <c r="H124" s="151">
        <v>309.60000000000002</v>
      </c>
      <c r="I124" s="151">
        <v>364.8</v>
      </c>
      <c r="J124" s="151">
        <v>371.9</v>
      </c>
      <c r="K124" s="151">
        <v>391.5</v>
      </c>
      <c r="L124" s="151">
        <v>358.9</v>
      </c>
      <c r="M124" s="151">
        <v>294.8</v>
      </c>
      <c r="N124" s="151">
        <v>235</v>
      </c>
      <c r="O124" s="151">
        <v>171.9</v>
      </c>
      <c r="P124" s="151">
        <v>151.9</v>
      </c>
      <c r="R124" s="151">
        <v>53.1</v>
      </c>
      <c r="S124" s="151">
        <v>70</v>
      </c>
      <c r="T124" s="151">
        <v>113</v>
      </c>
      <c r="U124" s="151">
        <v>146</v>
      </c>
      <c r="V124" s="151">
        <v>185.9</v>
      </c>
      <c r="W124" s="151">
        <v>198.9</v>
      </c>
      <c r="X124" s="151">
        <v>205.8</v>
      </c>
      <c r="Y124" s="151">
        <v>182.7</v>
      </c>
      <c r="Z124" s="151">
        <v>136.1</v>
      </c>
      <c r="AA124" s="151">
        <v>96.2</v>
      </c>
      <c r="AB124" s="151">
        <v>62.8</v>
      </c>
      <c r="AC124" s="151">
        <v>50.1</v>
      </c>
      <c r="BC124" s="151">
        <v>14.51</v>
      </c>
      <c r="BD124" s="151">
        <v>13.41</v>
      </c>
      <c r="BE124" s="151">
        <v>12.02</v>
      </c>
      <c r="BF124" s="151">
        <v>10.37</v>
      </c>
      <c r="BG124" s="151">
        <v>9.25</v>
      </c>
      <c r="BH124" s="151">
        <v>8.5399999999999991</v>
      </c>
      <c r="BI124" s="151">
        <v>9.11</v>
      </c>
      <c r="BJ124" s="151">
        <v>10.210000000000001</v>
      </c>
      <c r="BK124" s="151">
        <v>11.47</v>
      </c>
      <c r="BL124" s="151">
        <v>13.19</v>
      </c>
      <c r="BM124" s="151">
        <v>14.41</v>
      </c>
      <c r="BN124" s="151">
        <v>15.05</v>
      </c>
    </row>
    <row r="125" spans="1:66">
      <c r="A125" s="151" t="s">
        <v>983</v>
      </c>
      <c r="B125" s="707" t="s">
        <v>984</v>
      </c>
      <c r="C125" s="151" t="s">
        <v>985</v>
      </c>
      <c r="E125" s="151">
        <v>184.1</v>
      </c>
      <c r="F125" s="151">
        <v>210</v>
      </c>
      <c r="G125" s="151">
        <v>296.39999999999998</v>
      </c>
      <c r="H125" s="151">
        <v>332</v>
      </c>
      <c r="I125" s="151">
        <v>388.3</v>
      </c>
      <c r="J125" s="151">
        <v>395.1</v>
      </c>
      <c r="K125" s="151">
        <v>415.7</v>
      </c>
      <c r="L125" s="151">
        <v>382.3</v>
      </c>
      <c r="M125" s="151">
        <v>318.39999999999998</v>
      </c>
      <c r="N125" s="151">
        <v>255.3</v>
      </c>
      <c r="O125" s="151">
        <v>192</v>
      </c>
      <c r="P125" s="151">
        <v>172.4</v>
      </c>
      <c r="R125" s="151">
        <v>61.1</v>
      </c>
      <c r="S125" s="151">
        <v>78.3</v>
      </c>
      <c r="T125" s="151">
        <v>124.4</v>
      </c>
      <c r="U125" s="151">
        <v>158.1</v>
      </c>
      <c r="V125" s="151">
        <v>198</v>
      </c>
      <c r="W125" s="151">
        <v>212.4</v>
      </c>
      <c r="X125" s="151">
        <v>220</v>
      </c>
      <c r="Y125" s="151">
        <v>195.3</v>
      </c>
      <c r="Z125" s="151">
        <v>148.1</v>
      </c>
      <c r="AA125" s="151">
        <v>108</v>
      </c>
      <c r="AB125" s="151">
        <v>74.400000000000006</v>
      </c>
      <c r="AC125" s="151">
        <v>56.7</v>
      </c>
      <c r="BC125" s="151">
        <v>14.41</v>
      </c>
      <c r="BD125" s="151">
        <v>13.34</v>
      </c>
      <c r="BE125" s="151">
        <v>12.02</v>
      </c>
      <c r="BF125" s="151">
        <v>10.4</v>
      </c>
      <c r="BG125" s="151">
        <v>9.31</v>
      </c>
      <c r="BH125" s="151">
        <v>9.02</v>
      </c>
      <c r="BI125" s="151">
        <v>9.18</v>
      </c>
      <c r="BJ125" s="151">
        <v>10.19</v>
      </c>
      <c r="BK125" s="151">
        <v>11.47</v>
      </c>
      <c r="BL125" s="151">
        <v>13.14</v>
      </c>
      <c r="BM125" s="151">
        <v>14.32</v>
      </c>
      <c r="BN125" s="151">
        <v>14.57</v>
      </c>
    </row>
    <row r="126" spans="1:66">
      <c r="A126" s="151" t="s">
        <v>986</v>
      </c>
      <c r="B126" s="707" t="s">
        <v>833</v>
      </c>
      <c r="C126" s="151" t="s">
        <v>987</v>
      </c>
      <c r="E126" s="151">
        <v>156.19999999999999</v>
      </c>
      <c r="F126" s="151">
        <v>183.1</v>
      </c>
      <c r="G126" s="151">
        <v>264.2</v>
      </c>
      <c r="H126" s="151">
        <v>285.39999999999998</v>
      </c>
      <c r="I126" s="151">
        <v>342.1</v>
      </c>
      <c r="J126" s="151">
        <v>355.8</v>
      </c>
      <c r="K126" s="151">
        <v>375.4</v>
      </c>
      <c r="L126" s="151">
        <v>340.5</v>
      </c>
      <c r="M126" s="151">
        <v>272.39999999999998</v>
      </c>
      <c r="N126" s="151">
        <v>212.4</v>
      </c>
      <c r="O126" s="151">
        <v>160.5</v>
      </c>
      <c r="P126" s="151">
        <v>145.19999999999999</v>
      </c>
      <c r="R126" s="151">
        <v>49.2</v>
      </c>
      <c r="S126" s="151">
        <v>67.099999999999994</v>
      </c>
      <c r="T126" s="151">
        <v>112.4</v>
      </c>
      <c r="U126" s="151">
        <v>142.5</v>
      </c>
      <c r="V126" s="151">
        <v>188.4</v>
      </c>
      <c r="W126" s="151">
        <v>205.4</v>
      </c>
      <c r="X126" s="151">
        <v>220.1</v>
      </c>
      <c r="Y126" s="151">
        <v>186.4</v>
      </c>
      <c r="Z126" s="151">
        <v>132.4</v>
      </c>
      <c r="AA126" s="151">
        <v>88.4</v>
      </c>
      <c r="AB126" s="151">
        <v>52.4</v>
      </c>
      <c r="AC126" s="151">
        <v>41.2</v>
      </c>
      <c r="BC126" s="151">
        <v>15.07</v>
      </c>
      <c r="BD126" s="151">
        <v>13.47</v>
      </c>
      <c r="BE126" s="151">
        <v>12.04</v>
      </c>
      <c r="BF126" s="151">
        <v>10.32</v>
      </c>
      <c r="BG126" s="151">
        <v>9.14</v>
      </c>
      <c r="BH126" s="151">
        <v>8.41</v>
      </c>
      <c r="BI126" s="151">
        <v>8.58</v>
      </c>
      <c r="BJ126" s="151">
        <v>10.11</v>
      </c>
      <c r="BK126" s="151">
        <v>11.46</v>
      </c>
      <c r="BL126" s="151">
        <v>13.21</v>
      </c>
      <c r="BM126" s="151">
        <v>14.49</v>
      </c>
      <c r="BN126" s="151">
        <v>15.19</v>
      </c>
    </row>
    <row r="127" spans="1:66">
      <c r="A127" s="151" t="s">
        <v>988</v>
      </c>
      <c r="B127" s="707" t="s">
        <v>989</v>
      </c>
      <c r="C127" s="151" t="s">
        <v>990</v>
      </c>
      <c r="E127" s="151">
        <v>194.1</v>
      </c>
      <c r="F127" s="151">
        <v>221</v>
      </c>
      <c r="G127" s="151">
        <v>311</v>
      </c>
      <c r="H127" s="151">
        <v>350.9</v>
      </c>
      <c r="I127" s="151">
        <v>411</v>
      </c>
      <c r="J127" s="151">
        <v>416.7</v>
      </c>
      <c r="K127" s="151">
        <v>436.9</v>
      </c>
      <c r="L127" s="151">
        <v>403.7</v>
      </c>
      <c r="M127" s="151">
        <v>333.7</v>
      </c>
      <c r="N127" s="151">
        <v>270.89999999999998</v>
      </c>
      <c r="O127" s="151">
        <v>204</v>
      </c>
      <c r="P127" s="151">
        <v>180.9</v>
      </c>
      <c r="R127" s="151">
        <v>62.6</v>
      </c>
      <c r="S127" s="151">
        <v>81.599999999999994</v>
      </c>
      <c r="T127" s="151">
        <v>131.6</v>
      </c>
      <c r="U127" s="151">
        <v>166.6</v>
      </c>
      <c r="V127" s="151">
        <v>210.6</v>
      </c>
      <c r="W127" s="151">
        <v>223.6</v>
      </c>
      <c r="X127" s="151">
        <v>233.5</v>
      </c>
      <c r="Y127" s="151">
        <v>206.5</v>
      </c>
      <c r="Z127" s="151">
        <v>156.6</v>
      </c>
      <c r="AA127" s="151">
        <v>110.6</v>
      </c>
      <c r="AB127" s="151">
        <v>77.599999999999994</v>
      </c>
      <c r="AC127" s="151">
        <v>59.6</v>
      </c>
      <c r="BC127" s="151">
        <v>14.27</v>
      </c>
      <c r="BD127" s="151">
        <v>13.25</v>
      </c>
      <c r="BE127" s="151">
        <v>12.01</v>
      </c>
      <c r="BF127" s="151">
        <v>10.46</v>
      </c>
      <c r="BG127" s="151">
        <v>9.42</v>
      </c>
      <c r="BH127" s="151">
        <v>9.16</v>
      </c>
      <c r="BI127" s="151">
        <v>9.31</v>
      </c>
      <c r="BJ127" s="151">
        <v>10.25</v>
      </c>
      <c r="BK127" s="151">
        <v>11.48</v>
      </c>
      <c r="BL127" s="151">
        <v>13.07</v>
      </c>
      <c r="BM127" s="151">
        <v>14.17</v>
      </c>
      <c r="BN127" s="151">
        <v>14.41</v>
      </c>
    </row>
    <row r="128" spans="1:66">
      <c r="A128" s="151" t="s">
        <v>991</v>
      </c>
      <c r="B128" s="707" t="s">
        <v>821</v>
      </c>
      <c r="C128" s="151" t="s">
        <v>992</v>
      </c>
      <c r="E128" s="151">
        <v>208.5</v>
      </c>
      <c r="F128" s="151">
        <v>238.4</v>
      </c>
      <c r="G128" s="151">
        <v>335.6</v>
      </c>
      <c r="H128" s="151">
        <v>378.5</v>
      </c>
      <c r="I128" s="151">
        <v>442.5</v>
      </c>
      <c r="J128" s="151">
        <v>450.2</v>
      </c>
      <c r="K128" s="151">
        <v>470.2</v>
      </c>
      <c r="L128" s="151">
        <v>438.4</v>
      </c>
      <c r="M128" s="151">
        <v>365.6</v>
      </c>
      <c r="N128" s="151">
        <v>298.39999999999998</v>
      </c>
      <c r="O128" s="151">
        <v>225.6</v>
      </c>
      <c r="P128" s="151">
        <v>198.4</v>
      </c>
      <c r="R128" s="151">
        <v>72.400000000000006</v>
      </c>
      <c r="S128" s="151">
        <v>92.4</v>
      </c>
      <c r="T128" s="151">
        <v>150.5</v>
      </c>
      <c r="U128" s="151">
        <v>190.4</v>
      </c>
      <c r="V128" s="151">
        <v>238.4</v>
      </c>
      <c r="W128" s="151">
        <v>252.1</v>
      </c>
      <c r="X128" s="151">
        <v>262.39999999999998</v>
      </c>
      <c r="Y128" s="151">
        <v>235.4</v>
      </c>
      <c r="Z128" s="151">
        <v>182.4</v>
      </c>
      <c r="AA128" s="151">
        <v>132.4</v>
      </c>
      <c r="AB128" s="151">
        <v>90.4</v>
      </c>
      <c r="AC128" s="151">
        <v>70.400000000000006</v>
      </c>
      <c r="BC128" s="151">
        <v>14.14</v>
      </c>
      <c r="BD128" s="151">
        <v>13.15</v>
      </c>
      <c r="BE128" s="151">
        <v>12.01</v>
      </c>
      <c r="BF128" s="151">
        <v>10.55</v>
      </c>
      <c r="BG128" s="151">
        <v>9.5500000000000007</v>
      </c>
      <c r="BH128" s="151">
        <v>9.31</v>
      </c>
      <c r="BI128" s="151">
        <v>9.4499999999999993</v>
      </c>
      <c r="BJ128" s="151">
        <v>10.35</v>
      </c>
      <c r="BK128" s="151">
        <v>11.48</v>
      </c>
      <c r="BL128" s="151">
        <v>13.01</v>
      </c>
      <c r="BM128" s="151">
        <v>14.04</v>
      </c>
      <c r="BN128" s="151">
        <v>14.26</v>
      </c>
    </row>
    <row r="129" spans="1:66">
      <c r="A129" s="151" t="s">
        <v>993</v>
      </c>
      <c r="B129" s="707" t="s">
        <v>994</v>
      </c>
      <c r="C129" s="151" t="s">
        <v>995</v>
      </c>
      <c r="E129" s="151">
        <v>161.80000000000001</v>
      </c>
      <c r="F129" s="151">
        <v>188.7</v>
      </c>
      <c r="G129" s="151">
        <v>270</v>
      </c>
      <c r="H129" s="151">
        <v>292.3</v>
      </c>
      <c r="I129" s="151">
        <v>348.1</v>
      </c>
      <c r="J129" s="151">
        <v>361.8</v>
      </c>
      <c r="K129" s="151">
        <v>381.8</v>
      </c>
      <c r="L129" s="151">
        <v>348.2</v>
      </c>
      <c r="M129" s="151">
        <v>278.2</v>
      </c>
      <c r="N129" s="151">
        <v>219.6</v>
      </c>
      <c r="O129" s="151">
        <v>165.1</v>
      </c>
      <c r="P129" s="151">
        <v>151.80000000000001</v>
      </c>
      <c r="R129" s="151">
        <v>51.8</v>
      </c>
      <c r="S129" s="151">
        <v>70.8</v>
      </c>
      <c r="T129" s="151">
        <v>118.1</v>
      </c>
      <c r="U129" s="151">
        <v>148.19999999999999</v>
      </c>
      <c r="V129" s="151">
        <v>194</v>
      </c>
      <c r="W129" s="151">
        <v>211.8</v>
      </c>
      <c r="X129" s="151">
        <v>228.1</v>
      </c>
      <c r="Y129" s="151">
        <v>193.7</v>
      </c>
      <c r="Z129" s="151">
        <v>139.1</v>
      </c>
      <c r="AA129" s="151">
        <v>94.1</v>
      </c>
      <c r="AB129" s="151">
        <v>57.6</v>
      </c>
      <c r="AC129" s="151">
        <v>45.1</v>
      </c>
      <c r="BC129" s="151">
        <v>14.53</v>
      </c>
      <c r="BD129" s="151">
        <v>13.4</v>
      </c>
      <c r="BE129" s="151">
        <v>12.02</v>
      </c>
      <c r="BF129" s="151">
        <v>10.34</v>
      </c>
      <c r="BG129" s="151">
        <v>9.18</v>
      </c>
      <c r="BH129" s="151">
        <v>8.4499999999999993</v>
      </c>
      <c r="BI129" s="151">
        <v>9.01</v>
      </c>
      <c r="BJ129" s="151">
        <v>10.14</v>
      </c>
      <c r="BK129" s="151">
        <v>11.47</v>
      </c>
      <c r="BL129" s="151">
        <v>13.18</v>
      </c>
      <c r="BM129" s="151">
        <v>14.46</v>
      </c>
      <c r="BN129" s="151">
        <v>15.07</v>
      </c>
    </row>
    <row r="130" spans="1:66">
      <c r="A130" s="151" t="s">
        <v>996</v>
      </c>
      <c r="B130" s="707" t="s">
        <v>997</v>
      </c>
      <c r="C130" s="151" t="s">
        <v>998</v>
      </c>
      <c r="E130" s="151">
        <v>188.2</v>
      </c>
      <c r="F130" s="151">
        <v>215.4</v>
      </c>
      <c r="G130" s="151">
        <v>305.39999999999998</v>
      </c>
      <c r="H130" s="151">
        <v>345.7</v>
      </c>
      <c r="I130" s="151">
        <v>402.1</v>
      </c>
      <c r="J130" s="151">
        <v>409.2</v>
      </c>
      <c r="K130" s="151">
        <v>428.5</v>
      </c>
      <c r="L130" s="151">
        <v>396.1</v>
      </c>
      <c r="M130" s="151">
        <v>329.4</v>
      </c>
      <c r="N130" s="151">
        <v>266.10000000000002</v>
      </c>
      <c r="O130" s="151">
        <v>199.4</v>
      </c>
      <c r="P130" s="151">
        <v>179.1</v>
      </c>
      <c r="R130" s="151">
        <v>62.5</v>
      </c>
      <c r="S130" s="151">
        <v>81.2</v>
      </c>
      <c r="T130" s="151">
        <v>128.4</v>
      </c>
      <c r="U130" s="151">
        <v>165.5</v>
      </c>
      <c r="V130" s="151">
        <v>205.5</v>
      </c>
      <c r="W130" s="151">
        <v>219.2</v>
      </c>
      <c r="X130" s="151">
        <v>227.5</v>
      </c>
      <c r="Y130" s="151">
        <v>202.4</v>
      </c>
      <c r="Z130" s="151">
        <v>152.5</v>
      </c>
      <c r="AA130" s="151">
        <v>111.5</v>
      </c>
      <c r="AB130" s="151">
        <v>77.8</v>
      </c>
      <c r="AC130" s="151">
        <v>59.8</v>
      </c>
      <c r="BC130" s="151">
        <v>14.35</v>
      </c>
      <c r="BD130" s="151">
        <v>13.31</v>
      </c>
      <c r="BE130" s="151">
        <v>12.02</v>
      </c>
      <c r="BF130" s="151">
        <v>10.42</v>
      </c>
      <c r="BG130" s="151">
        <v>9.36</v>
      </c>
      <c r="BH130" s="151">
        <v>9.08</v>
      </c>
      <c r="BI130" s="151">
        <v>9.24</v>
      </c>
      <c r="BJ130" s="151">
        <v>10.220000000000001</v>
      </c>
      <c r="BK130" s="151">
        <v>11.48</v>
      </c>
      <c r="BL130" s="151">
        <v>13.12</v>
      </c>
      <c r="BM130" s="151">
        <v>14.24</v>
      </c>
      <c r="BN130" s="151">
        <v>14.5</v>
      </c>
    </row>
    <row r="131" spans="1:66">
      <c r="A131" s="151" t="s">
        <v>999</v>
      </c>
      <c r="B131" s="707" t="s">
        <v>1000</v>
      </c>
      <c r="C131" s="151" t="s">
        <v>1001</v>
      </c>
      <c r="E131" s="151">
        <v>219.3</v>
      </c>
      <c r="F131" s="151">
        <v>246.2</v>
      </c>
      <c r="G131" s="151">
        <v>348.7</v>
      </c>
      <c r="H131" s="151">
        <v>385.1</v>
      </c>
      <c r="I131" s="151">
        <v>450.2</v>
      </c>
      <c r="J131" s="151">
        <v>454.6</v>
      </c>
      <c r="K131" s="151">
        <v>475.6</v>
      </c>
      <c r="L131" s="151">
        <v>437.4</v>
      </c>
      <c r="M131" s="151">
        <v>364.7</v>
      </c>
      <c r="N131" s="151">
        <v>294.8</v>
      </c>
      <c r="O131" s="151">
        <v>224.2</v>
      </c>
      <c r="P131" s="151">
        <v>202.3</v>
      </c>
      <c r="R131" s="151">
        <v>76</v>
      </c>
      <c r="S131" s="151">
        <v>93.8</v>
      </c>
      <c r="T131" s="151">
        <v>151.9</v>
      </c>
      <c r="U131" s="151">
        <v>187.5</v>
      </c>
      <c r="V131" s="151">
        <v>237.2</v>
      </c>
      <c r="W131" s="151">
        <v>250.5</v>
      </c>
      <c r="X131" s="151">
        <v>265.10000000000002</v>
      </c>
      <c r="Y131" s="151">
        <v>231</v>
      </c>
      <c r="Z131" s="151">
        <v>169.5</v>
      </c>
      <c r="AA131" s="151">
        <v>122.5</v>
      </c>
      <c r="AB131" s="151">
        <v>79.5</v>
      </c>
      <c r="AC131" s="151">
        <v>65.099999999999994</v>
      </c>
      <c r="BC131" s="151">
        <v>14.15</v>
      </c>
      <c r="BD131" s="151">
        <v>13.18</v>
      </c>
      <c r="BE131" s="151">
        <v>12</v>
      </c>
      <c r="BF131" s="151">
        <v>10.45</v>
      </c>
      <c r="BG131" s="151">
        <v>9.4499999999999993</v>
      </c>
      <c r="BH131" s="151">
        <v>9.1999999999999993</v>
      </c>
      <c r="BI131" s="151">
        <v>9.35</v>
      </c>
      <c r="BJ131" s="151">
        <v>10.3</v>
      </c>
      <c r="BK131" s="151">
        <v>11.48</v>
      </c>
      <c r="BL131" s="151">
        <v>13.05</v>
      </c>
      <c r="BM131" s="151">
        <v>14.1</v>
      </c>
      <c r="BN131" s="151">
        <v>14.38</v>
      </c>
    </row>
    <row r="136" spans="1:66">
      <c r="A136" s="151" t="s">
        <v>1002</v>
      </c>
      <c r="B136" s="707" t="s">
        <v>1003</v>
      </c>
      <c r="C136" s="151" t="s">
        <v>1004</v>
      </c>
      <c r="E136" s="151">
        <v>102.4</v>
      </c>
      <c r="F136" s="151">
        <v>105.6</v>
      </c>
      <c r="G136" s="151">
        <v>112.8</v>
      </c>
      <c r="H136" s="151">
        <v>108.4</v>
      </c>
      <c r="I136" s="151">
        <v>102.5</v>
      </c>
      <c r="J136" s="151">
        <v>95.4</v>
      </c>
      <c r="K136" s="151">
        <v>92.1</v>
      </c>
      <c r="L136" s="151">
        <v>98.4</v>
      </c>
      <c r="M136" s="151">
        <v>105.2</v>
      </c>
      <c r="N136" s="151">
        <v>108.6</v>
      </c>
      <c r="O136" s="151">
        <v>105.4</v>
      </c>
      <c r="P136" s="151">
        <v>102.5</v>
      </c>
      <c r="R136" s="151">
        <v>125.4</v>
      </c>
      <c r="S136" s="151">
        <v>128.6</v>
      </c>
      <c r="T136" s="151">
        <v>135.4</v>
      </c>
      <c r="U136" s="151">
        <v>132.4</v>
      </c>
      <c r="V136" s="151">
        <v>128.6</v>
      </c>
      <c r="W136" s="151">
        <v>115.4</v>
      </c>
      <c r="X136" s="151">
        <v>110.2</v>
      </c>
      <c r="Y136" s="151">
        <v>118.4</v>
      </c>
      <c r="Z136" s="151">
        <v>125.2</v>
      </c>
      <c r="AA136" s="151">
        <v>132.4</v>
      </c>
      <c r="AB136" s="151">
        <v>128.5</v>
      </c>
      <c r="AC136" s="151">
        <v>125.4</v>
      </c>
      <c r="BC136" s="151">
        <v>11.58</v>
      </c>
      <c r="BD136" s="151">
        <v>11.56</v>
      </c>
      <c r="BE136" s="151">
        <v>11.54</v>
      </c>
      <c r="BF136" s="151">
        <v>11.52</v>
      </c>
      <c r="BG136" s="151">
        <v>11.5</v>
      </c>
      <c r="BH136" s="151">
        <v>11.48</v>
      </c>
      <c r="BI136" s="151">
        <v>11.49</v>
      </c>
      <c r="BJ136" s="151">
        <v>11.51</v>
      </c>
      <c r="BK136" s="151">
        <v>11.53</v>
      </c>
      <c r="BL136" s="151">
        <v>11.55</v>
      </c>
      <c r="BM136" s="151">
        <v>11.57</v>
      </c>
      <c r="BN136" s="151">
        <v>11.59</v>
      </c>
    </row>
    <row r="137" spans="1:66">
      <c r="A137" s="151" t="s">
        <v>1005</v>
      </c>
      <c r="B137" s="707" t="s">
        <v>1006</v>
      </c>
      <c r="C137" s="151" t="s">
        <v>1007</v>
      </c>
      <c r="E137" s="151">
        <v>138.5</v>
      </c>
      <c r="F137" s="151">
        <v>145.19999999999999</v>
      </c>
      <c r="G137" s="151">
        <v>152.4</v>
      </c>
      <c r="H137" s="151">
        <v>142.6</v>
      </c>
      <c r="I137" s="151">
        <v>132.5</v>
      </c>
      <c r="J137" s="151">
        <v>115.4</v>
      </c>
      <c r="K137" s="151">
        <v>108.6</v>
      </c>
      <c r="L137" s="151">
        <v>112.4</v>
      </c>
      <c r="M137" s="151">
        <v>118.5</v>
      </c>
      <c r="N137" s="151">
        <v>135.4</v>
      </c>
      <c r="O137" s="151">
        <v>142.6</v>
      </c>
      <c r="P137" s="151">
        <v>140.5</v>
      </c>
      <c r="R137" s="151">
        <v>162.4</v>
      </c>
      <c r="S137" s="151">
        <v>168.5</v>
      </c>
      <c r="T137" s="151">
        <v>175.6</v>
      </c>
      <c r="U137" s="151">
        <v>165.4</v>
      </c>
      <c r="V137" s="151">
        <v>152.4</v>
      </c>
      <c r="W137" s="151">
        <v>128.6</v>
      </c>
      <c r="X137" s="151">
        <v>122.1</v>
      </c>
      <c r="Y137" s="151">
        <v>128.4</v>
      </c>
      <c r="Z137" s="151">
        <v>135.19999999999999</v>
      </c>
      <c r="AA137" s="151">
        <v>158.4</v>
      </c>
      <c r="AB137" s="151">
        <v>165.2</v>
      </c>
      <c r="AC137" s="151">
        <v>162.4</v>
      </c>
      <c r="BC137" s="151">
        <v>12.12</v>
      </c>
      <c r="BD137" s="151">
        <v>12.05</v>
      </c>
      <c r="BE137" s="151">
        <v>11.58</v>
      </c>
      <c r="BF137" s="151">
        <v>11.51</v>
      </c>
      <c r="BG137" s="151">
        <v>11.46</v>
      </c>
      <c r="BH137" s="151">
        <v>11.44</v>
      </c>
      <c r="BI137" s="151">
        <v>11.45</v>
      </c>
      <c r="BJ137" s="151">
        <v>11.48</v>
      </c>
      <c r="BK137" s="151">
        <v>11.53</v>
      </c>
      <c r="BL137" s="151">
        <v>12.02</v>
      </c>
      <c r="BM137" s="151">
        <v>12.1</v>
      </c>
      <c r="BN137" s="151">
        <v>12.15</v>
      </c>
    </row>
    <row r="138" spans="1:66">
      <c r="A138" s="151" t="s">
        <v>1008</v>
      </c>
      <c r="B138" s="707" t="s">
        <v>1009</v>
      </c>
      <c r="C138" s="151" t="s">
        <v>1010</v>
      </c>
      <c r="E138" s="151">
        <v>235.4</v>
      </c>
      <c r="F138" s="151">
        <v>252.1</v>
      </c>
      <c r="G138" s="151">
        <v>298.39999999999998</v>
      </c>
      <c r="H138" s="151">
        <v>315.60000000000002</v>
      </c>
      <c r="I138" s="151">
        <v>342.8</v>
      </c>
      <c r="J138" s="151">
        <v>352.4</v>
      </c>
      <c r="K138" s="151">
        <v>345.6</v>
      </c>
      <c r="L138" s="151">
        <v>338.4</v>
      </c>
      <c r="M138" s="151">
        <v>312.10000000000002</v>
      </c>
      <c r="N138" s="151">
        <v>285.39999999999998</v>
      </c>
      <c r="O138" s="151">
        <v>248.5</v>
      </c>
      <c r="P138" s="151">
        <v>225.6</v>
      </c>
      <c r="R138" s="151">
        <v>145.19999999999999</v>
      </c>
      <c r="S138" s="151">
        <v>158.4</v>
      </c>
      <c r="T138" s="151">
        <v>185.6</v>
      </c>
      <c r="U138" s="151">
        <v>210.4</v>
      </c>
      <c r="V138" s="151">
        <v>235.2</v>
      </c>
      <c r="W138" s="151">
        <v>245.6</v>
      </c>
      <c r="X138" s="151">
        <v>238.4</v>
      </c>
      <c r="Y138" s="151">
        <v>232.1</v>
      </c>
      <c r="Z138" s="151">
        <v>215.4</v>
      </c>
      <c r="AA138" s="151">
        <v>188.4</v>
      </c>
      <c r="AB138" s="151">
        <v>155.19999999999999</v>
      </c>
      <c r="AC138" s="151">
        <v>140.5</v>
      </c>
      <c r="BC138" s="151">
        <v>13.18</v>
      </c>
      <c r="BD138" s="151">
        <v>12.38</v>
      </c>
      <c r="BE138" s="151">
        <v>12.02</v>
      </c>
      <c r="BF138" s="151">
        <v>11.24</v>
      </c>
      <c r="BG138" s="151">
        <v>10.54</v>
      </c>
      <c r="BH138" s="151">
        <v>10.38</v>
      </c>
      <c r="BI138" s="151">
        <v>10.46</v>
      </c>
      <c r="BJ138" s="151">
        <v>11.12</v>
      </c>
      <c r="BK138" s="151">
        <v>11.52</v>
      </c>
      <c r="BL138" s="151">
        <v>12.3</v>
      </c>
      <c r="BM138" s="151">
        <v>13.08</v>
      </c>
      <c r="BN138" s="151">
        <v>13.3</v>
      </c>
    </row>
    <row r="139" spans="1:66">
      <c r="A139" s="151" t="s">
        <v>1011</v>
      </c>
      <c r="B139" s="707" t="s">
        <v>1012</v>
      </c>
      <c r="C139" s="151" t="s">
        <v>1013</v>
      </c>
      <c r="E139" s="151">
        <v>265.39999999999998</v>
      </c>
      <c r="F139" s="151">
        <v>282.10000000000002</v>
      </c>
      <c r="G139" s="151">
        <v>332.4</v>
      </c>
      <c r="H139" s="151">
        <v>340.5</v>
      </c>
      <c r="I139" s="151">
        <v>372.4</v>
      </c>
      <c r="J139" s="151">
        <v>380.2</v>
      </c>
      <c r="K139" s="151">
        <v>370.5</v>
      </c>
      <c r="L139" s="151">
        <v>362.4</v>
      </c>
      <c r="M139" s="151">
        <v>350.2</v>
      </c>
      <c r="N139" s="151">
        <v>335.4</v>
      </c>
      <c r="O139" s="151">
        <v>280.10000000000002</v>
      </c>
      <c r="P139" s="151">
        <v>255.4</v>
      </c>
      <c r="R139" s="151">
        <v>115.2</v>
      </c>
      <c r="S139" s="151">
        <v>131.5</v>
      </c>
      <c r="T139" s="151">
        <v>172.4</v>
      </c>
      <c r="U139" s="151">
        <v>202.5</v>
      </c>
      <c r="V139" s="151">
        <v>238.6</v>
      </c>
      <c r="W139" s="151">
        <v>248.5</v>
      </c>
      <c r="X139" s="151">
        <v>235.4</v>
      </c>
      <c r="Y139" s="151">
        <v>222.4</v>
      </c>
      <c r="Z139" s="151">
        <v>200.1</v>
      </c>
      <c r="AA139" s="151">
        <v>170.5</v>
      </c>
      <c r="AB139" s="151">
        <v>128.4</v>
      </c>
      <c r="AC139" s="151">
        <v>105.4</v>
      </c>
      <c r="BC139" s="151">
        <v>13.26</v>
      </c>
      <c r="BD139" s="151">
        <v>12.44</v>
      </c>
      <c r="BE139" s="151">
        <v>12.02</v>
      </c>
      <c r="BF139" s="151">
        <v>11.16</v>
      </c>
      <c r="BG139" s="151">
        <v>10.4</v>
      </c>
      <c r="BH139" s="151">
        <v>10.220000000000001</v>
      </c>
      <c r="BI139" s="151">
        <v>10.32</v>
      </c>
      <c r="BJ139" s="151">
        <v>11.02</v>
      </c>
      <c r="BK139" s="151">
        <v>11.46</v>
      </c>
      <c r="BL139" s="151">
        <v>12.34</v>
      </c>
      <c r="BM139" s="151">
        <v>13.14</v>
      </c>
      <c r="BN139" s="151">
        <v>13.4</v>
      </c>
    </row>
    <row r="140" spans="1:66">
      <c r="A140" s="151" t="s">
        <v>1014</v>
      </c>
      <c r="B140" s="707" t="s">
        <v>1015</v>
      </c>
      <c r="C140" s="151" t="s">
        <v>1016</v>
      </c>
      <c r="E140" s="151">
        <v>248.5</v>
      </c>
      <c r="F140" s="151">
        <v>272.39999999999998</v>
      </c>
      <c r="G140" s="151">
        <v>338.4</v>
      </c>
      <c r="H140" s="151">
        <v>365.2</v>
      </c>
      <c r="I140" s="151">
        <v>405.1</v>
      </c>
      <c r="J140" s="151">
        <v>412.4</v>
      </c>
      <c r="K140" s="151">
        <v>408.5</v>
      </c>
      <c r="L140" s="151">
        <v>395.2</v>
      </c>
      <c r="M140" s="151">
        <v>362.1</v>
      </c>
      <c r="N140" s="151">
        <v>312.39999999999998</v>
      </c>
      <c r="O140" s="151">
        <v>265.39999999999998</v>
      </c>
      <c r="P140" s="151">
        <v>235.1</v>
      </c>
      <c r="R140" s="151">
        <v>85.4</v>
      </c>
      <c r="S140" s="151">
        <v>108.5</v>
      </c>
      <c r="T140" s="151">
        <v>148.19999999999999</v>
      </c>
      <c r="U140" s="151">
        <v>178.4</v>
      </c>
      <c r="V140" s="151">
        <v>212.5</v>
      </c>
      <c r="W140" s="151">
        <v>228.4</v>
      </c>
      <c r="X140" s="151">
        <v>225.4</v>
      </c>
      <c r="Y140" s="151">
        <v>210.2</v>
      </c>
      <c r="Z140" s="151">
        <v>182.4</v>
      </c>
      <c r="AA140" s="151">
        <v>142.5</v>
      </c>
      <c r="AB140" s="151">
        <v>105.4</v>
      </c>
      <c r="AC140" s="151">
        <v>82.4</v>
      </c>
      <c r="BC140" s="151">
        <v>13.5</v>
      </c>
      <c r="BD140" s="151">
        <v>13.06</v>
      </c>
      <c r="BE140" s="151">
        <v>12.02</v>
      </c>
      <c r="BF140" s="151">
        <v>10.58</v>
      </c>
      <c r="BG140" s="151">
        <v>10.08</v>
      </c>
      <c r="BH140" s="151">
        <v>9.4600000000000009</v>
      </c>
      <c r="BI140" s="151">
        <v>9.58</v>
      </c>
      <c r="BJ140" s="151">
        <v>10.44</v>
      </c>
      <c r="BK140" s="151">
        <v>11.47</v>
      </c>
      <c r="BL140" s="151">
        <v>12.54</v>
      </c>
      <c r="BM140" s="151">
        <v>13.42</v>
      </c>
      <c r="BN140" s="151">
        <v>14.06</v>
      </c>
    </row>
    <row r="141" spans="1:66">
      <c r="A141" s="151" t="s">
        <v>1017</v>
      </c>
      <c r="B141" s="707" t="s">
        <v>1018</v>
      </c>
      <c r="C141" s="151" t="s">
        <v>1019</v>
      </c>
      <c r="E141" s="151">
        <v>242.1</v>
      </c>
      <c r="F141" s="151">
        <v>265.39999999999998</v>
      </c>
      <c r="G141" s="151">
        <v>330.5</v>
      </c>
      <c r="H141" s="151">
        <v>358.4</v>
      </c>
      <c r="I141" s="151">
        <v>398.5</v>
      </c>
      <c r="J141" s="151">
        <v>405.2</v>
      </c>
      <c r="K141" s="151">
        <v>400.1</v>
      </c>
      <c r="L141" s="151">
        <v>388.4</v>
      </c>
      <c r="M141" s="151">
        <v>355.2</v>
      </c>
      <c r="N141" s="151">
        <v>305.39999999999998</v>
      </c>
      <c r="O141" s="151">
        <v>258.39999999999998</v>
      </c>
      <c r="P141" s="151">
        <v>228.5</v>
      </c>
      <c r="R141" s="151">
        <v>92.1</v>
      </c>
      <c r="S141" s="151">
        <v>115.4</v>
      </c>
      <c r="T141" s="151">
        <v>155.19999999999999</v>
      </c>
      <c r="U141" s="151">
        <v>185.4</v>
      </c>
      <c r="V141" s="151">
        <v>220.1</v>
      </c>
      <c r="W141" s="151">
        <v>235.2</v>
      </c>
      <c r="X141" s="151">
        <v>230.4</v>
      </c>
      <c r="Y141" s="151">
        <v>215.4</v>
      </c>
      <c r="Z141" s="151">
        <v>188.4</v>
      </c>
      <c r="AA141" s="151">
        <v>150.5</v>
      </c>
      <c r="AB141" s="151">
        <v>112.5</v>
      </c>
      <c r="AC141" s="151">
        <v>88.4</v>
      </c>
      <c r="BC141" s="151">
        <v>13.45</v>
      </c>
      <c r="BD141" s="151">
        <v>13.01</v>
      </c>
      <c r="BE141" s="151">
        <v>12.02</v>
      </c>
      <c r="BF141" s="151">
        <v>11.02</v>
      </c>
      <c r="BG141" s="151">
        <v>10.14</v>
      </c>
      <c r="BH141" s="151">
        <v>9.5299999999999994</v>
      </c>
      <c r="BI141" s="151">
        <v>10.039999999999999</v>
      </c>
      <c r="BJ141" s="151">
        <v>10.48</v>
      </c>
      <c r="BK141" s="151">
        <v>11.47</v>
      </c>
      <c r="BL141" s="151">
        <v>12.5</v>
      </c>
      <c r="BM141" s="151">
        <v>13.36</v>
      </c>
      <c r="BN141" s="151">
        <v>13.58</v>
      </c>
    </row>
    <row r="142" spans="1:66">
      <c r="A142" s="151" t="s">
        <v>1020</v>
      </c>
      <c r="B142" s="707" t="s">
        <v>1021</v>
      </c>
      <c r="C142" s="151" t="s">
        <v>1022</v>
      </c>
      <c r="E142" s="151">
        <v>268.5</v>
      </c>
      <c r="F142" s="151">
        <v>284.60000000000002</v>
      </c>
      <c r="G142" s="151">
        <v>335.2</v>
      </c>
      <c r="H142" s="151">
        <v>342.8</v>
      </c>
      <c r="I142" s="151">
        <v>374.5</v>
      </c>
      <c r="J142" s="151">
        <v>382.1</v>
      </c>
      <c r="K142" s="151">
        <v>372.4</v>
      </c>
      <c r="L142" s="151">
        <v>365.8</v>
      </c>
      <c r="M142" s="151">
        <v>352.6</v>
      </c>
      <c r="N142" s="151">
        <v>338.4</v>
      </c>
      <c r="O142" s="151">
        <v>282.10000000000002</v>
      </c>
      <c r="P142" s="151">
        <v>258.39999999999998</v>
      </c>
      <c r="R142" s="151">
        <v>118.4</v>
      </c>
      <c r="S142" s="151">
        <v>134.19999999999999</v>
      </c>
      <c r="T142" s="151">
        <v>175.6</v>
      </c>
      <c r="U142" s="151">
        <v>205.4</v>
      </c>
      <c r="V142" s="151">
        <v>242.1</v>
      </c>
      <c r="W142" s="151">
        <v>252.6</v>
      </c>
      <c r="X142" s="151">
        <v>238.5</v>
      </c>
      <c r="Y142" s="151">
        <v>225.4</v>
      </c>
      <c r="Z142" s="151">
        <v>202.1</v>
      </c>
      <c r="AA142" s="151">
        <v>172.5</v>
      </c>
      <c r="AB142" s="151">
        <v>130.4</v>
      </c>
      <c r="AC142" s="151">
        <v>108.2</v>
      </c>
      <c r="BC142" s="151">
        <v>13.24</v>
      </c>
      <c r="BD142" s="151">
        <v>12.42</v>
      </c>
      <c r="BE142" s="151">
        <v>12.01</v>
      </c>
      <c r="BF142" s="151">
        <v>11.18</v>
      </c>
      <c r="BG142" s="151">
        <v>10.42</v>
      </c>
      <c r="BH142" s="151">
        <v>10.24</v>
      </c>
      <c r="BI142" s="151">
        <v>10.34</v>
      </c>
      <c r="BJ142" s="151">
        <v>11.04</v>
      </c>
      <c r="BK142" s="151">
        <v>11.48</v>
      </c>
      <c r="BL142" s="151">
        <v>12.32</v>
      </c>
      <c r="BM142" s="151">
        <v>13.12</v>
      </c>
      <c r="BN142" s="151">
        <v>13.38</v>
      </c>
    </row>
    <row r="143" spans="1:66">
      <c r="A143" s="151" t="s">
        <v>1023</v>
      </c>
      <c r="B143" s="707" t="s">
        <v>1024</v>
      </c>
      <c r="C143" s="151" t="s">
        <v>1025</v>
      </c>
      <c r="E143" s="151">
        <v>238.5</v>
      </c>
      <c r="F143" s="151">
        <v>262.39999999999998</v>
      </c>
      <c r="G143" s="151">
        <v>328.5</v>
      </c>
      <c r="H143" s="151">
        <v>355.2</v>
      </c>
      <c r="I143" s="151">
        <v>395.4</v>
      </c>
      <c r="J143" s="151">
        <v>402.1</v>
      </c>
      <c r="K143" s="151">
        <v>398.4</v>
      </c>
      <c r="L143" s="151">
        <v>385.6</v>
      </c>
      <c r="M143" s="151">
        <v>352.4</v>
      </c>
      <c r="N143" s="151">
        <v>302.10000000000002</v>
      </c>
      <c r="O143" s="151">
        <v>255.4</v>
      </c>
      <c r="P143" s="151">
        <v>225.1</v>
      </c>
      <c r="R143" s="151">
        <v>88.5</v>
      </c>
      <c r="S143" s="151">
        <v>112.4</v>
      </c>
      <c r="T143" s="151">
        <v>152.1</v>
      </c>
      <c r="U143" s="151">
        <v>182.4</v>
      </c>
      <c r="V143" s="151">
        <v>218.4</v>
      </c>
      <c r="W143" s="151">
        <v>232.4</v>
      </c>
      <c r="X143" s="151">
        <v>228.5</v>
      </c>
      <c r="Y143" s="151">
        <v>212.4</v>
      </c>
      <c r="Z143" s="151">
        <v>185.2</v>
      </c>
      <c r="AA143" s="151">
        <v>148.4</v>
      </c>
      <c r="AB143" s="151">
        <v>108.5</v>
      </c>
      <c r="AC143" s="151">
        <v>85.4</v>
      </c>
      <c r="BC143" s="151">
        <v>13.43</v>
      </c>
      <c r="BD143" s="151">
        <v>13</v>
      </c>
      <c r="BE143" s="151">
        <v>12.02</v>
      </c>
      <c r="BF143" s="151">
        <v>11.04</v>
      </c>
      <c r="BG143" s="151">
        <v>10.16</v>
      </c>
      <c r="BH143" s="151">
        <v>9.5500000000000007</v>
      </c>
      <c r="BI143" s="151">
        <v>10.06</v>
      </c>
      <c r="BJ143" s="151">
        <v>10.5</v>
      </c>
      <c r="BK143" s="151">
        <v>11.47</v>
      </c>
      <c r="BL143" s="151">
        <v>12.48</v>
      </c>
      <c r="BM143" s="151">
        <v>13.34</v>
      </c>
      <c r="BN143" s="151">
        <v>13.56</v>
      </c>
    </row>
    <row r="144" spans="1:66">
      <c r="A144" s="151" t="s">
        <v>1026</v>
      </c>
      <c r="B144" s="707" t="s">
        <v>1027</v>
      </c>
      <c r="C144" s="151" t="s">
        <v>1028</v>
      </c>
      <c r="E144" s="151">
        <v>228.4</v>
      </c>
      <c r="F144" s="151">
        <v>252.1</v>
      </c>
      <c r="G144" s="151">
        <v>322.39999999999998</v>
      </c>
      <c r="H144" s="151">
        <v>355.4</v>
      </c>
      <c r="I144" s="151">
        <v>392.1</v>
      </c>
      <c r="J144" s="151">
        <v>402.5</v>
      </c>
      <c r="K144" s="151">
        <v>398.4</v>
      </c>
      <c r="L144" s="151">
        <v>385.2</v>
      </c>
      <c r="M144" s="151">
        <v>352.4</v>
      </c>
      <c r="N144" s="151">
        <v>302.10000000000002</v>
      </c>
      <c r="O144" s="151">
        <v>255.2</v>
      </c>
      <c r="P144" s="151">
        <v>222.4</v>
      </c>
      <c r="R144" s="151">
        <v>75.400000000000006</v>
      </c>
      <c r="S144" s="151">
        <v>98.5</v>
      </c>
      <c r="T144" s="151">
        <v>138.4</v>
      </c>
      <c r="U144" s="151">
        <v>168.2</v>
      </c>
      <c r="V144" s="151">
        <v>205.4</v>
      </c>
      <c r="W144" s="151">
        <v>220.1</v>
      </c>
      <c r="X144" s="151">
        <v>218.5</v>
      </c>
      <c r="Y144" s="151">
        <v>202.4</v>
      </c>
      <c r="Z144" s="151">
        <v>175.4</v>
      </c>
      <c r="AA144" s="151">
        <v>135.19999999999999</v>
      </c>
      <c r="AB144" s="151">
        <v>98.4</v>
      </c>
      <c r="AC144" s="151">
        <v>72.400000000000006</v>
      </c>
      <c r="BC144" s="151">
        <v>14.04</v>
      </c>
      <c r="BD144" s="151">
        <v>13.18</v>
      </c>
      <c r="BE144" s="151">
        <v>12.02</v>
      </c>
      <c r="BF144" s="151">
        <v>10.48</v>
      </c>
      <c r="BG144" s="151">
        <v>9.52</v>
      </c>
      <c r="BH144" s="151">
        <v>9.24</v>
      </c>
      <c r="BI144" s="151">
        <v>9.3800000000000008</v>
      </c>
      <c r="BJ144" s="151">
        <v>10.34</v>
      </c>
      <c r="BK144" s="151">
        <v>11.48</v>
      </c>
      <c r="BL144" s="151">
        <v>13.02</v>
      </c>
      <c r="BM144" s="151">
        <v>13.54</v>
      </c>
      <c r="BN144" s="151">
        <v>14.16</v>
      </c>
    </row>
    <row r="145" spans="1:66">
      <c r="A145" s="151" t="s">
        <v>1029</v>
      </c>
      <c r="B145" s="707" t="s">
        <v>1030</v>
      </c>
      <c r="C145" s="151" t="s">
        <v>1031</v>
      </c>
      <c r="E145" s="151">
        <v>130.1</v>
      </c>
      <c r="F145" s="151">
        <v>128.4</v>
      </c>
      <c r="G145" s="151">
        <v>132.5</v>
      </c>
      <c r="H145" s="151">
        <v>125.4</v>
      </c>
      <c r="I145" s="151">
        <v>118.5</v>
      </c>
      <c r="J145" s="151">
        <v>105.4</v>
      </c>
      <c r="K145" s="151">
        <v>98.4</v>
      </c>
      <c r="L145" s="151">
        <v>102.1</v>
      </c>
      <c r="M145" s="151">
        <v>105.4</v>
      </c>
      <c r="N145" s="151">
        <v>115.2</v>
      </c>
      <c r="O145" s="151">
        <v>125.4</v>
      </c>
      <c r="P145" s="151">
        <v>128.19999999999999</v>
      </c>
      <c r="R145" s="151">
        <v>148.80000000000001</v>
      </c>
      <c r="S145" s="151">
        <v>145.6</v>
      </c>
      <c r="T145" s="151">
        <v>151.9</v>
      </c>
      <c r="U145" s="151">
        <v>144</v>
      </c>
      <c r="V145" s="151">
        <v>133.30000000000001</v>
      </c>
      <c r="W145" s="151">
        <v>111</v>
      </c>
      <c r="X145" s="151">
        <v>102.3</v>
      </c>
      <c r="Y145" s="151">
        <v>105.4</v>
      </c>
      <c r="Z145" s="151">
        <v>108</v>
      </c>
      <c r="AA145" s="151">
        <v>127.1</v>
      </c>
      <c r="AB145" s="151">
        <v>141</v>
      </c>
      <c r="AC145" s="151">
        <v>142.6</v>
      </c>
      <c r="BC145" s="151">
        <v>12.18</v>
      </c>
      <c r="BD145" s="151">
        <v>12.08</v>
      </c>
      <c r="BE145" s="151">
        <v>11.58</v>
      </c>
      <c r="BF145" s="151">
        <v>11.48</v>
      </c>
      <c r="BG145" s="151">
        <v>11.4</v>
      </c>
      <c r="BH145" s="151">
        <v>11.38</v>
      </c>
      <c r="BI145" s="151">
        <v>11.42</v>
      </c>
      <c r="BJ145" s="151">
        <v>11.5</v>
      </c>
      <c r="BK145" s="151">
        <v>11.58</v>
      </c>
      <c r="BL145" s="151">
        <v>12.08</v>
      </c>
      <c r="BM145" s="151">
        <v>12.16</v>
      </c>
      <c r="BN145" s="151">
        <v>12.22</v>
      </c>
    </row>
    <row r="146" spans="1:66">
      <c r="A146" s="151" t="s">
        <v>1032</v>
      </c>
      <c r="B146" s="707" t="s">
        <v>1033</v>
      </c>
      <c r="C146" s="151" t="s">
        <v>1034</v>
      </c>
      <c r="E146" s="151">
        <v>145.19999999999999</v>
      </c>
      <c r="F146" s="151">
        <v>148.4</v>
      </c>
      <c r="G146" s="151">
        <v>155.6</v>
      </c>
      <c r="H146" s="151">
        <v>140.5</v>
      </c>
      <c r="I146" s="151">
        <v>130.4</v>
      </c>
      <c r="J146" s="151">
        <v>108.5</v>
      </c>
      <c r="K146" s="151">
        <v>102.1</v>
      </c>
      <c r="L146" s="151">
        <v>105.4</v>
      </c>
      <c r="M146" s="151">
        <v>112.5</v>
      </c>
      <c r="N146" s="151">
        <v>132.4</v>
      </c>
      <c r="O146" s="151">
        <v>145.19999999999999</v>
      </c>
      <c r="P146" s="151">
        <v>142.4</v>
      </c>
      <c r="R146" s="151">
        <v>168.4</v>
      </c>
      <c r="S146" s="151">
        <v>172.5</v>
      </c>
      <c r="T146" s="151">
        <v>185.4</v>
      </c>
      <c r="U146" s="151">
        <v>162.4</v>
      </c>
      <c r="V146" s="151">
        <v>148.1</v>
      </c>
      <c r="W146" s="151">
        <v>125.4</v>
      </c>
      <c r="X146" s="151">
        <v>118.5</v>
      </c>
      <c r="Y146" s="151">
        <v>122.4</v>
      </c>
      <c r="Z146" s="151">
        <v>131.5</v>
      </c>
      <c r="AA146" s="151">
        <v>155.19999999999999</v>
      </c>
      <c r="AB146" s="151">
        <v>168.4</v>
      </c>
      <c r="AC146" s="151">
        <v>165.1</v>
      </c>
      <c r="BC146" s="151">
        <v>12.16</v>
      </c>
      <c r="BD146" s="151">
        <v>12.07</v>
      </c>
      <c r="BE146" s="151">
        <v>11.58</v>
      </c>
      <c r="BF146" s="151">
        <v>11.49</v>
      </c>
      <c r="BG146" s="151">
        <v>11.42</v>
      </c>
      <c r="BH146" s="151">
        <v>11.4</v>
      </c>
      <c r="BI146" s="151">
        <v>11.44</v>
      </c>
      <c r="BJ146" s="151">
        <v>11.51</v>
      </c>
      <c r="BK146" s="151">
        <v>11.58</v>
      </c>
      <c r="BL146" s="151">
        <v>12.07</v>
      </c>
      <c r="BM146" s="151">
        <v>12.15</v>
      </c>
      <c r="BN146" s="151">
        <v>12.2</v>
      </c>
    </row>
    <row r="147" spans="1:66">
      <c r="A147" s="151" t="s">
        <v>1035</v>
      </c>
      <c r="B147" s="707" t="s">
        <v>1036</v>
      </c>
      <c r="C147" s="151" t="s">
        <v>1037</v>
      </c>
      <c r="E147" s="151">
        <v>225.4</v>
      </c>
      <c r="F147" s="151">
        <v>250.2</v>
      </c>
      <c r="G147" s="151">
        <v>318.5</v>
      </c>
      <c r="H147" s="151">
        <v>352.4</v>
      </c>
      <c r="I147" s="151">
        <v>388.4</v>
      </c>
      <c r="J147" s="151">
        <v>398.5</v>
      </c>
      <c r="K147" s="151">
        <v>395.1</v>
      </c>
      <c r="L147" s="151">
        <v>382.4</v>
      </c>
      <c r="M147" s="151">
        <v>348.7</v>
      </c>
      <c r="N147" s="151">
        <v>298.39999999999998</v>
      </c>
      <c r="O147" s="151">
        <v>248.5</v>
      </c>
      <c r="P147" s="151">
        <v>218.6</v>
      </c>
      <c r="R147" s="151">
        <v>72.5</v>
      </c>
      <c r="S147" s="151">
        <v>95.2</v>
      </c>
      <c r="T147" s="151">
        <v>135.4</v>
      </c>
      <c r="U147" s="151">
        <v>165.2</v>
      </c>
      <c r="V147" s="151">
        <v>200.4</v>
      </c>
      <c r="W147" s="151">
        <v>215.8</v>
      </c>
      <c r="X147" s="151">
        <v>212.4</v>
      </c>
      <c r="Y147" s="151">
        <v>198.1</v>
      </c>
      <c r="Z147" s="151">
        <v>172.4</v>
      </c>
      <c r="AA147" s="151">
        <v>132.4</v>
      </c>
      <c r="AB147" s="151">
        <v>95</v>
      </c>
      <c r="AC147" s="151">
        <v>68.5</v>
      </c>
      <c r="BC147" s="151">
        <v>14.02</v>
      </c>
      <c r="BD147" s="151">
        <v>13.16</v>
      </c>
      <c r="BE147" s="151">
        <v>12.02</v>
      </c>
      <c r="BF147" s="151">
        <v>10.5</v>
      </c>
      <c r="BG147" s="151">
        <v>9.56</v>
      </c>
      <c r="BH147" s="151">
        <v>9.2799999999999994</v>
      </c>
      <c r="BI147" s="151">
        <v>9.42</v>
      </c>
      <c r="BJ147" s="151">
        <v>10.38</v>
      </c>
      <c r="BK147" s="151">
        <v>11.48</v>
      </c>
      <c r="BL147" s="151">
        <v>13</v>
      </c>
      <c r="BM147" s="151">
        <v>13.52</v>
      </c>
      <c r="BN147" s="151">
        <v>14.14</v>
      </c>
    </row>
    <row r="148" spans="1:66">
      <c r="A148" s="151" t="s">
        <v>1038</v>
      </c>
      <c r="B148" s="707" t="s">
        <v>1039</v>
      </c>
      <c r="C148" s="151" t="s">
        <v>1040</v>
      </c>
      <c r="E148" s="151">
        <v>92.4</v>
      </c>
      <c r="F148" s="151">
        <v>122.1</v>
      </c>
      <c r="G148" s="151">
        <v>188.4</v>
      </c>
      <c r="H148" s="151">
        <v>248.5</v>
      </c>
      <c r="I148" s="151">
        <v>312.39999999999998</v>
      </c>
      <c r="J148" s="151">
        <v>345.6</v>
      </c>
      <c r="K148" s="151">
        <v>338.4</v>
      </c>
      <c r="L148" s="151">
        <v>298.39999999999998</v>
      </c>
      <c r="M148" s="151">
        <v>235.5</v>
      </c>
      <c r="N148" s="151">
        <v>175.4</v>
      </c>
      <c r="O148" s="151">
        <v>125.4</v>
      </c>
      <c r="P148" s="151">
        <v>102.1</v>
      </c>
      <c r="R148" s="151">
        <v>224.2</v>
      </c>
      <c r="S148" s="151">
        <v>210.5</v>
      </c>
      <c r="T148" s="151">
        <v>188.4</v>
      </c>
      <c r="U148" s="151">
        <v>161.19999999999999</v>
      </c>
      <c r="V148" s="151">
        <v>145.19999999999999</v>
      </c>
      <c r="W148" s="151">
        <v>134.19999999999999</v>
      </c>
      <c r="X148" s="151">
        <v>138.5</v>
      </c>
      <c r="Y148" s="151">
        <v>155.19999999999999</v>
      </c>
      <c r="Z148" s="151">
        <v>178.5</v>
      </c>
      <c r="AA148" s="151">
        <v>208.4</v>
      </c>
      <c r="AB148" s="151">
        <v>230.1</v>
      </c>
      <c r="AC148" s="151">
        <v>225.1</v>
      </c>
      <c r="BC148" s="151">
        <v>9.52</v>
      </c>
      <c r="BD148" s="151">
        <v>10.48</v>
      </c>
      <c r="BE148" s="151">
        <v>11.48</v>
      </c>
      <c r="BF148" s="151">
        <v>13.02</v>
      </c>
      <c r="BG148" s="151">
        <v>13.54</v>
      </c>
      <c r="BH148" s="151">
        <v>14.16</v>
      </c>
      <c r="BI148" s="151">
        <v>14.04</v>
      </c>
      <c r="BJ148" s="151">
        <v>13.18</v>
      </c>
      <c r="BK148" s="151">
        <v>12.02</v>
      </c>
      <c r="BL148" s="151">
        <v>10.5</v>
      </c>
      <c r="BM148" s="151">
        <v>10.02</v>
      </c>
      <c r="BN148" s="151">
        <v>9.44</v>
      </c>
    </row>
    <row r="167" spans="2:2" s="761" customFormat="1">
      <c r="B167" s="760"/>
    </row>
    <row r="168" spans="2:2" s="761" customFormat="1">
      <c r="B168" s="760"/>
    </row>
    <row r="169" spans="2:2" s="761" customFormat="1">
      <c r="B169" s="760"/>
    </row>
    <row r="170" spans="2:2" s="761" customFormat="1">
      <c r="B170" s="760"/>
    </row>
    <row r="171" spans="2:2" s="761" customFormat="1">
      <c r="B171" s="760"/>
    </row>
    <row r="172" spans="2:2" s="761" customFormat="1">
      <c r="B172" s="760"/>
    </row>
    <row r="173" spans="2:2" s="761" customFormat="1">
      <c r="B173" s="760"/>
    </row>
    <row r="174" spans="2:2" s="761" customFormat="1">
      <c r="B174" s="760"/>
    </row>
    <row r="175" spans="2:2" s="761" customFormat="1">
      <c r="B175" s="760"/>
    </row>
    <row r="176" spans="2:2" s="761" customFormat="1">
      <c r="B176" s="760"/>
    </row>
    <row r="177" spans="2:2" s="761" customFormat="1">
      <c r="B177" s="760"/>
    </row>
    <row r="178" spans="2:2" s="761" customFormat="1">
      <c r="B178" s="760"/>
    </row>
    <row r="179" spans="2:2" s="761" customFormat="1">
      <c r="B179" s="760"/>
    </row>
    <row r="180" spans="2:2" s="761" customFormat="1">
      <c r="B180" s="760"/>
    </row>
    <row r="181" spans="2:2" s="761" customFormat="1">
      <c r="B181" s="760"/>
    </row>
    <row r="182" spans="2:2" s="761" customFormat="1">
      <c r="B182" s="760"/>
    </row>
    <row r="183" spans="2:2" s="761" customFormat="1">
      <c r="B183" s="760"/>
    </row>
    <row r="184" spans="2:2" s="761" customFormat="1">
      <c r="B184" s="760"/>
    </row>
    <row r="185" spans="2:2" s="761" customFormat="1">
      <c r="B185" s="760"/>
    </row>
    <row r="186" spans="2:2" s="761" customFormat="1">
      <c r="B186" s="760"/>
    </row>
    <row r="187" spans="2:2" s="761" customFormat="1">
      <c r="B187" s="760"/>
    </row>
    <row r="188" spans="2:2" s="761" customFormat="1">
      <c r="B188" s="760"/>
    </row>
    <row r="189" spans="2:2" s="761" customFormat="1">
      <c r="B189" s="760"/>
    </row>
    <row r="190" spans="2:2" s="761" customFormat="1">
      <c r="B190" s="760"/>
    </row>
    <row r="191" spans="2:2" s="761" customFormat="1">
      <c r="B191" s="760"/>
    </row>
    <row r="192" spans="2:2" s="761" customFormat="1">
      <c r="B192" s="760"/>
    </row>
    <row r="193" spans="2:2" s="761" customFormat="1">
      <c r="B193" s="760"/>
    </row>
    <row r="194" spans="2:2" s="761" customFormat="1">
      <c r="B194" s="760"/>
    </row>
    <row r="195" spans="2:2" s="761" customFormat="1">
      <c r="B195" s="760"/>
    </row>
    <row r="196" spans="2:2" s="761" customFormat="1">
      <c r="B196" s="760"/>
    </row>
    <row r="197" spans="2:2" s="761" customFormat="1">
      <c r="B197" s="760"/>
    </row>
    <row r="198" spans="2:2" s="761" customFormat="1">
      <c r="B198" s="760"/>
    </row>
    <row r="199" spans="2:2" s="761" customFormat="1">
      <c r="B199" s="760"/>
    </row>
    <row r="200" spans="2:2" s="761" customFormat="1">
      <c r="B200" s="760"/>
    </row>
    <row r="201" spans="2:2" s="761" customFormat="1">
      <c r="B201" s="760"/>
    </row>
    <row r="202" spans="2:2" s="761" customFormat="1">
      <c r="B202" s="760"/>
    </row>
    <row r="203" spans="2:2" s="761" customFormat="1">
      <c r="B203" s="760"/>
    </row>
    <row r="204" spans="2:2" s="761" customFormat="1">
      <c r="B204" s="760"/>
    </row>
    <row r="205" spans="2:2" s="761" customFormat="1">
      <c r="B205" s="760"/>
    </row>
    <row r="206" spans="2:2" s="761" customFormat="1">
      <c r="B206" s="760"/>
    </row>
    <row r="207" spans="2:2" s="761" customFormat="1">
      <c r="B207" s="760"/>
    </row>
    <row r="208" spans="2:2" s="761" customFormat="1">
      <c r="B208" s="760"/>
    </row>
    <row r="209" spans="2:2" s="761" customFormat="1">
      <c r="B209" s="760"/>
    </row>
    <row r="210" spans="2:2" s="761" customFormat="1">
      <c r="B210" s="760"/>
    </row>
    <row r="211" spans="2:2" s="761" customFormat="1">
      <c r="B211" s="760"/>
    </row>
    <row r="212" spans="2:2" s="761" customFormat="1">
      <c r="B212" s="760"/>
    </row>
    <row r="213" spans="2:2" s="761" customFormat="1">
      <c r="B213" s="760"/>
    </row>
    <row r="214" spans="2:2" s="761" customFormat="1">
      <c r="B214" s="760"/>
    </row>
    <row r="215" spans="2:2" s="761" customFormat="1">
      <c r="B215" s="760"/>
    </row>
    <row r="216" spans="2:2" s="761" customFormat="1">
      <c r="B216" s="760"/>
    </row>
    <row r="217" spans="2:2" s="761" customFormat="1">
      <c r="B217" s="760"/>
    </row>
    <row r="218" spans="2:2" s="761" customFormat="1">
      <c r="B218" s="760"/>
    </row>
    <row r="219" spans="2:2" s="761" customFormat="1">
      <c r="B219" s="760"/>
    </row>
    <row r="220" spans="2:2" s="761" customFormat="1">
      <c r="B220" s="760"/>
    </row>
    <row r="221" spans="2:2" s="761" customFormat="1">
      <c r="B221" s="760"/>
    </row>
    <row r="222" spans="2:2" s="761" customFormat="1">
      <c r="B222" s="760"/>
    </row>
    <row r="223" spans="2:2" s="761" customFormat="1">
      <c r="B223" s="760"/>
    </row>
    <row r="224" spans="2:2" s="761" customFormat="1">
      <c r="B224" s="760"/>
    </row>
    <row r="225" spans="2:2" s="761" customFormat="1">
      <c r="B225" s="760"/>
    </row>
    <row r="226" spans="2:2" s="761" customFormat="1">
      <c r="B226" s="760"/>
    </row>
    <row r="227" spans="2:2" s="761" customFormat="1">
      <c r="B227" s="760"/>
    </row>
    <row r="228" spans="2:2" s="761" customFormat="1">
      <c r="B228" s="760"/>
    </row>
    <row r="229" spans="2:2" s="761" customFormat="1">
      <c r="B229" s="760"/>
    </row>
    <row r="230" spans="2:2" s="761" customFormat="1">
      <c r="B230" s="760"/>
    </row>
    <row r="231" spans="2:2" s="761" customFormat="1">
      <c r="B231" s="760"/>
    </row>
    <row r="232" spans="2:2" s="761" customFormat="1">
      <c r="B232" s="760"/>
    </row>
    <row r="233" spans="2:2" s="761" customFormat="1">
      <c r="B233" s="760"/>
    </row>
    <row r="234" spans="2:2" s="761" customFormat="1">
      <c r="B234" s="760"/>
    </row>
    <row r="235" spans="2:2" s="761" customFormat="1">
      <c r="B235" s="760"/>
    </row>
    <row r="236" spans="2:2" s="761" customFormat="1">
      <c r="B236" s="760"/>
    </row>
    <row r="237" spans="2:2" s="761" customFormat="1">
      <c r="B237" s="760"/>
    </row>
    <row r="238" spans="2:2" s="761" customFormat="1">
      <c r="B238" s="760"/>
    </row>
    <row r="239" spans="2:2" s="761" customFormat="1">
      <c r="B239" s="760"/>
    </row>
    <row r="240" spans="2:2" s="761" customFormat="1">
      <c r="B240" s="760"/>
    </row>
    <row r="241" spans="2:2" s="761" customFormat="1">
      <c r="B241" s="760"/>
    </row>
    <row r="242" spans="2:2" s="761" customFormat="1">
      <c r="B242" s="760"/>
    </row>
    <row r="243" spans="2:2" s="761" customFormat="1">
      <c r="B243" s="760"/>
    </row>
    <row r="244" spans="2:2" s="761" customFormat="1">
      <c r="B244" s="760"/>
    </row>
    <row r="245" spans="2:2" s="761" customFormat="1">
      <c r="B245" s="760"/>
    </row>
    <row r="246" spans="2:2" s="761" customFormat="1">
      <c r="B246" s="760"/>
    </row>
    <row r="247" spans="2:2" s="761" customFormat="1">
      <c r="B247" s="760"/>
    </row>
    <row r="248" spans="2:2" s="761" customFormat="1">
      <c r="B248" s="760"/>
    </row>
    <row r="249" spans="2:2" s="761" customFormat="1">
      <c r="B249" s="760"/>
    </row>
    <row r="250" spans="2:2" s="761" customFormat="1">
      <c r="B250" s="760"/>
    </row>
    <row r="251" spans="2:2" s="761" customFormat="1">
      <c r="B251" s="760"/>
    </row>
    <row r="252" spans="2:2" s="761" customFormat="1">
      <c r="B252" s="760"/>
    </row>
    <row r="253" spans="2:2" s="761" customFormat="1">
      <c r="B253" s="760"/>
    </row>
    <row r="254" spans="2:2" s="761" customFormat="1">
      <c r="B254" s="760"/>
    </row>
    <row r="255" spans="2:2" s="761" customFormat="1">
      <c r="B255" s="760"/>
    </row>
    <row r="256" spans="2:2" s="761" customFormat="1">
      <c r="B256" s="760"/>
    </row>
    <row r="257" spans="2:2" s="761" customFormat="1">
      <c r="B257" s="760"/>
    </row>
    <row r="258" spans="2:2" s="761" customFormat="1">
      <c r="B258" s="760"/>
    </row>
    <row r="259" spans="2:2" s="761" customFormat="1">
      <c r="B259" s="760"/>
    </row>
    <row r="260" spans="2:2" s="761" customFormat="1">
      <c r="B260" s="760"/>
    </row>
    <row r="261" spans="2:2" s="761" customFormat="1">
      <c r="B261" s="760"/>
    </row>
    <row r="262" spans="2:2" s="761" customFormat="1">
      <c r="B262" s="760"/>
    </row>
    <row r="263" spans="2:2" s="761" customFormat="1">
      <c r="B263" s="760"/>
    </row>
    <row r="264" spans="2:2" s="761" customFormat="1">
      <c r="B264" s="760"/>
    </row>
    <row r="265" spans="2:2" s="761" customFormat="1">
      <c r="B265" s="760"/>
    </row>
    <row r="266" spans="2:2" s="761" customFormat="1">
      <c r="B266" s="760"/>
    </row>
    <row r="267" spans="2:2" s="761" customFormat="1">
      <c r="B267" s="760"/>
    </row>
    <row r="268" spans="2:2" s="761" customFormat="1">
      <c r="B268" s="760"/>
    </row>
    <row r="269" spans="2:2" s="761" customFormat="1">
      <c r="B269" s="760"/>
    </row>
    <row r="270" spans="2:2" s="761" customFormat="1">
      <c r="B270" s="760"/>
    </row>
    <row r="271" spans="2:2" s="761" customFormat="1">
      <c r="B271" s="760"/>
    </row>
    <row r="272" spans="2:2" s="761" customFormat="1">
      <c r="B272" s="760"/>
    </row>
    <row r="273" spans="2:2" s="761" customFormat="1">
      <c r="B273" s="760"/>
    </row>
    <row r="274" spans="2:2" s="761" customFormat="1">
      <c r="B274" s="760"/>
    </row>
    <row r="275" spans="2:2" s="761" customFormat="1">
      <c r="B275" s="760"/>
    </row>
    <row r="276" spans="2:2" s="761" customFormat="1">
      <c r="B276" s="760"/>
    </row>
    <row r="277" spans="2:2" s="761" customFormat="1">
      <c r="B277" s="760"/>
    </row>
    <row r="278" spans="2:2" s="761" customFormat="1">
      <c r="B278" s="760"/>
    </row>
    <row r="279" spans="2:2" s="761" customFormat="1">
      <c r="B279" s="760"/>
    </row>
    <row r="280" spans="2:2" s="761" customFormat="1">
      <c r="B280" s="760"/>
    </row>
  </sheetData>
  <mergeCells count="3">
    <mergeCell ref="A8:G19"/>
    <mergeCell ref="K8:U19"/>
    <mergeCell ref="O6:P6"/>
  </mergeCells>
  <hyperlinks>
    <hyperlink ref="A8" r:id="rId1" display="https://www.google.com/search?q=radiazione+solare+liu+jordan&amp;sourceid=chrome&amp;ie=UTF-8&amp;aep=48&amp;cud=0&amp;qsubts=1772355822048&amp;source=chrome.crn.obic&amp;mstk=AUtExfDhnXnztuexv3urkn4rFOe4JLD2HzH0ssJWpp7BhtLij4-PPzdumLehu_NYrVi0e_vLrPrDvPfSxmdAOKkOgge8tEGoIgX4rnHhEsAL52ucRahFi1Z9USDIy7PP_IkJXaCYEfW0AgABaFF7DZBB0UYnYFcgHohawtvuFnBQp4hhbNrF4H5EwbwSkUuRRscPm19qKGd_lK_pK2SqheNJt8u9gE8PKSQ9ycHZAKirDQIQDMk3s0MzRxMIJfwLkR2Cz05T7hFAMvEOqg&amp;csuir=1&amp;mtid=-wCkadn7CNu8i-gPvKfa8A0&amp;lns_mode=cvst&amp;udm=50" xr:uid="{00000000-0004-0000-0800-000000000000}"/>
    <hyperlink ref="K8" r:id="rId2" display="https://www.google.com/search?q=radiazione+solare+liu+jordan&amp;sourceid=chrome&amp;ie=UTF-8&amp;aep=48&amp;cud=0&amp;qsubts=1772355822048&amp;source=chrome.crn.obic&amp;mstk=AUtExfC8uruuWgBMLo61gdczlFaIyo-g8808VtalP4H0NvKGDY6E5uxW9juoJHMP71DUuEhOloOekri5amgk6ZORIYHSvxpZganQoNUtTarFBJrkbhGVwVkXuOUQrDXi2i8r0UVGrDiyiAn-PlLVL_oEqCLCogOqMugAahVP9K29pa5RXu3G2GkCBY9F7En-JSydVSUVIc8zwSZ5-XJgyugNqKuQNR47FU3H2iXVCWe1tldX12Xiw2qRKRaRMwaesW7tPYyKsgRjpt_Enw&amp;csuir=1&amp;mtid=-wCkadn7CNu8i-gPvKfa8A0&amp;lns_mode=cvst&amp;udm=50" xr:uid="{00000000-0004-0000-0800-000001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4"/>
  <dimension ref="A1:CF119"/>
  <sheetViews>
    <sheetView zoomScale="148" zoomScaleNormal="148" workbookViewId="0">
      <pane ySplit="10" topLeftCell="A75" activePane="bottomLeft" state="frozen"/>
      <selection pane="bottomLeft" activeCell="A75" sqref="A75:A76"/>
    </sheetView>
  </sheetViews>
  <sheetFormatPr defaultColWidth="8.85546875" defaultRowHeight="12.75"/>
  <cols>
    <col min="1" max="1" width="27.85546875" style="157" customWidth="1"/>
    <col min="2" max="2" width="13" style="492" customWidth="1"/>
    <col min="3" max="3" width="15.42578125" style="492" customWidth="1"/>
    <col min="4" max="4" width="13.28515625" style="151" hidden="1" customWidth="1"/>
    <col min="5" max="16" width="5.7109375" style="160" customWidth="1"/>
    <col min="17" max="17" width="5.7109375" style="156" hidden="1" customWidth="1"/>
    <col min="18" max="29" width="5.7109375" style="161" customWidth="1"/>
    <col min="30" max="41" width="5.7109375" style="162" hidden="1" customWidth="1"/>
    <col min="42" max="42" width="5.7109375" style="151" hidden="1" customWidth="1"/>
    <col min="43" max="54" width="8.85546875" style="158" hidden="1" customWidth="1"/>
    <col min="55" max="66" width="6.7109375" style="159" customWidth="1"/>
    <col min="67" max="94" width="8.85546875" style="151" customWidth="1"/>
    <col min="95" max="16384" width="8.85546875" style="151"/>
  </cols>
  <sheetData>
    <row r="1" spans="1:66" ht="12" customHeight="1">
      <c r="A1" s="151">
        <v>1</v>
      </c>
      <c r="B1" s="486">
        <f t="shared" ref="B1:AG1" si="0">A1+1</f>
        <v>2</v>
      </c>
      <c r="C1" s="486">
        <f t="shared" si="0"/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ref="AH1:BN1" si="1">AG1+1</f>
        <v>34</v>
      </c>
      <c r="AI1" s="151">
        <f t="shared" si="1"/>
        <v>35</v>
      </c>
      <c r="AJ1" s="151">
        <f t="shared" si="1"/>
        <v>36</v>
      </c>
      <c r="AK1" s="151">
        <f t="shared" si="1"/>
        <v>37</v>
      </c>
      <c r="AL1" s="151">
        <f t="shared" si="1"/>
        <v>38</v>
      </c>
      <c r="AM1" s="151">
        <f t="shared" si="1"/>
        <v>39</v>
      </c>
      <c r="AN1" s="151">
        <f t="shared" si="1"/>
        <v>40</v>
      </c>
      <c r="AO1" s="151">
        <f t="shared" si="1"/>
        <v>41</v>
      </c>
      <c r="AP1" s="151">
        <f t="shared" si="1"/>
        <v>42</v>
      </c>
      <c r="AQ1" s="151">
        <f t="shared" si="1"/>
        <v>43</v>
      </c>
      <c r="AR1" s="151">
        <f t="shared" si="1"/>
        <v>44</v>
      </c>
      <c r="AS1" s="151">
        <f t="shared" si="1"/>
        <v>45</v>
      </c>
      <c r="AT1" s="151">
        <f t="shared" si="1"/>
        <v>46</v>
      </c>
      <c r="AU1" s="151">
        <f t="shared" si="1"/>
        <v>47</v>
      </c>
      <c r="AV1" s="151">
        <f t="shared" si="1"/>
        <v>48</v>
      </c>
      <c r="AW1" s="151">
        <f t="shared" si="1"/>
        <v>49</v>
      </c>
      <c r="AX1" s="151">
        <f t="shared" si="1"/>
        <v>50</v>
      </c>
      <c r="AY1" s="151">
        <f t="shared" si="1"/>
        <v>51</v>
      </c>
      <c r="AZ1" s="151">
        <f t="shared" si="1"/>
        <v>52</v>
      </c>
      <c r="BA1" s="151">
        <f t="shared" si="1"/>
        <v>53</v>
      </c>
      <c r="BB1" s="151">
        <f t="shared" si="1"/>
        <v>54</v>
      </c>
      <c r="BC1" s="151">
        <f t="shared" si="1"/>
        <v>55</v>
      </c>
      <c r="BD1" s="151">
        <f t="shared" si="1"/>
        <v>56</v>
      </c>
      <c r="BE1" s="151">
        <f t="shared" si="1"/>
        <v>57</v>
      </c>
      <c r="BF1" s="151">
        <f t="shared" si="1"/>
        <v>58</v>
      </c>
      <c r="BG1" s="151">
        <f t="shared" si="1"/>
        <v>59</v>
      </c>
      <c r="BH1" s="151">
        <f t="shared" si="1"/>
        <v>60</v>
      </c>
      <c r="BI1" s="151">
        <f t="shared" si="1"/>
        <v>61</v>
      </c>
      <c r="BJ1" s="151">
        <f t="shared" si="1"/>
        <v>62</v>
      </c>
      <c r="BK1" s="151">
        <f t="shared" si="1"/>
        <v>63</v>
      </c>
      <c r="BL1" s="151">
        <f t="shared" si="1"/>
        <v>64</v>
      </c>
      <c r="BM1" s="151">
        <f t="shared" si="1"/>
        <v>65</v>
      </c>
      <c r="BN1" s="151">
        <f t="shared" si="1"/>
        <v>66</v>
      </c>
    </row>
    <row r="2" spans="1:66" ht="22.5" customHeight="1">
      <c r="A2" s="152" t="str">
        <f>_xlfn.CONCAT(A4," - ",A5)</f>
        <v xml:space="preserve"> - </v>
      </c>
      <c r="B2" s="487">
        <f>Foglio1!K2</f>
        <v>0</v>
      </c>
      <c r="C2" s="487">
        <f>Foglio1!K3</f>
        <v>0</v>
      </c>
      <c r="E2" s="151">
        <f>Foglio1!D27+Foglio1!I27+Foglio1!I27+Foglio1!N27</f>
        <v>0</v>
      </c>
      <c r="F2" s="151">
        <f>Foglio1!D28+Foglio1!I28+Foglio1!I28+Foglio1!N28</f>
        <v>0</v>
      </c>
      <c r="G2" s="151">
        <f>Foglio1!D29+Foglio1!I29+Foglio1!I29+Foglio1!N29</f>
        <v>0</v>
      </c>
      <c r="H2" s="151">
        <f>Foglio1!D30+Foglio1!I30+Foglio1!I30+Foglio1!N30</f>
        <v>0</v>
      </c>
      <c r="I2" s="151">
        <f>Foglio1!D31+Foglio1!I31+Foglio1!I31+Foglio1!N31</f>
        <v>0</v>
      </c>
      <c r="J2" s="151">
        <f>Foglio1!D32+Foglio1!I32+Foglio1!I32+Foglio1!N32</f>
        <v>0</v>
      </c>
      <c r="K2" s="151">
        <f>Foglio1!D33+Foglio1!I33+Foglio1!I33+Foglio1!N33</f>
        <v>0</v>
      </c>
      <c r="L2" s="151">
        <f>Foglio1!D34+Foglio1!I34+Foglio1!I34+Foglio1!N34</f>
        <v>0</v>
      </c>
      <c r="M2" s="151">
        <f>Foglio1!D35+Foglio1!I35+Foglio1!I35+Foglio1!N35</f>
        <v>0</v>
      </c>
      <c r="N2" s="151">
        <f>Foglio1!D36+Foglio1!I36+Foglio1!I36+Foglio1!N36</f>
        <v>0</v>
      </c>
      <c r="O2" s="151">
        <f>Foglio1!D37+Foglio1!I37+Foglio1!I37+Foglio1!N37</f>
        <v>0</v>
      </c>
      <c r="P2" s="151">
        <f>Foglio1!D38+Foglio1!I38+Foglio1!I38+Foglio1!N38</f>
        <v>0</v>
      </c>
      <c r="Q2" s="153">
        <f>E2+F2+G2+H2+I2+J2+K2+L2+M2+N2+O2+P2</f>
        <v>0</v>
      </c>
      <c r="R2" s="151">
        <f>Foglio1!D8</f>
        <v>0</v>
      </c>
      <c r="S2" s="151">
        <f>Foglio1!D9</f>
        <v>0</v>
      </c>
      <c r="T2" s="151">
        <f>Foglio1!D10</f>
        <v>0</v>
      </c>
      <c r="U2" s="151">
        <f>Foglio1!D11</f>
        <v>0</v>
      </c>
      <c r="V2" s="151">
        <f>Foglio1!D12</f>
        <v>0</v>
      </c>
      <c r="W2" s="151">
        <f>Foglio1!D13</f>
        <v>0</v>
      </c>
      <c r="X2" s="151">
        <f>Foglio1!D14</f>
        <v>0</v>
      </c>
      <c r="Y2" s="151">
        <f>Foglio1!D15</f>
        <v>0</v>
      </c>
      <c r="Z2" s="151">
        <f>Foglio1!D16</f>
        <v>0</v>
      </c>
      <c r="AA2" s="151">
        <f>Foglio1!D17</f>
        <v>0</v>
      </c>
      <c r="AB2" s="151">
        <f>Foglio1!D18</f>
        <v>0</v>
      </c>
      <c r="AC2" s="151">
        <f>Foglio1!D19</f>
        <v>0</v>
      </c>
      <c r="AD2" s="151">
        <f>Foglio1!I8</f>
        <v>0</v>
      </c>
      <c r="AE2" s="151">
        <f>Foglio1!I9</f>
        <v>0</v>
      </c>
      <c r="AF2" s="151">
        <f>Foglio1!I10</f>
        <v>0</v>
      </c>
      <c r="AG2" s="151">
        <f>Foglio1!I11</f>
        <v>0</v>
      </c>
      <c r="AH2" s="151">
        <f>Foglio1!I12</f>
        <v>0</v>
      </c>
      <c r="AI2" s="151">
        <f>Foglio1!I13</f>
        <v>0</v>
      </c>
      <c r="AJ2" s="151">
        <f>Foglio1!I14</f>
        <v>0</v>
      </c>
      <c r="AK2" s="151">
        <f>Foglio1!I15</f>
        <v>0</v>
      </c>
      <c r="AL2" s="151">
        <f>Foglio1!I16</f>
        <v>0</v>
      </c>
      <c r="AM2" s="151">
        <f>Foglio1!I17</f>
        <v>0</v>
      </c>
      <c r="AN2" s="151">
        <f>Foglio1!I18</f>
        <v>0</v>
      </c>
      <c r="AO2" s="151">
        <f>Foglio1!I19</f>
        <v>0</v>
      </c>
      <c r="AQ2" s="154" t="s">
        <v>1041</v>
      </c>
      <c r="AR2" s="154" t="s">
        <v>1041</v>
      </c>
      <c r="AS2" s="154" t="s">
        <v>1041</v>
      </c>
      <c r="AT2" s="154" t="s">
        <v>1041</v>
      </c>
      <c r="AU2" s="154" t="s">
        <v>1041</v>
      </c>
      <c r="AV2" s="154" t="s">
        <v>1041</v>
      </c>
      <c r="AW2" s="154" t="s">
        <v>1041</v>
      </c>
      <c r="AX2" s="154" t="s">
        <v>1041</v>
      </c>
      <c r="AY2" s="154" t="s">
        <v>1041</v>
      </c>
      <c r="AZ2" s="154" t="s">
        <v>1041</v>
      </c>
      <c r="BA2" s="154" t="s">
        <v>1041</v>
      </c>
      <c r="BB2" s="154" t="s">
        <v>1041</v>
      </c>
      <c r="BC2" s="155">
        <f>Foglio1!M8</f>
        <v>11.880993437403456</v>
      </c>
      <c r="BD2" s="155">
        <f>Foglio1!M9</f>
        <v>11.886143506002783</v>
      </c>
      <c r="BE2" s="155">
        <f>Foglio1!M10</f>
        <v>11.888846731492613</v>
      </c>
      <c r="BF2" s="155">
        <f>Foglio1!M11</f>
        <v>11.887241525923248</v>
      </c>
      <c r="BG2" s="155">
        <f>Foglio1!M12</f>
        <v>11.882570026452477</v>
      </c>
      <c r="BH2" s="155">
        <f>Foglio1!M13</f>
        <v>11.879020358501492</v>
      </c>
      <c r="BI2" s="155">
        <f>Foglio1!M14</f>
        <v>11.880606626265184</v>
      </c>
      <c r="BJ2" s="155">
        <f>Foglio1!M15</f>
        <v>11.885540527833033</v>
      </c>
      <c r="BK2" s="155">
        <f>Foglio1!M16</f>
        <v>11.888771766142698</v>
      </c>
      <c r="BL2" s="155">
        <f>Foglio1!M17</f>
        <v>11.887647714555529</v>
      </c>
      <c r="BM2" s="155">
        <f>Foglio1!M18</f>
        <v>11.882808977070816</v>
      </c>
      <c r="BN2" s="739">
        <f>Foglio1!M19</f>
        <v>11.879159900258408</v>
      </c>
    </row>
    <row r="3" spans="1:66" ht="31.15" customHeight="1" thickBot="1">
      <c r="A3" s="706" t="str">
        <f>IA!A2</f>
        <v>Italia_Sorrento</v>
      </c>
      <c r="B3" s="706" t="str">
        <f>IA!B2</f>
        <v>40° 37' 40'' N</v>
      </c>
      <c r="C3" s="706" t="str">
        <f>IA!C2</f>
        <v>14° 22' 40'' E</v>
      </c>
      <c r="D3" s="706">
        <f>IA!D2</f>
        <v>0</v>
      </c>
      <c r="E3" s="706">
        <f>IA!E2</f>
        <v>198.4</v>
      </c>
      <c r="F3" s="706">
        <f>IA!F2</f>
        <v>225.6</v>
      </c>
      <c r="G3" s="706">
        <f>IA!G2</f>
        <v>318.39999999999998</v>
      </c>
      <c r="H3" s="706">
        <f>IA!H2</f>
        <v>358.2</v>
      </c>
      <c r="I3" s="706">
        <f>IA!I2</f>
        <v>418.5</v>
      </c>
      <c r="J3" s="706">
        <f>IA!J2</f>
        <v>422.1</v>
      </c>
      <c r="K3" s="706">
        <f>IA!K2</f>
        <v>442.4</v>
      </c>
      <c r="L3" s="706">
        <f>IA!L2</f>
        <v>408.2</v>
      </c>
      <c r="M3" s="706">
        <f>IA!M2</f>
        <v>340.5</v>
      </c>
      <c r="N3" s="706">
        <f>IA!N2</f>
        <v>275.39999999999998</v>
      </c>
      <c r="O3" s="706">
        <f>IA!O2</f>
        <v>205.6</v>
      </c>
      <c r="P3" s="706">
        <f>IA!P2</f>
        <v>185.2</v>
      </c>
      <c r="Q3" s="706">
        <f>IA!Q2</f>
        <v>0</v>
      </c>
      <c r="R3" s="706">
        <f>IA!R2</f>
        <v>64.2</v>
      </c>
      <c r="S3" s="706">
        <f>IA!S2</f>
        <v>83.5</v>
      </c>
      <c r="T3" s="706">
        <f>IA!T2</f>
        <v>130.4</v>
      </c>
      <c r="U3" s="706">
        <f>IA!U2</f>
        <v>168.2</v>
      </c>
      <c r="V3" s="706">
        <f>IA!V2</f>
        <v>212.5</v>
      </c>
      <c r="W3" s="706">
        <f>IA!W2</f>
        <v>228.4</v>
      </c>
      <c r="X3" s="706">
        <f>IA!X2</f>
        <v>235.6</v>
      </c>
      <c r="Y3" s="706">
        <f>IA!Y2</f>
        <v>210.4</v>
      </c>
      <c r="Z3" s="706">
        <f>IA!Z2</f>
        <v>158.19999999999999</v>
      </c>
      <c r="AA3" s="706">
        <f>IA!AA2</f>
        <v>112.5</v>
      </c>
      <c r="AB3" s="706">
        <f>IA!AB2</f>
        <v>75.400000000000006</v>
      </c>
      <c r="AC3" s="706">
        <f>IA!AC2</f>
        <v>58.2</v>
      </c>
      <c r="AD3" s="706">
        <f>IA!AD2</f>
        <v>0</v>
      </c>
      <c r="AE3" s="706">
        <f>IA!AE2</f>
        <v>0</v>
      </c>
      <c r="AF3" s="706">
        <f>IA!AF2</f>
        <v>0</v>
      </c>
      <c r="AG3" s="706">
        <f>IA!AG2</f>
        <v>0</v>
      </c>
      <c r="AH3" s="706">
        <f>IA!AH2</f>
        <v>0</v>
      </c>
      <c r="AI3" s="706">
        <f>IA!AI2</f>
        <v>0</v>
      </c>
      <c r="AJ3" s="706">
        <f>IA!AJ2</f>
        <v>0</v>
      </c>
      <c r="AK3" s="706">
        <f>IA!AK2</f>
        <v>0</v>
      </c>
      <c r="AL3" s="706">
        <f>IA!AL2</f>
        <v>0</v>
      </c>
      <c r="AM3" s="706">
        <f>IA!AM2</f>
        <v>0</v>
      </c>
      <c r="AN3" s="706">
        <f>IA!AN2</f>
        <v>0</v>
      </c>
      <c r="AO3" s="706">
        <f>IA!AO2</f>
        <v>0</v>
      </c>
      <c r="AP3" s="706">
        <f>IA!AP2</f>
        <v>0</v>
      </c>
      <c r="AQ3" s="706">
        <f>IA!AQ2</f>
        <v>0</v>
      </c>
      <c r="AR3" s="706">
        <f>IA!AR2</f>
        <v>0</v>
      </c>
      <c r="AS3" s="706">
        <f>IA!AS2</f>
        <v>0</v>
      </c>
      <c r="AT3" s="706">
        <f>IA!AT2</f>
        <v>0</v>
      </c>
      <c r="AU3" s="706">
        <f>IA!AU2</f>
        <v>0</v>
      </c>
      <c r="AV3" s="706">
        <f>IA!AV2</f>
        <v>0</v>
      </c>
      <c r="AW3" s="706">
        <f>IA!AW2</f>
        <v>0</v>
      </c>
      <c r="AX3" s="706">
        <f>IA!AX2</f>
        <v>0</v>
      </c>
      <c r="AY3" s="706">
        <f>IA!AY2</f>
        <v>0</v>
      </c>
      <c r="AZ3" s="706">
        <f>IA!AZ2</f>
        <v>0</v>
      </c>
      <c r="BA3" s="706">
        <f>IA!BA2</f>
        <v>0</v>
      </c>
      <c r="BB3" s="706">
        <f>IA!BB2</f>
        <v>0</v>
      </c>
      <c r="BC3" s="706">
        <f>IA!BC2</f>
        <v>14.35</v>
      </c>
      <c r="BD3" s="706">
        <f>IA!BD2</f>
        <v>13.31</v>
      </c>
      <c r="BE3" s="706">
        <f>IA!BE2</f>
        <v>12.02</v>
      </c>
      <c r="BF3" s="706">
        <f>IA!BF2</f>
        <v>10.42</v>
      </c>
      <c r="BG3" s="706">
        <f>IA!BG2</f>
        <v>9.36</v>
      </c>
      <c r="BH3" s="706">
        <f>IA!BH2</f>
        <v>9.08</v>
      </c>
      <c r="BI3" s="706">
        <f>IA!BI2</f>
        <v>9.24</v>
      </c>
      <c r="BJ3" s="706">
        <f>IA!BJ2</f>
        <v>10.220000000000001</v>
      </c>
      <c r="BK3" s="706">
        <f>IA!BK2</f>
        <v>11.48</v>
      </c>
      <c r="BL3" s="706">
        <f>IA!BL2</f>
        <v>13.12</v>
      </c>
      <c r="BM3" s="706">
        <f>IA!BM2</f>
        <v>14.24</v>
      </c>
      <c r="BN3" s="706">
        <f>IA!BN2</f>
        <v>14.5</v>
      </c>
    </row>
    <row r="4" spans="1:66" ht="17.25" customHeight="1">
      <c r="A4" s="163" t="str">
        <f>PROPER(Foglio1!D2)</f>
        <v/>
      </c>
      <c r="B4" s="488"/>
      <c r="C4" s="493"/>
      <c r="E4" s="985" t="s">
        <v>1042</v>
      </c>
      <c r="F4" s="917"/>
      <c r="G4" s="917"/>
      <c r="H4" s="917"/>
      <c r="I4" s="917"/>
      <c r="J4" s="917"/>
      <c r="K4" s="917"/>
      <c r="L4" s="917"/>
      <c r="M4" s="917"/>
      <c r="N4" s="917"/>
      <c r="O4" s="917"/>
      <c r="P4" s="922"/>
      <c r="Q4" s="164"/>
      <c r="R4" s="991" t="s">
        <v>1043</v>
      </c>
      <c r="S4" s="917"/>
      <c r="T4" s="917"/>
      <c r="U4" s="917"/>
      <c r="V4" s="917"/>
      <c r="W4" s="917"/>
      <c r="X4" s="917"/>
      <c r="Y4" s="917"/>
      <c r="Z4" s="917"/>
      <c r="AA4" s="917"/>
      <c r="AB4" s="917"/>
      <c r="AC4" s="922"/>
      <c r="AD4" s="989" t="s">
        <v>1044</v>
      </c>
      <c r="AE4" s="917"/>
      <c r="AF4" s="917"/>
      <c r="AG4" s="917"/>
      <c r="AH4" s="917"/>
      <c r="AI4" s="917"/>
      <c r="AJ4" s="917"/>
      <c r="AK4" s="917"/>
      <c r="AL4" s="917"/>
      <c r="AM4" s="917"/>
      <c r="AN4" s="917"/>
      <c r="AO4" s="922"/>
      <c r="AP4" s="165"/>
      <c r="AQ4" s="993"/>
      <c r="AR4" s="917"/>
      <c r="AS4" s="917"/>
      <c r="AT4" s="917"/>
      <c r="AU4" s="917"/>
      <c r="AV4" s="917"/>
      <c r="AW4" s="917"/>
      <c r="AX4" s="917"/>
      <c r="AY4" s="917"/>
      <c r="AZ4" s="917"/>
      <c r="BA4" s="917"/>
      <c r="BB4" s="922"/>
      <c r="BC4" s="984"/>
      <c r="BD4" s="917"/>
      <c r="BE4" s="917"/>
      <c r="BF4" s="917"/>
      <c r="BG4" s="917"/>
      <c r="BH4" s="917"/>
      <c r="BI4" s="917"/>
      <c r="BJ4" s="917"/>
      <c r="BK4" s="917"/>
      <c r="BL4" s="917"/>
      <c r="BM4" s="917"/>
      <c r="BN4" s="922"/>
    </row>
    <row r="5" spans="1:66" ht="7.5" customHeight="1" thickBot="1">
      <c r="A5" s="166" t="str">
        <f>PROPER(Foglio1!D3)</f>
        <v/>
      </c>
      <c r="B5" s="489"/>
      <c r="C5" s="494"/>
      <c r="E5" s="941"/>
      <c r="F5" s="986"/>
      <c r="G5" s="986"/>
      <c r="H5" s="986"/>
      <c r="I5" s="986"/>
      <c r="J5" s="986"/>
      <c r="K5" s="986"/>
      <c r="L5" s="986"/>
      <c r="M5" s="986"/>
      <c r="N5" s="986"/>
      <c r="O5" s="986"/>
      <c r="P5" s="942"/>
      <c r="Q5" s="164"/>
      <c r="R5" s="941"/>
      <c r="S5" s="992"/>
      <c r="T5" s="992"/>
      <c r="U5" s="992"/>
      <c r="V5" s="992"/>
      <c r="W5" s="992"/>
      <c r="X5" s="992"/>
      <c r="Y5" s="992"/>
      <c r="Z5" s="992"/>
      <c r="AA5" s="992"/>
      <c r="AB5" s="992"/>
      <c r="AC5" s="942"/>
      <c r="AD5" s="941"/>
      <c r="AE5" s="990"/>
      <c r="AF5" s="990"/>
      <c r="AG5" s="990"/>
      <c r="AH5" s="990"/>
      <c r="AI5" s="990"/>
      <c r="AJ5" s="990"/>
      <c r="AK5" s="990"/>
      <c r="AL5" s="990"/>
      <c r="AM5" s="990"/>
      <c r="AN5" s="990"/>
      <c r="AO5" s="942"/>
      <c r="AP5" s="165"/>
      <c r="AQ5" s="168"/>
      <c r="AR5" s="169"/>
      <c r="AS5" s="169"/>
      <c r="AT5" s="169"/>
      <c r="AU5" s="169"/>
      <c r="AV5" s="169"/>
      <c r="AW5" s="169"/>
      <c r="AX5" s="169"/>
      <c r="AY5" s="169"/>
      <c r="AZ5" s="169"/>
      <c r="BA5" s="169"/>
      <c r="BB5" s="170"/>
      <c r="BC5" s="171"/>
      <c r="BD5" s="172"/>
      <c r="BE5" s="172"/>
      <c r="BF5" s="172"/>
      <c r="BG5" s="172"/>
      <c r="BH5" s="172"/>
      <c r="BI5" s="172"/>
      <c r="BJ5" s="172"/>
      <c r="BK5" s="172"/>
      <c r="BL5" s="172"/>
      <c r="BM5" s="172"/>
      <c r="BN5" s="172"/>
    </row>
    <row r="6" spans="1:66" ht="7.5" customHeight="1" thickBot="1">
      <c r="A6" s="166"/>
      <c r="B6" s="489"/>
      <c r="C6" s="494"/>
      <c r="E6" s="963"/>
      <c r="F6" s="879"/>
      <c r="G6" s="879"/>
      <c r="H6" s="879"/>
      <c r="I6" s="879"/>
      <c r="J6" s="879"/>
      <c r="K6" s="879"/>
      <c r="L6" s="879"/>
      <c r="M6" s="879"/>
      <c r="N6" s="879"/>
      <c r="O6" s="879"/>
      <c r="P6" s="964"/>
      <c r="Q6" s="164"/>
      <c r="R6" s="963"/>
      <c r="S6" s="879"/>
      <c r="T6" s="879"/>
      <c r="U6" s="879"/>
      <c r="V6" s="879"/>
      <c r="W6" s="879"/>
      <c r="X6" s="879"/>
      <c r="Y6" s="879"/>
      <c r="Z6" s="879"/>
      <c r="AA6" s="879"/>
      <c r="AB6" s="879"/>
      <c r="AC6" s="964"/>
      <c r="AD6" s="963"/>
      <c r="AE6" s="879"/>
      <c r="AF6" s="879"/>
      <c r="AG6" s="879"/>
      <c r="AH6" s="879"/>
      <c r="AI6" s="879"/>
      <c r="AJ6" s="879"/>
      <c r="AK6" s="879"/>
      <c r="AL6" s="879"/>
      <c r="AM6" s="879"/>
      <c r="AN6" s="879"/>
      <c r="AO6" s="964"/>
      <c r="AP6" s="165"/>
      <c r="AQ6" s="988" t="s">
        <v>1045</v>
      </c>
      <c r="AR6" s="917"/>
      <c r="AS6" s="917"/>
      <c r="AT6" s="917"/>
      <c r="AU6" s="917"/>
      <c r="AV6" s="917"/>
      <c r="AW6" s="917"/>
      <c r="AX6" s="917"/>
      <c r="AY6" s="917"/>
      <c r="AZ6" s="917"/>
      <c r="BA6" s="917"/>
      <c r="BB6" s="922"/>
      <c r="BC6" s="987" t="s">
        <v>1046</v>
      </c>
      <c r="BD6" s="917"/>
      <c r="BE6" s="917"/>
      <c r="BF6" s="917"/>
      <c r="BG6" s="917"/>
      <c r="BH6" s="917"/>
      <c r="BI6" s="917"/>
      <c r="BJ6" s="917"/>
      <c r="BK6" s="917"/>
      <c r="BL6" s="917"/>
      <c r="BM6" s="917"/>
      <c r="BN6" s="922"/>
    </row>
    <row r="7" spans="1:66" ht="24" customHeight="1" thickBot="1">
      <c r="A7" s="167"/>
      <c r="B7" s="489"/>
      <c r="C7" s="494"/>
      <c r="E7" s="982" t="s">
        <v>1047</v>
      </c>
      <c r="F7" s="938"/>
      <c r="G7" s="938"/>
      <c r="H7" s="938"/>
      <c r="I7" s="938"/>
      <c r="J7" s="938"/>
      <c r="K7" s="938"/>
      <c r="L7" s="938"/>
      <c r="M7" s="938"/>
      <c r="N7" s="938"/>
      <c r="O7" s="938"/>
      <c r="P7" s="959"/>
      <c r="Q7" s="149" t="s">
        <v>1048</v>
      </c>
      <c r="R7" s="994" t="s">
        <v>1047</v>
      </c>
      <c r="S7" s="938"/>
      <c r="T7" s="938"/>
      <c r="U7" s="938"/>
      <c r="V7" s="938"/>
      <c r="W7" s="938"/>
      <c r="X7" s="938"/>
      <c r="Y7" s="938"/>
      <c r="Z7" s="938"/>
      <c r="AA7" s="938"/>
      <c r="AB7" s="938"/>
      <c r="AC7" s="959"/>
      <c r="AD7" s="983" t="s">
        <v>1047</v>
      </c>
      <c r="AE7" s="938"/>
      <c r="AF7" s="938"/>
      <c r="AG7" s="938"/>
      <c r="AH7" s="938"/>
      <c r="AI7" s="938"/>
      <c r="AJ7" s="938"/>
      <c r="AK7" s="938"/>
      <c r="AL7" s="938"/>
      <c r="AM7" s="938"/>
      <c r="AN7" s="938"/>
      <c r="AO7" s="959"/>
      <c r="AP7" s="173"/>
      <c r="AQ7" s="963"/>
      <c r="AR7" s="879"/>
      <c r="AS7" s="879"/>
      <c r="AT7" s="879"/>
      <c r="AU7" s="879"/>
      <c r="AV7" s="879"/>
      <c r="AW7" s="879"/>
      <c r="AX7" s="879"/>
      <c r="AY7" s="879"/>
      <c r="AZ7" s="879"/>
      <c r="BA7" s="879"/>
      <c r="BB7" s="964"/>
      <c r="BC7" s="963"/>
      <c r="BD7" s="879"/>
      <c r="BE7" s="879"/>
      <c r="BF7" s="879"/>
      <c r="BG7" s="879"/>
      <c r="BH7" s="879"/>
      <c r="BI7" s="879"/>
      <c r="BJ7" s="879"/>
      <c r="BK7" s="879"/>
      <c r="BL7" s="879"/>
      <c r="BM7" s="879"/>
      <c r="BN7" s="964"/>
    </row>
    <row r="8" spans="1:66" ht="5.25" customHeight="1" thickBot="1">
      <c r="A8" s="167"/>
      <c r="B8" s="489"/>
      <c r="C8" s="494"/>
      <c r="E8" s="174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6"/>
      <c r="Q8" s="164"/>
      <c r="R8" s="177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9"/>
      <c r="AD8" s="180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2"/>
      <c r="AQ8" s="168"/>
      <c r="AR8" s="169"/>
      <c r="AS8" s="169"/>
      <c r="AT8" s="169"/>
      <c r="AU8" s="169"/>
      <c r="AV8" s="169"/>
      <c r="AW8" s="169"/>
      <c r="AX8" s="169"/>
      <c r="AY8" s="169"/>
      <c r="AZ8" s="169"/>
      <c r="BA8" s="169"/>
      <c r="BB8" s="170"/>
      <c r="BC8" s="171"/>
      <c r="BD8" s="172"/>
      <c r="BE8" s="172"/>
      <c r="BF8" s="172"/>
      <c r="BG8" s="172"/>
      <c r="BH8" s="172"/>
      <c r="BI8" s="172"/>
      <c r="BJ8" s="172"/>
      <c r="BK8" s="172"/>
      <c r="BL8" s="172"/>
      <c r="BM8" s="172"/>
      <c r="BN8" s="172"/>
    </row>
    <row r="9" spans="1:66" ht="13.5" customHeight="1" thickBot="1">
      <c r="A9" s="167" t="s">
        <v>1049</v>
      </c>
      <c r="B9" s="489" t="s">
        <v>4</v>
      </c>
      <c r="C9" s="494" t="s">
        <v>6</v>
      </c>
      <c r="E9" s="183" t="s">
        <v>1050</v>
      </c>
      <c r="F9" s="184" t="s">
        <v>1051</v>
      </c>
      <c r="G9" s="184" t="s">
        <v>1052</v>
      </c>
      <c r="H9" s="184" t="s">
        <v>1053</v>
      </c>
      <c r="I9" s="184" t="s">
        <v>1054</v>
      </c>
      <c r="J9" s="184" t="s">
        <v>1055</v>
      </c>
      <c r="K9" s="184" t="s">
        <v>1056</v>
      </c>
      <c r="L9" s="184" t="s">
        <v>1057</v>
      </c>
      <c r="M9" s="184" t="s">
        <v>1058</v>
      </c>
      <c r="N9" s="184" t="s">
        <v>1059</v>
      </c>
      <c r="O9" s="184" t="s">
        <v>1060</v>
      </c>
      <c r="P9" s="185" t="s">
        <v>1061</v>
      </c>
      <c r="Q9" s="186" t="s">
        <v>1062</v>
      </c>
      <c r="R9" s="187" t="s">
        <v>1050</v>
      </c>
      <c r="S9" s="188" t="s">
        <v>1051</v>
      </c>
      <c r="T9" s="188" t="s">
        <v>1052</v>
      </c>
      <c r="U9" s="188" t="s">
        <v>1053</v>
      </c>
      <c r="V9" s="188" t="s">
        <v>1054</v>
      </c>
      <c r="W9" s="188" t="s">
        <v>1055</v>
      </c>
      <c r="X9" s="188" t="s">
        <v>1056</v>
      </c>
      <c r="Y9" s="188" t="s">
        <v>1057</v>
      </c>
      <c r="Z9" s="188" t="s">
        <v>1058</v>
      </c>
      <c r="AA9" s="188" t="s">
        <v>1059</v>
      </c>
      <c r="AB9" s="188" t="s">
        <v>1060</v>
      </c>
      <c r="AC9" s="189" t="s">
        <v>1061</v>
      </c>
      <c r="AD9" s="190" t="s">
        <v>1050</v>
      </c>
      <c r="AE9" s="191" t="s">
        <v>1051</v>
      </c>
      <c r="AF9" s="191" t="s">
        <v>1052</v>
      </c>
      <c r="AG9" s="191" t="s">
        <v>1053</v>
      </c>
      <c r="AH9" s="191" t="s">
        <v>1054</v>
      </c>
      <c r="AI9" s="191" t="s">
        <v>1055</v>
      </c>
      <c r="AJ9" s="191" t="s">
        <v>1056</v>
      </c>
      <c r="AK9" s="191" t="s">
        <v>1057</v>
      </c>
      <c r="AL9" s="191" t="s">
        <v>1058</v>
      </c>
      <c r="AM9" s="191" t="s">
        <v>1059</v>
      </c>
      <c r="AN9" s="191" t="s">
        <v>1060</v>
      </c>
      <c r="AO9" s="192" t="s">
        <v>1061</v>
      </c>
      <c r="AP9" s="2"/>
      <c r="AQ9" s="193" t="s">
        <v>1050</v>
      </c>
      <c r="AR9" s="194" t="s">
        <v>1051</v>
      </c>
      <c r="AS9" s="194" t="s">
        <v>1052</v>
      </c>
      <c r="AT9" s="194" t="s">
        <v>1053</v>
      </c>
      <c r="AU9" s="194" t="s">
        <v>1054</v>
      </c>
      <c r="AV9" s="194" t="s">
        <v>1055</v>
      </c>
      <c r="AW9" s="194" t="s">
        <v>1056</v>
      </c>
      <c r="AX9" s="194" t="s">
        <v>1057</v>
      </c>
      <c r="AY9" s="194" t="s">
        <v>1058</v>
      </c>
      <c r="AZ9" s="194" t="s">
        <v>1059</v>
      </c>
      <c r="BA9" s="194" t="s">
        <v>1060</v>
      </c>
      <c r="BB9" s="195" t="s">
        <v>1061</v>
      </c>
      <c r="BC9" s="196" t="s">
        <v>1050</v>
      </c>
      <c r="BD9" s="197" t="s">
        <v>1051</v>
      </c>
      <c r="BE9" s="197" t="s">
        <v>1052</v>
      </c>
      <c r="BF9" s="197" t="s">
        <v>1053</v>
      </c>
      <c r="BG9" s="197" t="s">
        <v>1054</v>
      </c>
      <c r="BH9" s="197" t="s">
        <v>1055</v>
      </c>
      <c r="BI9" s="197" t="s">
        <v>1056</v>
      </c>
      <c r="BJ9" s="197" t="s">
        <v>1057</v>
      </c>
      <c r="BK9" s="197" t="s">
        <v>1058</v>
      </c>
      <c r="BL9" s="197" t="s">
        <v>1059</v>
      </c>
      <c r="BM9" s="197" t="s">
        <v>1060</v>
      </c>
      <c r="BN9" s="740" t="s">
        <v>1061</v>
      </c>
    </row>
    <row r="10" spans="1:66" ht="3.75" customHeight="1" thickBot="1">
      <c r="A10" s="198"/>
      <c r="B10" s="490"/>
      <c r="C10" s="495"/>
      <c r="E10" s="199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1"/>
      <c r="Q10" s="164"/>
      <c r="R10" s="202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4"/>
      <c r="AD10" s="205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7"/>
      <c r="AQ10" s="208"/>
      <c r="AR10" s="209"/>
      <c r="AS10" s="209"/>
      <c r="AT10" s="209"/>
      <c r="AU10" s="209"/>
      <c r="AV10" s="209"/>
      <c r="AW10" s="209"/>
      <c r="AX10" s="209"/>
      <c r="AY10" s="209"/>
      <c r="AZ10" s="209"/>
      <c r="BA10" s="209"/>
      <c r="BB10" s="210"/>
      <c r="BC10" s="211"/>
      <c r="BD10" s="212"/>
      <c r="BE10" s="212"/>
      <c r="BF10" s="212"/>
      <c r="BG10" s="212"/>
      <c r="BH10" s="212"/>
      <c r="BI10" s="212"/>
      <c r="BJ10" s="212"/>
      <c r="BK10" s="212"/>
      <c r="BL10" s="212"/>
      <c r="BM10" s="212"/>
      <c r="BN10" s="741"/>
    </row>
    <row r="11" spans="1:66">
      <c r="A11" s="213"/>
      <c r="B11" s="491"/>
      <c r="C11" s="491"/>
      <c r="D11" s="214"/>
      <c r="E11" s="215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7"/>
      <c r="Q11" s="218"/>
      <c r="R11" s="219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1"/>
      <c r="AD11" s="222"/>
      <c r="AE11" s="223"/>
      <c r="AF11" s="223"/>
      <c r="AG11" s="223"/>
      <c r="AH11" s="223"/>
      <c r="AI11" s="223"/>
      <c r="AJ11" s="223"/>
      <c r="AK11" s="223"/>
      <c r="AL11" s="223"/>
      <c r="AM11" s="223"/>
      <c r="AN11" s="223"/>
      <c r="AO11" s="224"/>
      <c r="AP11" s="225"/>
      <c r="AQ11" s="226"/>
      <c r="AR11" s="226"/>
      <c r="AS11" s="226"/>
      <c r="AT11" s="226"/>
      <c r="AU11" s="226"/>
      <c r="AV11" s="226"/>
      <c r="AW11" s="226"/>
      <c r="AX11" s="226"/>
      <c r="AY11" s="226"/>
      <c r="AZ11" s="226"/>
      <c r="BA11" s="226"/>
      <c r="BB11" s="227"/>
      <c r="BC11" s="228"/>
      <c r="BD11" s="228"/>
      <c r="BE11" s="228"/>
      <c r="BF11" s="228"/>
      <c r="BG11" s="228"/>
      <c r="BH11" s="228"/>
      <c r="BI11" s="228"/>
      <c r="BJ11" s="228"/>
      <c r="BK11" s="228"/>
      <c r="BL11" s="228"/>
      <c r="BM11" s="228"/>
      <c r="BN11" s="742"/>
    </row>
    <row r="12" spans="1:66">
      <c r="A12" s="157" t="s">
        <v>1063</v>
      </c>
      <c r="B12" s="492" t="s">
        <v>1064</v>
      </c>
      <c r="C12" s="492" t="s">
        <v>1065</v>
      </c>
      <c r="E12" s="160">
        <v>191.2</v>
      </c>
      <c r="F12" s="160">
        <v>218.4</v>
      </c>
      <c r="G12" s="160">
        <v>308.5</v>
      </c>
      <c r="H12" s="160">
        <v>348.2</v>
      </c>
      <c r="I12" s="160">
        <v>405.6</v>
      </c>
      <c r="J12" s="160">
        <v>412.5</v>
      </c>
      <c r="K12" s="160">
        <v>432.4</v>
      </c>
      <c r="L12" s="160">
        <v>398.5</v>
      </c>
      <c r="M12" s="160">
        <v>330.4</v>
      </c>
      <c r="N12" s="160">
        <v>265.3</v>
      </c>
      <c r="O12" s="160">
        <v>198.5</v>
      </c>
      <c r="P12" s="160">
        <v>178.4</v>
      </c>
      <c r="R12" s="161">
        <v>61.5</v>
      </c>
      <c r="S12" s="161">
        <v>80.400000000000006</v>
      </c>
      <c r="T12" s="161">
        <v>125.6</v>
      </c>
      <c r="U12" s="161">
        <v>162.5</v>
      </c>
      <c r="V12" s="161">
        <v>205.4</v>
      </c>
      <c r="W12" s="161">
        <v>220.1</v>
      </c>
      <c r="X12" s="161">
        <v>228.5</v>
      </c>
      <c r="Y12" s="161">
        <v>202.4</v>
      </c>
      <c r="Z12" s="161">
        <v>152.4</v>
      </c>
      <c r="AA12" s="161">
        <v>108.5</v>
      </c>
      <c r="AB12" s="161">
        <v>72.400000000000006</v>
      </c>
      <c r="AC12" s="161">
        <v>55.6</v>
      </c>
      <c r="BC12" s="159">
        <v>14.32</v>
      </c>
      <c r="BD12" s="159">
        <v>13.28</v>
      </c>
      <c r="BE12" s="159">
        <v>12.02</v>
      </c>
      <c r="BF12" s="159">
        <v>10.43</v>
      </c>
      <c r="BG12" s="159">
        <v>9.3800000000000008</v>
      </c>
      <c r="BH12" s="159">
        <v>9.1</v>
      </c>
      <c r="BI12" s="159">
        <v>9.26</v>
      </c>
      <c r="BJ12" s="159">
        <v>10.24</v>
      </c>
      <c r="BK12" s="159">
        <v>11.48</v>
      </c>
      <c r="BL12" s="159">
        <v>13.1</v>
      </c>
      <c r="BM12" s="159">
        <v>14.22</v>
      </c>
      <c r="BN12" s="159">
        <v>14.48</v>
      </c>
    </row>
    <row r="13" spans="1:66">
      <c r="A13" s="157" t="s">
        <v>771</v>
      </c>
      <c r="B13" s="492" t="s">
        <v>772</v>
      </c>
      <c r="C13" s="492" t="s">
        <v>773</v>
      </c>
      <c r="E13" s="160">
        <v>190.5</v>
      </c>
      <c r="F13" s="160">
        <v>217.8</v>
      </c>
      <c r="G13" s="160">
        <v>307.5</v>
      </c>
      <c r="H13" s="160">
        <v>347.5</v>
      </c>
      <c r="I13" s="160">
        <v>404.5</v>
      </c>
      <c r="J13" s="160">
        <v>411.4</v>
      </c>
      <c r="K13" s="160">
        <v>431.2</v>
      </c>
      <c r="L13" s="160">
        <v>397.5</v>
      </c>
      <c r="M13" s="160">
        <v>329.5</v>
      </c>
      <c r="N13" s="160">
        <v>264.5</v>
      </c>
      <c r="O13" s="160">
        <v>197.5</v>
      </c>
      <c r="P13" s="160">
        <v>177.5</v>
      </c>
      <c r="R13" s="161">
        <v>61.2</v>
      </c>
      <c r="S13" s="161">
        <v>79.8</v>
      </c>
      <c r="T13" s="161">
        <v>124.8</v>
      </c>
      <c r="U13" s="161">
        <v>161.5</v>
      </c>
      <c r="V13" s="161">
        <v>204.5</v>
      </c>
      <c r="W13" s="161">
        <v>218.5</v>
      </c>
      <c r="X13" s="161">
        <v>227.4</v>
      </c>
      <c r="Y13" s="161">
        <v>201.4</v>
      </c>
      <c r="Z13" s="161">
        <v>151.5</v>
      </c>
      <c r="AA13" s="161">
        <v>107.5</v>
      </c>
      <c r="AB13" s="161">
        <v>71.8</v>
      </c>
      <c r="AC13" s="161">
        <v>55.2</v>
      </c>
      <c r="BC13" s="159">
        <v>14.34</v>
      </c>
      <c r="BD13" s="159">
        <v>13.3</v>
      </c>
      <c r="BE13" s="159">
        <v>12.02</v>
      </c>
      <c r="BF13" s="159">
        <v>10.42</v>
      </c>
      <c r="BG13" s="159">
        <v>9.3699999999999992</v>
      </c>
      <c r="BH13" s="159">
        <v>9.09</v>
      </c>
      <c r="BI13" s="159">
        <v>9.25</v>
      </c>
      <c r="BJ13" s="159">
        <v>10.23</v>
      </c>
      <c r="BK13" s="159">
        <v>11.48</v>
      </c>
      <c r="BL13" s="159">
        <v>13.11</v>
      </c>
      <c r="BM13" s="159">
        <v>14.23</v>
      </c>
      <c r="BN13" s="159">
        <v>14.49</v>
      </c>
    </row>
    <row r="14" spans="1:66">
      <c r="A14" s="157" t="s">
        <v>774</v>
      </c>
      <c r="B14" s="492" t="s">
        <v>775</v>
      </c>
      <c r="C14" s="492" t="s">
        <v>776</v>
      </c>
      <c r="E14" s="160">
        <v>192.4</v>
      </c>
      <c r="F14" s="160">
        <v>219.5</v>
      </c>
      <c r="G14" s="160">
        <v>310.2</v>
      </c>
      <c r="H14" s="160">
        <v>350.4</v>
      </c>
      <c r="I14" s="160">
        <v>408.2</v>
      </c>
      <c r="J14" s="160">
        <v>415.4</v>
      </c>
      <c r="K14" s="160">
        <v>435.2</v>
      </c>
      <c r="L14" s="160">
        <v>402.1</v>
      </c>
      <c r="M14" s="160">
        <v>332.4</v>
      </c>
      <c r="N14" s="160">
        <v>268.5</v>
      </c>
      <c r="O14" s="160">
        <v>201.4</v>
      </c>
      <c r="P14" s="160">
        <v>180.5</v>
      </c>
      <c r="R14" s="161">
        <v>63.4</v>
      </c>
      <c r="S14" s="161">
        <v>81.2</v>
      </c>
      <c r="T14" s="161">
        <v>128.4</v>
      </c>
      <c r="U14" s="161">
        <v>165.2</v>
      </c>
      <c r="V14" s="161">
        <v>208.5</v>
      </c>
      <c r="W14" s="161">
        <v>222.4</v>
      </c>
      <c r="X14" s="161">
        <v>230.2</v>
      </c>
      <c r="Y14" s="161">
        <v>205.4</v>
      </c>
      <c r="Z14" s="161">
        <v>155.19999999999999</v>
      </c>
      <c r="AA14" s="161">
        <v>110.4</v>
      </c>
      <c r="AB14" s="161">
        <v>74.5</v>
      </c>
      <c r="AC14" s="161">
        <v>57.4</v>
      </c>
      <c r="BC14" s="159">
        <v>14.35</v>
      </c>
      <c r="BD14" s="159">
        <v>13.31</v>
      </c>
      <c r="BE14" s="159">
        <v>12.02</v>
      </c>
      <c r="BF14" s="159">
        <v>10.42</v>
      </c>
      <c r="BG14" s="159">
        <v>9.36</v>
      </c>
      <c r="BH14" s="159">
        <v>9.08</v>
      </c>
      <c r="BI14" s="159">
        <v>9.24</v>
      </c>
      <c r="BJ14" s="159">
        <v>10.220000000000001</v>
      </c>
      <c r="BK14" s="159">
        <v>11.48</v>
      </c>
      <c r="BL14" s="159">
        <v>13.12</v>
      </c>
      <c r="BM14" s="159">
        <v>14.24</v>
      </c>
      <c r="BN14" s="159">
        <v>14.5</v>
      </c>
    </row>
    <row r="15" spans="1:66">
      <c r="A15" s="157" t="s">
        <v>777</v>
      </c>
      <c r="B15" s="492" t="s">
        <v>778</v>
      </c>
      <c r="C15" s="492" t="s">
        <v>779</v>
      </c>
      <c r="E15" s="160">
        <v>198.5</v>
      </c>
      <c r="F15" s="160">
        <v>225.4</v>
      </c>
      <c r="G15" s="160">
        <v>315.2</v>
      </c>
      <c r="H15" s="160">
        <v>355.4</v>
      </c>
      <c r="I15" s="160">
        <v>415.2</v>
      </c>
      <c r="J15" s="160">
        <v>420.4</v>
      </c>
      <c r="K15" s="160">
        <v>440.5</v>
      </c>
      <c r="L15" s="160">
        <v>408.5</v>
      </c>
      <c r="M15" s="160">
        <v>338.4</v>
      </c>
      <c r="N15" s="160">
        <v>275.60000000000002</v>
      </c>
      <c r="O15" s="160">
        <v>208.4</v>
      </c>
      <c r="P15" s="160">
        <v>185.2</v>
      </c>
      <c r="R15" s="161">
        <v>65.400000000000006</v>
      </c>
      <c r="S15" s="161">
        <v>85.2</v>
      </c>
      <c r="T15" s="161">
        <v>135.4</v>
      </c>
      <c r="U15" s="161">
        <v>172.4</v>
      </c>
      <c r="V15" s="161">
        <v>215.4</v>
      </c>
      <c r="W15" s="161">
        <v>230.2</v>
      </c>
      <c r="X15" s="161">
        <v>238.5</v>
      </c>
      <c r="Y15" s="161">
        <v>212.4</v>
      </c>
      <c r="Z15" s="161">
        <v>162.5</v>
      </c>
      <c r="AA15" s="161">
        <v>118.4</v>
      </c>
      <c r="AB15" s="161">
        <v>80.5</v>
      </c>
      <c r="AC15" s="161">
        <v>62.4</v>
      </c>
      <c r="BC15" s="159">
        <v>14.24</v>
      </c>
      <c r="BD15" s="159">
        <v>13.22</v>
      </c>
      <c r="BE15" s="159">
        <v>12.01</v>
      </c>
      <c r="BF15" s="159">
        <v>10.48</v>
      </c>
      <c r="BG15" s="159">
        <v>9.4600000000000009</v>
      </c>
      <c r="BH15" s="159">
        <v>9.1999999999999993</v>
      </c>
      <c r="BI15" s="159">
        <v>9.35</v>
      </c>
      <c r="BJ15" s="159">
        <v>10.28</v>
      </c>
      <c r="BK15" s="159">
        <v>11.48</v>
      </c>
      <c r="BL15" s="159">
        <v>13.06</v>
      </c>
      <c r="BM15" s="159">
        <v>14.14</v>
      </c>
      <c r="BN15" s="159">
        <v>14.38</v>
      </c>
    </row>
    <row r="16" spans="1:66">
      <c r="A16" s="157" t="s">
        <v>93</v>
      </c>
      <c r="B16" s="492" t="s">
        <v>780</v>
      </c>
      <c r="C16" s="492" t="s">
        <v>781</v>
      </c>
      <c r="E16" s="160">
        <v>162.4</v>
      </c>
      <c r="F16" s="160">
        <v>189.5</v>
      </c>
      <c r="G16" s="160">
        <v>270.5</v>
      </c>
      <c r="H16" s="160">
        <v>292.8</v>
      </c>
      <c r="I16" s="160">
        <v>348.6</v>
      </c>
      <c r="J16" s="160">
        <v>362.5</v>
      </c>
      <c r="K16" s="160">
        <v>382.4</v>
      </c>
      <c r="L16" s="160">
        <v>348.7</v>
      </c>
      <c r="M16" s="160">
        <v>278.89999999999998</v>
      </c>
      <c r="N16" s="160">
        <v>220.1</v>
      </c>
      <c r="O16" s="160">
        <v>165.8</v>
      </c>
      <c r="P16" s="160">
        <v>152.4</v>
      </c>
      <c r="R16" s="161">
        <v>52.4</v>
      </c>
      <c r="S16" s="161">
        <v>71.5</v>
      </c>
      <c r="T16" s="161">
        <v>118.5</v>
      </c>
      <c r="U16" s="161">
        <v>148.6</v>
      </c>
      <c r="V16" s="161">
        <v>194.5</v>
      </c>
      <c r="W16" s="161">
        <v>212.4</v>
      </c>
      <c r="X16" s="161">
        <v>228.6</v>
      </c>
      <c r="Y16" s="161">
        <v>194.2</v>
      </c>
      <c r="Z16" s="161">
        <v>139.5</v>
      </c>
      <c r="AA16" s="161">
        <v>94.6</v>
      </c>
      <c r="AB16" s="161">
        <v>58.4</v>
      </c>
      <c r="AC16" s="161">
        <v>46.5</v>
      </c>
      <c r="BC16" s="159">
        <v>14.54</v>
      </c>
      <c r="BD16" s="159">
        <v>13.4</v>
      </c>
      <c r="BE16" s="159">
        <v>12.02</v>
      </c>
      <c r="BF16" s="159">
        <v>10.35</v>
      </c>
      <c r="BG16" s="159">
        <v>9.19</v>
      </c>
      <c r="BH16" s="159">
        <v>8.4600000000000009</v>
      </c>
      <c r="BI16" s="159">
        <v>9.0299999999999994</v>
      </c>
      <c r="BJ16" s="159">
        <v>10.15</v>
      </c>
      <c r="BK16" s="159">
        <v>11.47</v>
      </c>
      <c r="BL16" s="159">
        <v>13.18</v>
      </c>
      <c r="BM16" s="159">
        <v>14.45</v>
      </c>
      <c r="BN16" s="159">
        <v>15.08</v>
      </c>
    </row>
    <row r="17" spans="1:68">
      <c r="A17" s="157" t="s">
        <v>782</v>
      </c>
      <c r="B17" s="492" t="s">
        <v>783</v>
      </c>
      <c r="C17" s="492" t="s">
        <v>784</v>
      </c>
      <c r="E17" s="160">
        <v>182.5</v>
      </c>
      <c r="F17" s="160">
        <v>208.4</v>
      </c>
      <c r="G17" s="160">
        <v>295.39999999999998</v>
      </c>
      <c r="H17" s="160">
        <v>330.5</v>
      </c>
      <c r="I17" s="160">
        <v>385.4</v>
      </c>
      <c r="J17" s="160">
        <v>392.1</v>
      </c>
      <c r="K17" s="160">
        <v>412.5</v>
      </c>
      <c r="L17" s="160">
        <v>380.4</v>
      </c>
      <c r="M17" s="160">
        <v>315.2</v>
      </c>
      <c r="N17" s="160">
        <v>252.1</v>
      </c>
      <c r="O17" s="160">
        <v>188.4</v>
      </c>
      <c r="P17" s="160">
        <v>168.5</v>
      </c>
      <c r="R17" s="161">
        <v>58.5</v>
      </c>
      <c r="S17" s="161">
        <v>75.400000000000006</v>
      </c>
      <c r="T17" s="161">
        <v>118.4</v>
      </c>
      <c r="U17" s="161">
        <v>152.1</v>
      </c>
      <c r="V17" s="161">
        <v>192.4</v>
      </c>
      <c r="W17" s="161">
        <v>205.4</v>
      </c>
      <c r="X17" s="161">
        <v>212.5</v>
      </c>
      <c r="Y17" s="161">
        <v>188.4</v>
      </c>
      <c r="Z17" s="161">
        <v>142.5</v>
      </c>
      <c r="AA17" s="161">
        <v>102.4</v>
      </c>
      <c r="AB17" s="161">
        <v>68.5</v>
      </c>
      <c r="AC17" s="161">
        <v>52.1</v>
      </c>
      <c r="BC17" s="159">
        <v>14.41</v>
      </c>
      <c r="BD17" s="159">
        <v>13.34</v>
      </c>
      <c r="BE17" s="159">
        <v>12.02</v>
      </c>
      <c r="BF17" s="159">
        <v>10.39</v>
      </c>
      <c r="BG17" s="159">
        <v>9.2899999999999991</v>
      </c>
      <c r="BH17" s="159">
        <v>8.58</v>
      </c>
      <c r="BI17" s="159">
        <v>9.16</v>
      </c>
      <c r="BJ17" s="159">
        <v>10.19</v>
      </c>
      <c r="BK17" s="159">
        <v>11.47</v>
      </c>
      <c r="BL17" s="159">
        <v>13.14</v>
      </c>
      <c r="BM17" s="159">
        <v>14.32</v>
      </c>
      <c r="BN17" s="159">
        <v>14.58</v>
      </c>
      <c r="BP17" s="151">
        <v>15.1</v>
      </c>
    </row>
    <row r="18" spans="1:68">
      <c r="A18" s="157" t="s">
        <v>785</v>
      </c>
      <c r="B18" s="492" t="s">
        <v>786</v>
      </c>
      <c r="C18" s="492" t="s">
        <v>787</v>
      </c>
      <c r="E18" s="160">
        <v>195.4</v>
      </c>
      <c r="F18" s="160">
        <v>222.4</v>
      </c>
      <c r="G18" s="160">
        <v>312.5</v>
      </c>
      <c r="H18" s="160">
        <v>352.4</v>
      </c>
      <c r="I18" s="160">
        <v>412.4</v>
      </c>
      <c r="J18" s="160">
        <v>418.2</v>
      </c>
      <c r="K18" s="160">
        <v>438.4</v>
      </c>
      <c r="L18" s="160">
        <v>405.6</v>
      </c>
      <c r="M18" s="160">
        <v>335.2</v>
      </c>
      <c r="N18" s="160">
        <v>272.39999999999998</v>
      </c>
      <c r="O18" s="160">
        <v>205.6</v>
      </c>
      <c r="P18" s="160">
        <v>182.4</v>
      </c>
      <c r="R18" s="161">
        <v>63.4</v>
      </c>
      <c r="S18" s="161">
        <v>82.4</v>
      </c>
      <c r="T18" s="161">
        <v>132.5</v>
      </c>
      <c r="U18" s="161">
        <v>168.2</v>
      </c>
      <c r="V18" s="161">
        <v>212.4</v>
      </c>
      <c r="W18" s="161">
        <v>225.4</v>
      </c>
      <c r="X18" s="161">
        <v>235.2</v>
      </c>
      <c r="Y18" s="161">
        <v>208.4</v>
      </c>
      <c r="Z18" s="161">
        <v>158.19999999999999</v>
      </c>
      <c r="AA18" s="161">
        <v>112.5</v>
      </c>
      <c r="AB18" s="161">
        <v>78.400000000000006</v>
      </c>
      <c r="AC18" s="161">
        <v>60.5</v>
      </c>
      <c r="BC18" s="159">
        <v>14.28</v>
      </c>
      <c r="BD18" s="159">
        <v>13.26</v>
      </c>
      <c r="BE18" s="159">
        <v>12.01</v>
      </c>
      <c r="BF18" s="159">
        <v>10.46</v>
      </c>
      <c r="BG18" s="159">
        <v>9.42</v>
      </c>
      <c r="BH18" s="159">
        <v>9.14</v>
      </c>
      <c r="BI18" s="159">
        <v>9.3000000000000007</v>
      </c>
      <c r="BJ18" s="159">
        <v>10.26</v>
      </c>
      <c r="BK18" s="159">
        <v>11.48</v>
      </c>
      <c r="BL18" s="159">
        <v>13.08</v>
      </c>
      <c r="BM18" s="159">
        <v>14.18</v>
      </c>
      <c r="BN18" s="159">
        <v>14.42</v>
      </c>
      <c r="BP18" s="151">
        <v>15.1</v>
      </c>
    </row>
    <row r="19" spans="1:68">
      <c r="A19" s="157" t="s">
        <v>788</v>
      </c>
      <c r="B19" s="492" t="s">
        <v>789</v>
      </c>
      <c r="C19" s="492" t="s">
        <v>790</v>
      </c>
      <c r="E19" s="160">
        <v>185.4</v>
      </c>
      <c r="F19" s="160">
        <v>212.4</v>
      </c>
      <c r="G19" s="160">
        <v>298.39999999999998</v>
      </c>
      <c r="H19" s="160">
        <v>335.2</v>
      </c>
      <c r="I19" s="160">
        <v>390.2</v>
      </c>
      <c r="J19" s="160">
        <v>398.5</v>
      </c>
      <c r="K19" s="160">
        <v>418.5</v>
      </c>
      <c r="L19" s="160">
        <v>385.4</v>
      </c>
      <c r="M19" s="160">
        <v>320.10000000000002</v>
      </c>
      <c r="N19" s="160">
        <v>258.39999999999998</v>
      </c>
      <c r="O19" s="160">
        <v>192.4</v>
      </c>
      <c r="P19" s="160">
        <v>172.5</v>
      </c>
      <c r="R19" s="161">
        <v>60.1</v>
      </c>
      <c r="S19" s="161">
        <v>78.400000000000006</v>
      </c>
      <c r="T19" s="161">
        <v>122.4</v>
      </c>
      <c r="U19" s="161">
        <v>158.4</v>
      </c>
      <c r="V19" s="161">
        <v>198.4</v>
      </c>
      <c r="W19" s="161">
        <v>210.4</v>
      </c>
      <c r="X19" s="161">
        <v>218.5</v>
      </c>
      <c r="Y19" s="161">
        <v>192.4</v>
      </c>
      <c r="Z19" s="161">
        <v>145.5</v>
      </c>
      <c r="AA19" s="161">
        <v>105.4</v>
      </c>
      <c r="AB19" s="161">
        <v>72.400000000000006</v>
      </c>
      <c r="AC19" s="161">
        <v>55.4</v>
      </c>
      <c r="BC19" s="159">
        <v>14.38</v>
      </c>
      <c r="BD19" s="159">
        <v>13.32</v>
      </c>
      <c r="BE19" s="159">
        <v>12.02</v>
      </c>
      <c r="BF19" s="159">
        <v>10.4</v>
      </c>
      <c r="BG19" s="159">
        <v>9.31</v>
      </c>
      <c r="BH19" s="159">
        <v>9.02</v>
      </c>
      <c r="BI19" s="159">
        <v>9.18</v>
      </c>
      <c r="BJ19" s="159">
        <v>10.210000000000001</v>
      </c>
      <c r="BK19" s="159">
        <v>11.47</v>
      </c>
      <c r="BL19" s="159">
        <v>13.13</v>
      </c>
      <c r="BM19" s="159">
        <v>14.28</v>
      </c>
      <c r="BN19" s="159">
        <v>14.54</v>
      </c>
      <c r="BP19" s="151">
        <v>15.1</v>
      </c>
    </row>
    <row r="20" spans="1:68">
      <c r="A20" s="157" t="s">
        <v>791</v>
      </c>
      <c r="B20" s="492" t="s">
        <v>792</v>
      </c>
      <c r="C20" s="492" t="s">
        <v>793</v>
      </c>
      <c r="E20" s="160">
        <v>188.4</v>
      </c>
      <c r="F20" s="160">
        <v>215.4</v>
      </c>
      <c r="G20" s="160">
        <v>305.39999999999998</v>
      </c>
      <c r="H20" s="160">
        <v>345.6</v>
      </c>
      <c r="I20" s="160">
        <v>402.1</v>
      </c>
      <c r="J20" s="160">
        <v>408.5</v>
      </c>
      <c r="K20" s="160">
        <v>428.5</v>
      </c>
      <c r="L20" s="160">
        <v>395.2</v>
      </c>
      <c r="M20" s="160">
        <v>328.5</v>
      </c>
      <c r="N20" s="160">
        <v>265.39999999999998</v>
      </c>
      <c r="O20" s="160">
        <v>198.5</v>
      </c>
      <c r="P20" s="160">
        <v>178.2</v>
      </c>
      <c r="R20" s="161">
        <v>62.4</v>
      </c>
      <c r="S20" s="161">
        <v>80.5</v>
      </c>
      <c r="T20" s="161">
        <v>128.4</v>
      </c>
      <c r="U20" s="161">
        <v>165.4</v>
      </c>
      <c r="V20" s="161">
        <v>205.4</v>
      </c>
      <c r="W20" s="161">
        <v>220.1</v>
      </c>
      <c r="X20" s="161">
        <v>228.5</v>
      </c>
      <c r="Y20" s="161">
        <v>202.1</v>
      </c>
      <c r="Z20" s="161">
        <v>152.4</v>
      </c>
      <c r="AA20" s="161">
        <v>110.2</v>
      </c>
      <c r="AB20" s="161">
        <v>75.400000000000006</v>
      </c>
      <c r="AC20" s="161">
        <v>58.4</v>
      </c>
      <c r="BC20" s="159">
        <v>14.35</v>
      </c>
      <c r="BD20" s="159">
        <v>13.31</v>
      </c>
      <c r="BE20" s="159">
        <v>12.02</v>
      </c>
      <c r="BF20" s="159">
        <v>10.42</v>
      </c>
      <c r="BG20" s="159">
        <v>9.35</v>
      </c>
      <c r="BH20" s="159">
        <v>9.08</v>
      </c>
      <c r="BI20" s="159">
        <v>9.24</v>
      </c>
      <c r="BJ20" s="159">
        <v>10.220000000000001</v>
      </c>
      <c r="BK20" s="159">
        <v>11.48</v>
      </c>
      <c r="BL20" s="159">
        <v>13.12</v>
      </c>
      <c r="BM20" s="159">
        <v>14.24</v>
      </c>
      <c r="BN20" s="159">
        <v>14.5</v>
      </c>
      <c r="BP20" s="151">
        <v>15.1</v>
      </c>
    </row>
    <row r="21" spans="1:68">
      <c r="A21" s="157" t="s">
        <v>794</v>
      </c>
      <c r="B21" s="492" t="s">
        <v>795</v>
      </c>
      <c r="C21" s="492" t="s">
        <v>796</v>
      </c>
      <c r="E21" s="160">
        <v>198.2</v>
      </c>
      <c r="F21" s="160">
        <v>225.1</v>
      </c>
      <c r="G21" s="160">
        <v>315.60000000000002</v>
      </c>
      <c r="H21" s="160">
        <v>355.8</v>
      </c>
      <c r="I21" s="160">
        <v>415.4</v>
      </c>
      <c r="J21" s="160">
        <v>420.6</v>
      </c>
      <c r="K21" s="160">
        <v>440.2</v>
      </c>
      <c r="L21" s="160">
        <v>408.4</v>
      </c>
      <c r="M21" s="160">
        <v>338.1</v>
      </c>
      <c r="N21" s="160">
        <v>275.39999999999998</v>
      </c>
      <c r="O21" s="160">
        <v>208.6</v>
      </c>
      <c r="P21" s="160">
        <v>185.1</v>
      </c>
      <c r="R21" s="161">
        <v>65.099999999999994</v>
      </c>
      <c r="S21" s="161">
        <v>85.4</v>
      </c>
      <c r="T21" s="161">
        <v>135.80000000000001</v>
      </c>
      <c r="U21" s="161">
        <v>172.5</v>
      </c>
      <c r="V21" s="161">
        <v>215.8</v>
      </c>
      <c r="W21" s="161">
        <v>230.4</v>
      </c>
      <c r="X21" s="161">
        <v>238.2</v>
      </c>
      <c r="Y21" s="161">
        <v>212.5</v>
      </c>
      <c r="Z21" s="161">
        <v>162.4</v>
      </c>
      <c r="AA21" s="161">
        <v>118.5</v>
      </c>
      <c r="AB21" s="161">
        <v>80.599999999999994</v>
      </c>
      <c r="AC21" s="161">
        <v>62.5</v>
      </c>
      <c r="BC21" s="159">
        <v>14.24</v>
      </c>
      <c r="BD21" s="159">
        <v>13.23</v>
      </c>
      <c r="BE21" s="159">
        <v>12.01</v>
      </c>
      <c r="BF21" s="159">
        <v>10.48</v>
      </c>
      <c r="BG21" s="159">
        <v>9.4499999999999993</v>
      </c>
      <c r="BH21" s="159">
        <v>9.19</v>
      </c>
      <c r="BI21" s="159">
        <v>9.34</v>
      </c>
      <c r="BJ21" s="159">
        <v>10.27</v>
      </c>
      <c r="BK21" s="159">
        <v>11.48</v>
      </c>
      <c r="BL21" s="159">
        <v>13.06</v>
      </c>
      <c r="BM21" s="159">
        <v>14.14</v>
      </c>
      <c r="BN21" s="159">
        <v>14.38</v>
      </c>
    </row>
    <row r="22" spans="1:68">
      <c r="A22" s="157" t="s">
        <v>797</v>
      </c>
      <c r="B22" s="492" t="s">
        <v>798</v>
      </c>
      <c r="C22" s="492" t="s">
        <v>799</v>
      </c>
      <c r="E22" s="160">
        <v>192.5</v>
      </c>
      <c r="F22" s="160">
        <v>219.8</v>
      </c>
      <c r="G22" s="160">
        <v>310.39999999999998</v>
      </c>
      <c r="H22" s="160">
        <v>350.5</v>
      </c>
      <c r="I22" s="160">
        <v>410.4</v>
      </c>
      <c r="J22" s="160">
        <v>418.2</v>
      </c>
      <c r="K22" s="160">
        <v>438.4</v>
      </c>
      <c r="L22" s="160">
        <v>405.6</v>
      </c>
      <c r="M22" s="160">
        <v>335.4</v>
      </c>
      <c r="N22" s="160">
        <v>270.5</v>
      </c>
      <c r="O22" s="160">
        <v>201.4</v>
      </c>
      <c r="P22" s="160">
        <v>182.5</v>
      </c>
      <c r="R22" s="161">
        <v>62.5</v>
      </c>
      <c r="S22" s="161">
        <v>81.400000000000006</v>
      </c>
      <c r="T22" s="161">
        <v>128.4</v>
      </c>
      <c r="U22" s="161">
        <v>165.5</v>
      </c>
      <c r="V22" s="161">
        <v>208.4</v>
      </c>
      <c r="W22" s="161">
        <v>222.4</v>
      </c>
      <c r="X22" s="161">
        <v>230.2</v>
      </c>
      <c r="Y22" s="161">
        <v>205.4</v>
      </c>
      <c r="Z22" s="161">
        <v>155.19999999999999</v>
      </c>
      <c r="AA22" s="161">
        <v>110.4</v>
      </c>
      <c r="AB22" s="161">
        <v>74.5</v>
      </c>
      <c r="AC22" s="161">
        <v>58.4</v>
      </c>
      <c r="BC22" s="159">
        <v>14.28</v>
      </c>
      <c r="BD22" s="159">
        <v>13.26</v>
      </c>
      <c r="BE22" s="159">
        <v>12.01</v>
      </c>
      <c r="BF22" s="159">
        <v>10.46</v>
      </c>
      <c r="BG22" s="159">
        <v>9.42</v>
      </c>
      <c r="BH22" s="159">
        <v>9.14</v>
      </c>
      <c r="BI22" s="159">
        <v>9.3000000000000007</v>
      </c>
      <c r="BJ22" s="159">
        <v>10.26</v>
      </c>
      <c r="BK22" s="159">
        <v>11.48</v>
      </c>
      <c r="BL22" s="159">
        <v>13.08</v>
      </c>
      <c r="BM22" s="159">
        <v>14.18</v>
      </c>
      <c r="BN22" s="159">
        <v>14.42</v>
      </c>
    </row>
    <row r="23" spans="1:68">
      <c r="A23" s="157" t="s">
        <v>800</v>
      </c>
      <c r="B23" s="492" t="s">
        <v>801</v>
      </c>
      <c r="C23" s="492" t="s">
        <v>802</v>
      </c>
      <c r="E23" s="160">
        <v>178.4</v>
      </c>
      <c r="F23" s="160">
        <v>205.1</v>
      </c>
      <c r="G23" s="160">
        <v>290.5</v>
      </c>
      <c r="H23" s="160">
        <v>325.39999999999998</v>
      </c>
      <c r="I23" s="160">
        <v>380.4</v>
      </c>
      <c r="J23" s="160">
        <v>388.5</v>
      </c>
      <c r="K23" s="160">
        <v>408.4</v>
      </c>
      <c r="L23" s="160">
        <v>375.4</v>
      </c>
      <c r="M23" s="160">
        <v>310.2</v>
      </c>
      <c r="N23" s="160">
        <v>248.5</v>
      </c>
      <c r="O23" s="160">
        <v>185.4</v>
      </c>
      <c r="P23" s="160">
        <v>165.4</v>
      </c>
      <c r="R23" s="161">
        <v>57.4</v>
      </c>
      <c r="S23" s="161">
        <v>74.5</v>
      </c>
      <c r="T23" s="161">
        <v>115.4</v>
      </c>
      <c r="U23" s="161">
        <v>148.4</v>
      </c>
      <c r="V23" s="161">
        <v>188.4</v>
      </c>
      <c r="W23" s="161">
        <v>201.4</v>
      </c>
      <c r="X23" s="161">
        <v>208.4</v>
      </c>
      <c r="Y23" s="161">
        <v>185.4</v>
      </c>
      <c r="Z23" s="161">
        <v>138.4</v>
      </c>
      <c r="AA23" s="161">
        <v>98.4</v>
      </c>
      <c r="AB23" s="161">
        <v>65.400000000000006</v>
      </c>
      <c r="AC23" s="161">
        <v>51.4</v>
      </c>
      <c r="BC23" s="159">
        <v>14.45</v>
      </c>
      <c r="BD23" s="159">
        <v>13.37</v>
      </c>
      <c r="BE23" s="159">
        <v>12.02</v>
      </c>
      <c r="BF23" s="159">
        <v>10.37</v>
      </c>
      <c r="BG23" s="159">
        <v>9.24</v>
      </c>
      <c r="BH23" s="159">
        <v>8.52</v>
      </c>
      <c r="BI23" s="159">
        <v>9.1</v>
      </c>
      <c r="BJ23" s="159">
        <v>10.17</v>
      </c>
      <c r="BK23" s="159">
        <v>11.47</v>
      </c>
      <c r="BL23" s="159">
        <v>13.16</v>
      </c>
      <c r="BM23" s="159">
        <v>14.38</v>
      </c>
      <c r="BN23" s="159">
        <v>15.04</v>
      </c>
    </row>
    <row r="24" spans="1:68">
      <c r="A24" s="157" t="s">
        <v>803</v>
      </c>
      <c r="B24" s="492" t="s">
        <v>804</v>
      </c>
      <c r="C24" s="492" t="s">
        <v>805</v>
      </c>
      <c r="E24" s="160">
        <v>132.4</v>
      </c>
      <c r="F24" s="160">
        <v>158.5</v>
      </c>
      <c r="G24" s="160">
        <v>245.6</v>
      </c>
      <c r="H24" s="160">
        <v>275.39999999999998</v>
      </c>
      <c r="I24" s="160">
        <v>335.4</v>
      </c>
      <c r="J24" s="160">
        <v>358.4</v>
      </c>
      <c r="K24" s="160">
        <v>378.2</v>
      </c>
      <c r="L24" s="160">
        <v>338.4</v>
      </c>
      <c r="M24" s="160">
        <v>265.39999999999998</v>
      </c>
      <c r="N24" s="160">
        <v>205.4</v>
      </c>
      <c r="O24" s="160">
        <v>142.5</v>
      </c>
      <c r="P24" s="160">
        <v>125.4</v>
      </c>
      <c r="R24" s="161">
        <v>34.5</v>
      </c>
      <c r="S24" s="161">
        <v>55.4</v>
      </c>
      <c r="T24" s="161">
        <v>98.4</v>
      </c>
      <c r="U24" s="161">
        <v>132.4</v>
      </c>
      <c r="V24" s="161">
        <v>178.4</v>
      </c>
      <c r="W24" s="161">
        <v>205.4</v>
      </c>
      <c r="X24" s="161">
        <v>222.4</v>
      </c>
      <c r="Y24" s="161">
        <v>185.4</v>
      </c>
      <c r="Z24" s="161">
        <v>128.4</v>
      </c>
      <c r="AA24" s="161">
        <v>82.4</v>
      </c>
      <c r="AB24" s="161">
        <v>42.4</v>
      </c>
      <c r="AC24" s="161">
        <v>32.4</v>
      </c>
      <c r="BC24" s="159">
        <v>15.12</v>
      </c>
      <c r="BD24" s="159">
        <v>13.46</v>
      </c>
      <c r="BE24" s="159">
        <v>12.05</v>
      </c>
      <c r="BF24" s="159">
        <v>10.28</v>
      </c>
      <c r="BG24" s="159">
        <v>9.1</v>
      </c>
      <c r="BH24" s="159">
        <v>8.35</v>
      </c>
      <c r="BI24" s="159">
        <v>8.5399999999999991</v>
      </c>
      <c r="BJ24" s="159">
        <v>10.1</v>
      </c>
      <c r="BK24" s="159">
        <v>11.45</v>
      </c>
      <c r="BL24" s="159">
        <v>13.26</v>
      </c>
      <c r="BM24" s="159">
        <v>14.56</v>
      </c>
      <c r="BN24" s="159">
        <v>15.28</v>
      </c>
    </row>
    <row r="25" spans="1:68">
      <c r="A25" s="157" t="s">
        <v>806</v>
      </c>
      <c r="B25" s="492" t="s">
        <v>807</v>
      </c>
      <c r="C25" s="492" t="s">
        <v>808</v>
      </c>
      <c r="E25" s="160">
        <v>202.1</v>
      </c>
      <c r="F25" s="160">
        <v>230.4</v>
      </c>
      <c r="G25" s="160">
        <v>325.39999999999998</v>
      </c>
      <c r="H25" s="160">
        <v>368.4</v>
      </c>
      <c r="I25" s="160">
        <v>430.2</v>
      </c>
      <c r="J25" s="160">
        <v>438.4</v>
      </c>
      <c r="K25" s="160">
        <v>458.5</v>
      </c>
      <c r="L25" s="160">
        <v>425.4</v>
      </c>
      <c r="M25" s="160">
        <v>355.4</v>
      </c>
      <c r="N25" s="160">
        <v>288.39999999999998</v>
      </c>
      <c r="O25" s="160">
        <v>215.4</v>
      </c>
      <c r="P25" s="160">
        <v>192.4</v>
      </c>
      <c r="R25" s="161">
        <v>68.400000000000006</v>
      </c>
      <c r="S25" s="161">
        <v>88.4</v>
      </c>
      <c r="T25" s="161">
        <v>142.5</v>
      </c>
      <c r="U25" s="161">
        <v>182.4</v>
      </c>
      <c r="V25" s="161">
        <v>228.6</v>
      </c>
      <c r="W25" s="161">
        <v>242.5</v>
      </c>
      <c r="X25" s="161">
        <v>252.4</v>
      </c>
      <c r="Y25" s="161">
        <v>225.4</v>
      </c>
      <c r="Z25" s="161">
        <v>172.4</v>
      </c>
      <c r="AA25" s="161">
        <v>125.4</v>
      </c>
      <c r="AB25" s="161">
        <v>85.4</v>
      </c>
      <c r="AC25" s="161">
        <v>65.400000000000006</v>
      </c>
      <c r="BC25" s="159">
        <v>14.18</v>
      </c>
      <c r="BD25" s="159">
        <v>13.18</v>
      </c>
      <c r="BE25" s="159">
        <v>12.01</v>
      </c>
      <c r="BF25" s="159">
        <v>10.52</v>
      </c>
      <c r="BG25" s="159">
        <v>9.51</v>
      </c>
      <c r="BH25" s="159">
        <v>9.26</v>
      </c>
      <c r="BI25" s="159">
        <v>9.4</v>
      </c>
      <c r="BJ25" s="159">
        <v>10.32</v>
      </c>
      <c r="BK25" s="159">
        <v>11.48</v>
      </c>
      <c r="BL25" s="159">
        <v>13.03</v>
      </c>
      <c r="BM25" s="159">
        <v>14.08</v>
      </c>
      <c r="BN25" s="159">
        <v>14.31</v>
      </c>
    </row>
    <row r="26" spans="1:68">
      <c r="A26" s="157" t="s">
        <v>809</v>
      </c>
      <c r="B26" s="492" t="s">
        <v>810</v>
      </c>
      <c r="C26" s="492" t="s">
        <v>811</v>
      </c>
      <c r="E26" s="160">
        <v>198.5</v>
      </c>
      <c r="F26" s="160">
        <v>225.4</v>
      </c>
      <c r="G26" s="160">
        <v>318.39999999999998</v>
      </c>
      <c r="H26" s="160">
        <v>360.5</v>
      </c>
      <c r="I26" s="160">
        <v>422.4</v>
      </c>
      <c r="J26" s="160">
        <v>430.5</v>
      </c>
      <c r="K26" s="160">
        <v>450.2</v>
      </c>
      <c r="L26" s="160">
        <v>418.5</v>
      </c>
      <c r="M26" s="160">
        <v>348.5</v>
      </c>
      <c r="N26" s="160">
        <v>280.39999999999998</v>
      </c>
      <c r="O26" s="160">
        <v>210.4</v>
      </c>
      <c r="P26" s="160">
        <v>188.4</v>
      </c>
      <c r="R26" s="161">
        <v>65.400000000000006</v>
      </c>
      <c r="S26" s="161">
        <v>85.4</v>
      </c>
      <c r="T26" s="161">
        <v>138.4</v>
      </c>
      <c r="U26" s="161">
        <v>175.4</v>
      </c>
      <c r="V26" s="161">
        <v>218.5</v>
      </c>
      <c r="W26" s="161">
        <v>232.5</v>
      </c>
      <c r="X26" s="161">
        <v>242.4</v>
      </c>
      <c r="Y26" s="161">
        <v>215.4</v>
      </c>
      <c r="Z26" s="161">
        <v>165.4</v>
      </c>
      <c r="AA26" s="161">
        <v>118.4</v>
      </c>
      <c r="AB26" s="161">
        <v>80.5</v>
      </c>
      <c r="AC26" s="161">
        <v>62.4</v>
      </c>
      <c r="BC26" s="159">
        <v>14.22</v>
      </c>
      <c r="BD26" s="159">
        <v>13.21</v>
      </c>
      <c r="BE26" s="159">
        <v>12.01</v>
      </c>
      <c r="BF26" s="159">
        <v>10.5</v>
      </c>
      <c r="BG26" s="159">
        <v>9.48</v>
      </c>
      <c r="BH26" s="159">
        <v>9.2200000000000006</v>
      </c>
      <c r="BI26" s="159">
        <v>9.3699999999999992</v>
      </c>
      <c r="BJ26" s="159">
        <v>10.3</v>
      </c>
      <c r="BK26" s="159">
        <v>11.48</v>
      </c>
      <c r="BL26" s="159">
        <v>13.05</v>
      </c>
      <c r="BM26" s="159">
        <v>14.12</v>
      </c>
      <c r="BN26" s="159">
        <v>14.35</v>
      </c>
    </row>
    <row r="27" spans="1:68">
      <c r="A27" s="157" t="s">
        <v>812</v>
      </c>
      <c r="B27" s="492" t="s">
        <v>775</v>
      </c>
      <c r="C27" s="492" t="s">
        <v>813</v>
      </c>
      <c r="E27" s="160">
        <v>188.4</v>
      </c>
      <c r="F27" s="160">
        <v>215.6</v>
      </c>
      <c r="G27" s="160">
        <v>305.39999999999998</v>
      </c>
      <c r="H27" s="160">
        <v>345.2</v>
      </c>
      <c r="I27" s="160">
        <v>402.1</v>
      </c>
      <c r="J27" s="160">
        <v>408.5</v>
      </c>
      <c r="K27" s="160">
        <v>428.5</v>
      </c>
      <c r="L27" s="160">
        <v>395.4</v>
      </c>
      <c r="M27" s="160">
        <v>328.5</v>
      </c>
      <c r="N27" s="160">
        <v>265.39999999999998</v>
      </c>
      <c r="O27" s="160">
        <v>198.5</v>
      </c>
      <c r="P27" s="160">
        <v>178.2</v>
      </c>
      <c r="R27" s="161">
        <v>62.4</v>
      </c>
      <c r="S27" s="161">
        <v>80.5</v>
      </c>
      <c r="T27" s="161">
        <v>128.4</v>
      </c>
      <c r="U27" s="161">
        <v>165.2</v>
      </c>
      <c r="V27" s="161">
        <v>205.4</v>
      </c>
      <c r="W27" s="161">
        <v>220.1</v>
      </c>
      <c r="X27" s="161">
        <v>228.5</v>
      </c>
      <c r="Y27" s="161">
        <v>202.4</v>
      </c>
      <c r="Z27" s="161">
        <v>152.4</v>
      </c>
      <c r="AA27" s="161">
        <v>110.2</v>
      </c>
      <c r="AB27" s="161">
        <v>75.400000000000006</v>
      </c>
      <c r="AC27" s="161">
        <v>58.4</v>
      </c>
      <c r="BC27" s="159">
        <v>14.35</v>
      </c>
      <c r="BD27" s="159">
        <v>13.31</v>
      </c>
      <c r="BE27" s="159">
        <v>12.02</v>
      </c>
      <c r="BF27" s="159">
        <v>10.42</v>
      </c>
      <c r="BG27" s="159">
        <v>9.36</v>
      </c>
      <c r="BH27" s="159">
        <v>9.08</v>
      </c>
      <c r="BI27" s="159">
        <v>9.24</v>
      </c>
      <c r="BJ27" s="159">
        <v>10.220000000000001</v>
      </c>
      <c r="BK27" s="159">
        <v>11.48</v>
      </c>
      <c r="BL27" s="159">
        <v>13.12</v>
      </c>
      <c r="BM27" s="159">
        <v>14.24</v>
      </c>
      <c r="BN27" s="159">
        <v>14.5</v>
      </c>
    </row>
    <row r="28" spans="1:68">
      <c r="A28" s="157" t="s">
        <v>817</v>
      </c>
      <c r="B28" s="492" t="s">
        <v>818</v>
      </c>
      <c r="C28" s="492" t="s">
        <v>819</v>
      </c>
      <c r="E28" s="160">
        <v>190.4</v>
      </c>
      <c r="F28" s="160">
        <v>218.5</v>
      </c>
      <c r="G28" s="160">
        <v>308.39999999999998</v>
      </c>
      <c r="H28" s="160">
        <v>348.2</v>
      </c>
      <c r="I28" s="160">
        <v>405.4</v>
      </c>
      <c r="J28" s="160">
        <v>412.8</v>
      </c>
      <c r="K28" s="160">
        <v>432.6</v>
      </c>
      <c r="L28" s="160">
        <v>400.2</v>
      </c>
      <c r="M28" s="160">
        <v>332.1</v>
      </c>
      <c r="N28" s="160">
        <v>268.39999999999998</v>
      </c>
      <c r="O28" s="160">
        <v>201.4</v>
      </c>
      <c r="P28" s="160">
        <v>181.2</v>
      </c>
      <c r="R28" s="161">
        <v>61.4</v>
      </c>
      <c r="S28" s="161">
        <v>80.2</v>
      </c>
      <c r="T28" s="161">
        <v>128.4</v>
      </c>
      <c r="U28" s="161">
        <v>165.2</v>
      </c>
      <c r="V28" s="161">
        <v>205.4</v>
      </c>
      <c r="W28" s="161">
        <v>220.4</v>
      </c>
      <c r="X28" s="161">
        <v>228.2</v>
      </c>
      <c r="Y28" s="161">
        <v>202.2</v>
      </c>
      <c r="Z28" s="161">
        <v>152.1</v>
      </c>
      <c r="AA28" s="161">
        <v>110.4</v>
      </c>
      <c r="AB28" s="161">
        <v>75.400000000000006</v>
      </c>
      <c r="AC28" s="161">
        <v>58.4</v>
      </c>
      <c r="BC28" s="159">
        <v>14.35</v>
      </c>
      <c r="BD28" s="159">
        <v>13.3</v>
      </c>
      <c r="BE28" s="159">
        <v>12.02</v>
      </c>
      <c r="BF28" s="159">
        <v>10.42</v>
      </c>
      <c r="BG28" s="159">
        <v>9.36</v>
      </c>
      <c r="BH28" s="159">
        <v>9.08</v>
      </c>
      <c r="BI28" s="159">
        <v>9.24</v>
      </c>
      <c r="BJ28" s="159">
        <v>10.220000000000001</v>
      </c>
      <c r="BK28" s="159">
        <v>11.48</v>
      </c>
      <c r="BL28" s="159">
        <v>13.11</v>
      </c>
      <c r="BM28" s="159">
        <v>14.24</v>
      </c>
      <c r="BN28" s="159">
        <v>14.49</v>
      </c>
    </row>
    <row r="29" spans="1:68">
      <c r="A29" s="157" t="s">
        <v>814</v>
      </c>
      <c r="B29" s="492" t="s">
        <v>815</v>
      </c>
      <c r="C29" s="492" t="s">
        <v>816</v>
      </c>
      <c r="E29" s="160">
        <v>170.5</v>
      </c>
      <c r="F29" s="160">
        <v>195.4</v>
      </c>
      <c r="G29" s="160">
        <v>278.5</v>
      </c>
      <c r="H29" s="160">
        <v>312.39999999999998</v>
      </c>
      <c r="I29" s="160">
        <v>368.4</v>
      </c>
      <c r="J29" s="160">
        <v>375.4</v>
      </c>
      <c r="K29" s="160">
        <v>395.2</v>
      </c>
      <c r="L29" s="160">
        <v>362.5</v>
      </c>
      <c r="M29" s="160">
        <v>298.39999999999998</v>
      </c>
      <c r="N29" s="160">
        <v>238.5</v>
      </c>
      <c r="O29" s="160">
        <v>175.4</v>
      </c>
      <c r="P29" s="160">
        <v>155.4</v>
      </c>
      <c r="R29" s="161">
        <v>55.4</v>
      </c>
      <c r="S29" s="161">
        <v>72.400000000000006</v>
      </c>
      <c r="T29" s="161">
        <v>115.4</v>
      </c>
      <c r="U29" s="161">
        <v>148.4</v>
      </c>
      <c r="V29" s="161">
        <v>188.4</v>
      </c>
      <c r="W29" s="161">
        <v>201.4</v>
      </c>
      <c r="X29" s="161">
        <v>208.4</v>
      </c>
      <c r="Y29" s="161">
        <v>185.4</v>
      </c>
      <c r="Z29" s="161">
        <v>138.4</v>
      </c>
      <c r="AA29" s="161">
        <v>98.4</v>
      </c>
      <c r="AB29" s="161">
        <v>65.400000000000006</v>
      </c>
      <c r="AC29" s="161">
        <v>52.4</v>
      </c>
      <c r="BC29" s="159">
        <v>14.5</v>
      </c>
      <c r="BD29" s="159">
        <v>13.4</v>
      </c>
      <c r="BE29" s="159">
        <v>12.02</v>
      </c>
      <c r="BF29" s="159">
        <v>10.38</v>
      </c>
      <c r="BG29" s="159">
        <v>9.26</v>
      </c>
      <c r="BH29" s="159">
        <v>8.5500000000000007</v>
      </c>
      <c r="BI29" s="159">
        <v>9.1199999999999992</v>
      </c>
      <c r="BJ29" s="159">
        <v>10.199999999999999</v>
      </c>
      <c r="BK29" s="159">
        <v>11.47</v>
      </c>
      <c r="BL29" s="159">
        <v>13.18</v>
      </c>
      <c r="BM29" s="159">
        <v>14.4</v>
      </c>
      <c r="BN29" s="159">
        <v>15.04</v>
      </c>
    </row>
    <row r="30" spans="1:68">
      <c r="A30" s="157" t="s">
        <v>820</v>
      </c>
      <c r="B30" s="492" t="s">
        <v>821</v>
      </c>
      <c r="C30" s="492" t="s">
        <v>822</v>
      </c>
      <c r="E30" s="160">
        <v>208.5</v>
      </c>
      <c r="F30" s="160">
        <v>238.4</v>
      </c>
      <c r="G30" s="160">
        <v>335.6</v>
      </c>
      <c r="H30" s="160">
        <v>378.5</v>
      </c>
      <c r="I30" s="160">
        <v>442.5</v>
      </c>
      <c r="J30" s="160">
        <v>450.2</v>
      </c>
      <c r="K30" s="160">
        <v>470.2</v>
      </c>
      <c r="L30" s="160">
        <v>438.4</v>
      </c>
      <c r="M30" s="160">
        <v>365.6</v>
      </c>
      <c r="N30" s="160">
        <v>298.39999999999998</v>
      </c>
      <c r="O30" s="160">
        <v>225.6</v>
      </c>
      <c r="P30" s="160">
        <v>198.4</v>
      </c>
      <c r="R30" s="161">
        <v>72.400000000000006</v>
      </c>
      <c r="S30" s="161">
        <v>92.4</v>
      </c>
      <c r="T30" s="161">
        <v>150.5</v>
      </c>
      <c r="U30" s="161">
        <v>190.4</v>
      </c>
      <c r="V30" s="161">
        <v>238.4</v>
      </c>
      <c r="W30" s="161">
        <v>252.1</v>
      </c>
      <c r="X30" s="161">
        <v>262.39999999999998</v>
      </c>
      <c r="Y30" s="161">
        <v>235.4</v>
      </c>
      <c r="Z30" s="161">
        <v>182.4</v>
      </c>
      <c r="AA30" s="161">
        <v>132.4</v>
      </c>
      <c r="AB30" s="161">
        <v>90.4</v>
      </c>
      <c r="AC30" s="161">
        <v>70.400000000000006</v>
      </c>
      <c r="BC30" s="159">
        <v>14.14</v>
      </c>
      <c r="BD30" s="159">
        <v>13.15</v>
      </c>
      <c r="BE30" s="159">
        <v>12.01</v>
      </c>
      <c r="BF30" s="159">
        <v>10.55</v>
      </c>
      <c r="BG30" s="159">
        <v>9.5500000000000007</v>
      </c>
      <c r="BH30" s="159">
        <v>9.31</v>
      </c>
      <c r="BI30" s="159">
        <v>9.4499999999999993</v>
      </c>
      <c r="BJ30" s="159">
        <v>10.35</v>
      </c>
      <c r="BK30" s="159">
        <v>11.48</v>
      </c>
      <c r="BL30" s="159">
        <v>13.01</v>
      </c>
      <c r="BM30" s="159">
        <v>14.04</v>
      </c>
      <c r="BN30" s="159">
        <v>14.26</v>
      </c>
    </row>
    <row r="31" spans="1:68">
      <c r="A31" s="157" t="s">
        <v>823</v>
      </c>
      <c r="B31" s="492" t="s">
        <v>824</v>
      </c>
      <c r="C31" s="492" t="s">
        <v>825</v>
      </c>
      <c r="E31" s="160">
        <v>202.4</v>
      </c>
      <c r="F31" s="160">
        <v>231.5</v>
      </c>
      <c r="G31" s="160">
        <v>325.8</v>
      </c>
      <c r="H31" s="160">
        <v>368.4</v>
      </c>
      <c r="I31" s="160">
        <v>430.4</v>
      </c>
      <c r="J31" s="160">
        <v>438.5</v>
      </c>
      <c r="K31" s="160">
        <v>458.5</v>
      </c>
      <c r="L31" s="160">
        <v>425.4</v>
      </c>
      <c r="M31" s="160">
        <v>355.4</v>
      </c>
      <c r="N31" s="160">
        <v>288.39999999999998</v>
      </c>
      <c r="O31" s="160">
        <v>215.4</v>
      </c>
      <c r="P31" s="160">
        <v>192.4</v>
      </c>
      <c r="R31" s="161">
        <v>68.400000000000006</v>
      </c>
      <c r="S31" s="161">
        <v>88.4</v>
      </c>
      <c r="T31" s="161">
        <v>142.5</v>
      </c>
      <c r="U31" s="161">
        <v>182.4</v>
      </c>
      <c r="V31" s="161">
        <v>228.4</v>
      </c>
      <c r="W31" s="161">
        <v>242.5</v>
      </c>
      <c r="X31" s="161">
        <v>252.4</v>
      </c>
      <c r="Y31" s="161">
        <v>225.4</v>
      </c>
      <c r="Z31" s="161">
        <v>172.4</v>
      </c>
      <c r="AA31" s="161">
        <v>125.4</v>
      </c>
      <c r="AB31" s="161">
        <v>85.4</v>
      </c>
      <c r="AC31" s="161">
        <v>65.400000000000006</v>
      </c>
      <c r="BC31" s="159">
        <v>14.17</v>
      </c>
      <c r="BD31" s="159">
        <v>13.17</v>
      </c>
      <c r="BE31" s="159">
        <v>12.01</v>
      </c>
      <c r="BF31" s="159">
        <v>10.52</v>
      </c>
      <c r="BG31" s="159">
        <v>9.52</v>
      </c>
      <c r="BH31" s="159">
        <v>9.27</v>
      </c>
      <c r="BI31" s="159">
        <v>9.41</v>
      </c>
      <c r="BJ31" s="159">
        <v>10.32</v>
      </c>
      <c r="BK31" s="159">
        <v>11.48</v>
      </c>
      <c r="BL31" s="159">
        <v>13.02</v>
      </c>
      <c r="BM31" s="159">
        <v>14.07</v>
      </c>
      <c r="BN31" s="159">
        <v>14.3</v>
      </c>
    </row>
    <row r="32" spans="1:68">
      <c r="A32" s="157" t="s">
        <v>826</v>
      </c>
      <c r="B32" s="492" t="s">
        <v>827</v>
      </c>
      <c r="C32" s="492" t="s">
        <v>828</v>
      </c>
      <c r="E32" s="160">
        <v>158.4</v>
      </c>
      <c r="F32" s="160">
        <v>185.2</v>
      </c>
      <c r="G32" s="160">
        <v>266.39999999999998</v>
      </c>
      <c r="H32" s="160">
        <v>288.5</v>
      </c>
      <c r="I32" s="160">
        <v>345.2</v>
      </c>
      <c r="J32" s="160">
        <v>358.6</v>
      </c>
      <c r="K32" s="160">
        <v>378.5</v>
      </c>
      <c r="L32" s="160">
        <v>344.2</v>
      </c>
      <c r="M32" s="160">
        <v>275.39999999999998</v>
      </c>
      <c r="N32" s="160">
        <v>215.8</v>
      </c>
      <c r="O32" s="160">
        <v>162.4</v>
      </c>
      <c r="P32" s="160">
        <v>148.19999999999999</v>
      </c>
      <c r="R32" s="161">
        <v>50.2</v>
      </c>
      <c r="S32" s="161">
        <v>68.5</v>
      </c>
      <c r="T32" s="161">
        <v>114.8</v>
      </c>
      <c r="U32" s="161">
        <v>145.5</v>
      </c>
      <c r="V32" s="161">
        <v>192.4</v>
      </c>
      <c r="W32" s="161">
        <v>208.5</v>
      </c>
      <c r="X32" s="161">
        <v>224.8</v>
      </c>
      <c r="Y32" s="161">
        <v>190.5</v>
      </c>
      <c r="Z32" s="161">
        <v>136.4</v>
      </c>
      <c r="AA32" s="161">
        <v>91.5</v>
      </c>
      <c r="AB32" s="161">
        <v>55.4</v>
      </c>
      <c r="AC32" s="161">
        <v>43.2</v>
      </c>
      <c r="BC32" s="159">
        <v>15.06</v>
      </c>
      <c r="BD32" s="159">
        <v>13.46</v>
      </c>
      <c r="BE32" s="159">
        <v>12.04</v>
      </c>
      <c r="BF32" s="159">
        <v>10.33</v>
      </c>
      <c r="BG32" s="159">
        <v>9.15</v>
      </c>
      <c r="BH32" s="159">
        <v>8.42</v>
      </c>
      <c r="BI32" s="159">
        <v>8.59</v>
      </c>
      <c r="BJ32" s="159">
        <v>10.119999999999999</v>
      </c>
      <c r="BK32" s="159">
        <v>11.46</v>
      </c>
      <c r="BL32" s="159">
        <v>13.2</v>
      </c>
      <c r="BM32" s="159">
        <v>14.48</v>
      </c>
      <c r="BN32" s="159">
        <v>15.18</v>
      </c>
    </row>
    <row r="33" spans="1:66">
      <c r="A33" s="477" t="s">
        <v>1066</v>
      </c>
      <c r="B33" s="492" t="s">
        <v>1067</v>
      </c>
      <c r="C33" s="492" t="s">
        <v>1068</v>
      </c>
      <c r="E33" s="160">
        <v>156.4</v>
      </c>
      <c r="F33" s="160">
        <v>184.3</v>
      </c>
      <c r="G33" s="160">
        <v>264.8</v>
      </c>
      <c r="H33" s="160">
        <v>287.5</v>
      </c>
      <c r="I33" s="160">
        <v>344.2</v>
      </c>
      <c r="J33" s="160">
        <v>356.8</v>
      </c>
      <c r="K33" s="160">
        <v>376.9</v>
      </c>
      <c r="L33" s="160">
        <v>343.2</v>
      </c>
      <c r="M33" s="160">
        <v>273.8</v>
      </c>
      <c r="N33" s="160">
        <v>214.1</v>
      </c>
      <c r="O33" s="160">
        <v>160.80000000000001</v>
      </c>
      <c r="P33" s="160">
        <v>146.80000000000001</v>
      </c>
      <c r="R33" s="161">
        <v>49.2</v>
      </c>
      <c r="S33" s="161">
        <v>67.5</v>
      </c>
      <c r="T33" s="161">
        <v>113.6</v>
      </c>
      <c r="U33" s="161">
        <v>144.4</v>
      </c>
      <c r="V33" s="161">
        <v>191.1</v>
      </c>
      <c r="W33" s="161">
        <v>207.4</v>
      </c>
      <c r="X33" s="161">
        <v>223.7</v>
      </c>
      <c r="Y33" s="161">
        <v>189.5</v>
      </c>
      <c r="Z33" s="161">
        <v>135.30000000000001</v>
      </c>
      <c r="AA33" s="161">
        <v>90.4</v>
      </c>
      <c r="AB33" s="161">
        <v>54.5</v>
      </c>
      <c r="AC33" s="161">
        <v>42.3</v>
      </c>
      <c r="AD33" s="162">
        <v>0</v>
      </c>
      <c r="AE33" s="162">
        <v>0</v>
      </c>
      <c r="AF33" s="162">
        <v>0</v>
      </c>
      <c r="AG33" s="162">
        <v>0</v>
      </c>
      <c r="AH33" s="162">
        <v>0</v>
      </c>
      <c r="AI33" s="162">
        <v>0</v>
      </c>
      <c r="AJ33" s="162">
        <v>0</v>
      </c>
      <c r="AK33" s="162">
        <v>0</v>
      </c>
      <c r="AL33" s="162">
        <v>0</v>
      </c>
      <c r="AM33" s="162">
        <v>0</v>
      </c>
      <c r="AN33" s="162">
        <v>0</v>
      </c>
      <c r="AO33" s="162">
        <v>0</v>
      </c>
      <c r="AQ33" s="158" t="s">
        <v>1041</v>
      </c>
      <c r="AR33" s="158" t="s">
        <v>1041</v>
      </c>
      <c r="AS33" s="158" t="s">
        <v>1041</v>
      </c>
      <c r="AT33" s="158" t="s">
        <v>1041</v>
      </c>
      <c r="AU33" s="158" t="s">
        <v>1041</v>
      </c>
      <c r="AV33" s="158" t="s">
        <v>1041</v>
      </c>
      <c r="AW33" s="158" t="s">
        <v>1041</v>
      </c>
      <c r="AX33" s="158" t="s">
        <v>1041</v>
      </c>
      <c r="AY33" s="158" t="s">
        <v>1041</v>
      </c>
      <c r="AZ33" s="158" t="s">
        <v>1041</v>
      </c>
      <c r="BA33" s="158" t="s">
        <v>1041</v>
      </c>
      <c r="BB33" s="158" t="s">
        <v>1041</v>
      </c>
      <c r="BC33" s="159">
        <v>14.54</v>
      </c>
      <c r="BD33" s="159">
        <v>13.44</v>
      </c>
      <c r="BE33" s="159">
        <v>12.03</v>
      </c>
      <c r="BF33" s="159">
        <v>10.33</v>
      </c>
      <c r="BG33" s="159">
        <v>9.16</v>
      </c>
      <c r="BH33" s="159">
        <v>8.43</v>
      </c>
      <c r="BI33" s="159">
        <v>9</v>
      </c>
      <c r="BJ33" s="159">
        <v>10.130000000000001</v>
      </c>
      <c r="BK33" s="159">
        <v>11.45</v>
      </c>
      <c r="BL33" s="159">
        <v>13.2</v>
      </c>
      <c r="BM33" s="159">
        <v>14.48</v>
      </c>
      <c r="BN33" s="159">
        <v>15.16</v>
      </c>
    </row>
    <row r="34" spans="1:66">
      <c r="A34" s="157" t="s">
        <v>829</v>
      </c>
      <c r="B34" s="492" t="s">
        <v>830</v>
      </c>
      <c r="C34" s="492" t="s">
        <v>831</v>
      </c>
      <c r="E34" s="160">
        <v>195.6</v>
      </c>
      <c r="F34" s="160">
        <v>222.4</v>
      </c>
      <c r="G34" s="160">
        <v>312.5</v>
      </c>
      <c r="H34" s="160">
        <v>352.4</v>
      </c>
      <c r="I34" s="160">
        <v>412.5</v>
      </c>
      <c r="J34" s="160">
        <v>418.2</v>
      </c>
      <c r="K34" s="160">
        <v>438.4</v>
      </c>
      <c r="L34" s="160">
        <v>405.2</v>
      </c>
      <c r="M34" s="160">
        <v>335.2</v>
      </c>
      <c r="N34" s="160">
        <v>272.39999999999998</v>
      </c>
      <c r="O34" s="160">
        <v>202.4</v>
      </c>
      <c r="P34" s="160">
        <v>182.4</v>
      </c>
      <c r="R34" s="161">
        <v>63.2</v>
      </c>
      <c r="S34" s="161">
        <v>82.4</v>
      </c>
      <c r="T34" s="161">
        <v>132.4</v>
      </c>
      <c r="U34" s="161">
        <v>168.2</v>
      </c>
      <c r="V34" s="161">
        <v>212.4</v>
      </c>
      <c r="W34" s="161">
        <v>225.4</v>
      </c>
      <c r="X34" s="161">
        <v>235.2</v>
      </c>
      <c r="Y34" s="161">
        <v>208.4</v>
      </c>
      <c r="Z34" s="161">
        <v>158.19999999999999</v>
      </c>
      <c r="AA34" s="161">
        <v>112.5</v>
      </c>
      <c r="AB34" s="161">
        <v>78.400000000000006</v>
      </c>
      <c r="AC34" s="161">
        <v>60.2</v>
      </c>
      <c r="BC34" s="159">
        <v>14.26</v>
      </c>
      <c r="BD34" s="159">
        <v>13.24</v>
      </c>
      <c r="BE34" s="159">
        <v>12.01</v>
      </c>
      <c r="BF34" s="159">
        <v>10.47</v>
      </c>
      <c r="BG34" s="159">
        <v>9.44</v>
      </c>
      <c r="BH34" s="159">
        <v>9.18</v>
      </c>
      <c r="BI34" s="159">
        <v>9.33</v>
      </c>
      <c r="BJ34" s="159">
        <v>10.24</v>
      </c>
      <c r="BK34" s="159">
        <v>11.48</v>
      </c>
      <c r="BL34" s="159">
        <v>13.07</v>
      </c>
      <c r="BM34" s="159">
        <v>14.16</v>
      </c>
      <c r="BN34" s="159">
        <v>14.4</v>
      </c>
    </row>
    <row r="35" spans="1:66">
      <c r="A35" s="157" t="s">
        <v>832</v>
      </c>
      <c r="B35" s="492" t="s">
        <v>833</v>
      </c>
      <c r="C35" s="492" t="s">
        <v>834</v>
      </c>
      <c r="E35" s="160">
        <v>156.19999999999999</v>
      </c>
      <c r="F35" s="160">
        <v>183.1</v>
      </c>
      <c r="G35" s="160">
        <v>264.2</v>
      </c>
      <c r="H35" s="160">
        <v>285.39999999999998</v>
      </c>
      <c r="I35" s="160">
        <v>342.1</v>
      </c>
      <c r="J35" s="160">
        <v>355.8</v>
      </c>
      <c r="K35" s="160">
        <v>375.4</v>
      </c>
      <c r="L35" s="160">
        <v>340.5</v>
      </c>
      <c r="M35" s="160">
        <v>272.39999999999998</v>
      </c>
      <c r="N35" s="160">
        <v>212.4</v>
      </c>
      <c r="O35" s="160">
        <v>160.5</v>
      </c>
      <c r="P35" s="160">
        <v>145.19999999999999</v>
      </c>
      <c r="R35" s="161">
        <v>49.2</v>
      </c>
      <c r="S35" s="161">
        <v>67.099999999999994</v>
      </c>
      <c r="T35" s="161">
        <v>112.4</v>
      </c>
      <c r="U35" s="161">
        <v>142.5</v>
      </c>
      <c r="V35" s="161">
        <v>188.4</v>
      </c>
      <c r="W35" s="161">
        <v>205.4</v>
      </c>
      <c r="X35" s="161">
        <v>220.1</v>
      </c>
      <c r="Y35" s="161">
        <v>186.4</v>
      </c>
      <c r="Z35" s="161">
        <v>132.4</v>
      </c>
      <c r="AA35" s="161">
        <v>88.4</v>
      </c>
      <c r="AB35" s="161">
        <v>52.4</v>
      </c>
      <c r="AC35" s="161">
        <v>41.2</v>
      </c>
      <c r="BC35" s="159">
        <v>15.07</v>
      </c>
      <c r="BD35" s="159">
        <v>13.47</v>
      </c>
      <c r="BE35" s="159">
        <v>12.04</v>
      </c>
      <c r="BF35" s="159">
        <v>10.32</v>
      </c>
      <c r="BG35" s="159">
        <v>9.14</v>
      </c>
      <c r="BH35" s="159">
        <v>8.41</v>
      </c>
      <c r="BI35" s="159">
        <v>8.58</v>
      </c>
      <c r="BJ35" s="159">
        <v>10.11</v>
      </c>
      <c r="BK35" s="159">
        <v>11.46</v>
      </c>
      <c r="BL35" s="159">
        <v>13.21</v>
      </c>
      <c r="BM35" s="159">
        <v>14.49</v>
      </c>
      <c r="BN35" s="159">
        <v>15.19</v>
      </c>
    </row>
    <row r="36" spans="1:66">
      <c r="A36" s="157" t="s">
        <v>835</v>
      </c>
      <c r="B36" s="492" t="s">
        <v>836</v>
      </c>
      <c r="C36" s="492" t="s">
        <v>837</v>
      </c>
      <c r="E36" s="160">
        <v>136.4</v>
      </c>
      <c r="F36" s="160">
        <v>162.1</v>
      </c>
      <c r="G36" s="160">
        <v>248.5</v>
      </c>
      <c r="H36" s="160">
        <v>278.2</v>
      </c>
      <c r="I36" s="160">
        <v>338.4</v>
      </c>
      <c r="J36" s="160">
        <v>362.1</v>
      </c>
      <c r="K36" s="160">
        <v>382.4</v>
      </c>
      <c r="L36" s="160">
        <v>342.8</v>
      </c>
      <c r="M36" s="160">
        <v>270.5</v>
      </c>
      <c r="N36" s="160">
        <v>210.4</v>
      </c>
      <c r="O36" s="160">
        <v>145.19999999999999</v>
      </c>
      <c r="P36" s="160">
        <v>128.5</v>
      </c>
      <c r="R36" s="161">
        <v>36.4</v>
      </c>
      <c r="S36" s="161">
        <v>58.4</v>
      </c>
      <c r="T36" s="161">
        <v>102.1</v>
      </c>
      <c r="U36" s="161">
        <v>135.19999999999999</v>
      </c>
      <c r="V36" s="161">
        <v>182.1</v>
      </c>
      <c r="W36" s="161">
        <v>210.4</v>
      </c>
      <c r="X36" s="161">
        <v>228.2</v>
      </c>
      <c r="Y36" s="161">
        <v>190.5</v>
      </c>
      <c r="Z36" s="161">
        <v>132.4</v>
      </c>
      <c r="AA36" s="161">
        <v>86.5</v>
      </c>
      <c r="AB36" s="161">
        <v>45.4</v>
      </c>
      <c r="AC36" s="161">
        <v>34.200000000000003</v>
      </c>
      <c r="BC36" s="159">
        <v>15.11</v>
      </c>
      <c r="BD36" s="159">
        <v>13.45</v>
      </c>
      <c r="BE36" s="159">
        <v>12.04</v>
      </c>
      <c r="BF36" s="159">
        <v>10.3</v>
      </c>
      <c r="BG36" s="159">
        <v>9.1199999999999992</v>
      </c>
      <c r="BH36" s="159">
        <v>8.3699999999999992</v>
      </c>
      <c r="BI36" s="159">
        <v>8.5500000000000007</v>
      </c>
      <c r="BJ36" s="159">
        <v>10.11</v>
      </c>
      <c r="BK36" s="159">
        <v>11.46</v>
      </c>
      <c r="BL36" s="159">
        <v>13.25</v>
      </c>
      <c r="BM36" s="159">
        <v>14.54</v>
      </c>
      <c r="BN36" s="159">
        <v>15.26</v>
      </c>
    </row>
    <row r="37" spans="1:66">
      <c r="A37" s="157" t="s">
        <v>838</v>
      </c>
      <c r="B37" s="492" t="s">
        <v>839</v>
      </c>
      <c r="C37" s="492" t="s">
        <v>840</v>
      </c>
      <c r="E37" s="160">
        <v>198.2</v>
      </c>
      <c r="F37" s="160">
        <v>225.4</v>
      </c>
      <c r="G37" s="160">
        <v>315.39999999999998</v>
      </c>
      <c r="H37" s="160">
        <v>355.6</v>
      </c>
      <c r="I37" s="160">
        <v>415.2</v>
      </c>
      <c r="J37" s="160">
        <v>422.1</v>
      </c>
      <c r="K37" s="160">
        <v>442.4</v>
      </c>
      <c r="L37" s="160">
        <v>408.5</v>
      </c>
      <c r="M37" s="160">
        <v>338.5</v>
      </c>
      <c r="N37" s="160">
        <v>275.39999999999998</v>
      </c>
      <c r="O37" s="160">
        <v>208.4</v>
      </c>
      <c r="P37" s="160">
        <v>185.2</v>
      </c>
      <c r="R37" s="161">
        <v>65.099999999999994</v>
      </c>
      <c r="S37" s="161">
        <v>85.4</v>
      </c>
      <c r="T37" s="161">
        <v>135.4</v>
      </c>
      <c r="U37" s="161">
        <v>172.1</v>
      </c>
      <c r="V37" s="161">
        <v>215.2</v>
      </c>
      <c r="W37" s="161">
        <v>230.4</v>
      </c>
      <c r="X37" s="161">
        <v>238.5</v>
      </c>
      <c r="Y37" s="161">
        <v>212.4</v>
      </c>
      <c r="Z37" s="161">
        <v>162.5</v>
      </c>
      <c r="AA37" s="161">
        <v>118.5</v>
      </c>
      <c r="AB37" s="161">
        <v>80.400000000000006</v>
      </c>
      <c r="AC37" s="161">
        <v>62.1</v>
      </c>
      <c r="BC37" s="159">
        <v>14.25</v>
      </c>
      <c r="BD37" s="159">
        <v>13.23</v>
      </c>
      <c r="BE37" s="159">
        <v>12.01</v>
      </c>
      <c r="BF37" s="159">
        <v>10.47</v>
      </c>
      <c r="BG37" s="159">
        <v>9.4499999999999993</v>
      </c>
      <c r="BH37" s="159">
        <v>9.19</v>
      </c>
      <c r="BI37" s="159">
        <v>9.34</v>
      </c>
      <c r="BJ37" s="159">
        <v>10.25</v>
      </c>
      <c r="BK37" s="159">
        <v>11.48</v>
      </c>
      <c r="BL37" s="159">
        <v>13.07</v>
      </c>
      <c r="BM37" s="159">
        <v>14.15</v>
      </c>
      <c r="BN37" s="159">
        <v>14.39</v>
      </c>
    </row>
    <row r="38" spans="1:66">
      <c r="A38" s="157" t="s">
        <v>841</v>
      </c>
      <c r="B38" s="492" t="s">
        <v>842</v>
      </c>
      <c r="C38" s="492" t="s">
        <v>843</v>
      </c>
      <c r="E38" s="160">
        <v>163.5</v>
      </c>
      <c r="F38" s="160">
        <v>190.8</v>
      </c>
      <c r="G38" s="160">
        <v>272.39999999999998</v>
      </c>
      <c r="H38" s="160">
        <v>295.10000000000002</v>
      </c>
      <c r="I38" s="160">
        <v>350.8</v>
      </c>
      <c r="J38" s="160">
        <v>365.2</v>
      </c>
      <c r="K38" s="160">
        <v>385.4</v>
      </c>
      <c r="L38" s="160">
        <v>352.4</v>
      </c>
      <c r="M38" s="160">
        <v>282.39999999999998</v>
      </c>
      <c r="N38" s="160">
        <v>222.4</v>
      </c>
      <c r="O38" s="160">
        <v>168.5</v>
      </c>
      <c r="P38" s="160">
        <v>155.19999999999999</v>
      </c>
      <c r="R38" s="161">
        <v>53.1</v>
      </c>
      <c r="S38" s="161">
        <v>72.5</v>
      </c>
      <c r="T38" s="161">
        <v>119.5</v>
      </c>
      <c r="U38" s="161">
        <v>150.5</v>
      </c>
      <c r="V38" s="161">
        <v>198.5</v>
      </c>
      <c r="W38" s="161">
        <v>215.4</v>
      </c>
      <c r="X38" s="161">
        <v>232.5</v>
      </c>
      <c r="Y38" s="161">
        <v>198.4</v>
      </c>
      <c r="Z38" s="161">
        <v>142.4</v>
      </c>
      <c r="AA38" s="161">
        <v>98.4</v>
      </c>
      <c r="AB38" s="161">
        <v>61</v>
      </c>
      <c r="AC38" s="161">
        <v>48.6</v>
      </c>
      <c r="BC38" s="159">
        <v>14.51</v>
      </c>
      <c r="BD38" s="159">
        <v>13.38</v>
      </c>
      <c r="BE38" s="159">
        <v>12.02</v>
      </c>
      <c r="BF38" s="159">
        <v>10.37</v>
      </c>
      <c r="BG38" s="159">
        <v>9.2100000000000009</v>
      </c>
      <c r="BH38" s="159">
        <v>8.48</v>
      </c>
      <c r="BI38" s="159">
        <v>9.0500000000000007</v>
      </c>
      <c r="BJ38" s="159">
        <v>10.16</v>
      </c>
      <c r="BK38" s="159">
        <v>11.47</v>
      </c>
      <c r="BL38" s="159">
        <v>13.17</v>
      </c>
      <c r="BM38" s="159">
        <v>14.42</v>
      </c>
      <c r="BN38" s="159">
        <v>15.05</v>
      </c>
    </row>
    <row r="39" spans="1:66">
      <c r="A39" s="157" t="s">
        <v>844</v>
      </c>
      <c r="B39" s="492" t="s">
        <v>845</v>
      </c>
      <c r="C39" s="492" t="s">
        <v>846</v>
      </c>
      <c r="E39" s="160">
        <v>178.5</v>
      </c>
      <c r="F39" s="160">
        <v>204.6</v>
      </c>
      <c r="G39" s="160">
        <v>288.39999999999998</v>
      </c>
      <c r="H39" s="160">
        <v>322.10000000000002</v>
      </c>
      <c r="I39" s="160">
        <v>378.5</v>
      </c>
      <c r="J39" s="160">
        <v>385.4</v>
      </c>
      <c r="K39" s="160">
        <v>405.2</v>
      </c>
      <c r="L39" s="160">
        <v>372.4</v>
      </c>
      <c r="M39" s="160">
        <v>308.39999999999998</v>
      </c>
      <c r="N39" s="160">
        <v>248.5</v>
      </c>
      <c r="O39" s="160">
        <v>182.4</v>
      </c>
      <c r="P39" s="160">
        <v>162.5</v>
      </c>
      <c r="R39" s="161">
        <v>58.5</v>
      </c>
      <c r="S39" s="161">
        <v>75.400000000000006</v>
      </c>
      <c r="T39" s="161">
        <v>118.4</v>
      </c>
      <c r="U39" s="161">
        <v>152.1</v>
      </c>
      <c r="V39" s="161">
        <v>192.4</v>
      </c>
      <c r="W39" s="161">
        <v>205.4</v>
      </c>
      <c r="X39" s="161">
        <v>212.5</v>
      </c>
      <c r="Y39" s="161">
        <v>188.4</v>
      </c>
      <c r="Z39" s="161">
        <v>142.5</v>
      </c>
      <c r="AA39" s="161">
        <v>102.4</v>
      </c>
      <c r="AB39" s="161">
        <v>68.5</v>
      </c>
      <c r="AC39" s="161">
        <v>52.1</v>
      </c>
      <c r="BC39" s="159">
        <v>14.45</v>
      </c>
      <c r="BD39" s="159">
        <v>13.36</v>
      </c>
      <c r="BE39" s="159">
        <v>12.02</v>
      </c>
      <c r="BF39" s="159">
        <v>10.38</v>
      </c>
      <c r="BG39" s="159">
        <v>9.3000000000000007</v>
      </c>
      <c r="BH39" s="159">
        <v>9.01</v>
      </c>
      <c r="BI39" s="159">
        <v>9.17</v>
      </c>
      <c r="BJ39" s="159">
        <v>10.19</v>
      </c>
      <c r="BK39" s="159">
        <v>11.47</v>
      </c>
      <c r="BL39" s="159">
        <v>13.15</v>
      </c>
      <c r="BM39" s="159">
        <v>14.35</v>
      </c>
      <c r="BN39" s="159">
        <v>15</v>
      </c>
    </row>
    <row r="40" spans="1:66">
      <c r="A40" s="157" t="s">
        <v>847</v>
      </c>
      <c r="B40" s="492" t="s">
        <v>848</v>
      </c>
      <c r="C40" s="492" t="s">
        <v>840</v>
      </c>
      <c r="E40" s="160">
        <v>201.4</v>
      </c>
      <c r="F40" s="160">
        <v>228.5</v>
      </c>
      <c r="G40" s="160">
        <v>318.39999999999998</v>
      </c>
      <c r="H40" s="160">
        <v>360.5</v>
      </c>
      <c r="I40" s="160">
        <v>422.4</v>
      </c>
      <c r="J40" s="160">
        <v>430.4</v>
      </c>
      <c r="K40" s="160">
        <v>450.2</v>
      </c>
      <c r="L40" s="160">
        <v>418.4</v>
      </c>
      <c r="M40" s="160">
        <v>348.7</v>
      </c>
      <c r="N40" s="160">
        <v>280.39999999999998</v>
      </c>
      <c r="O40" s="160">
        <v>210.5</v>
      </c>
      <c r="P40" s="160">
        <v>188.4</v>
      </c>
      <c r="R40" s="161">
        <v>66.3</v>
      </c>
      <c r="S40" s="161">
        <v>86.2</v>
      </c>
      <c r="T40" s="161">
        <v>138.4</v>
      </c>
      <c r="U40" s="161">
        <v>175.2</v>
      </c>
      <c r="V40" s="161">
        <v>218.4</v>
      </c>
      <c r="W40" s="161">
        <v>232.4</v>
      </c>
      <c r="X40" s="161">
        <v>242.5</v>
      </c>
      <c r="Y40" s="161">
        <v>215.8</v>
      </c>
      <c r="Z40" s="161">
        <v>165.2</v>
      </c>
      <c r="AA40" s="161">
        <v>118.4</v>
      </c>
      <c r="AB40" s="161">
        <v>82.4</v>
      </c>
      <c r="AC40" s="161">
        <v>65.2</v>
      </c>
      <c r="BC40" s="159">
        <v>14.24</v>
      </c>
      <c r="BD40" s="159">
        <v>13.22</v>
      </c>
      <c r="BE40" s="159">
        <v>12.01</v>
      </c>
      <c r="BF40" s="159">
        <v>10.48</v>
      </c>
      <c r="BG40" s="159">
        <v>9.4600000000000009</v>
      </c>
      <c r="BH40" s="159">
        <v>9.1999999999999993</v>
      </c>
      <c r="BI40" s="159">
        <v>9.35</v>
      </c>
      <c r="BJ40" s="159">
        <v>10.28</v>
      </c>
      <c r="BK40" s="159">
        <v>11.48</v>
      </c>
      <c r="BL40" s="159">
        <v>13.06</v>
      </c>
      <c r="BM40" s="159">
        <v>14.14</v>
      </c>
      <c r="BN40" s="159">
        <v>14.38</v>
      </c>
    </row>
    <row r="41" spans="1:66">
      <c r="A41" s="157" t="s">
        <v>849</v>
      </c>
      <c r="B41" s="492" t="s">
        <v>850</v>
      </c>
      <c r="C41" s="492" t="s">
        <v>851</v>
      </c>
      <c r="E41" s="160">
        <v>180.5</v>
      </c>
      <c r="F41" s="160">
        <v>206.8</v>
      </c>
      <c r="G41" s="160">
        <v>292.10000000000002</v>
      </c>
      <c r="H41" s="160">
        <v>326.39999999999998</v>
      </c>
      <c r="I41" s="160">
        <v>382.5</v>
      </c>
      <c r="J41" s="160">
        <v>388.4</v>
      </c>
      <c r="K41" s="160">
        <v>408.6</v>
      </c>
      <c r="L41" s="160">
        <v>375.4</v>
      </c>
      <c r="M41" s="160">
        <v>312.10000000000002</v>
      </c>
      <c r="N41" s="160">
        <v>250.5</v>
      </c>
      <c r="O41" s="160">
        <v>185.4</v>
      </c>
      <c r="P41" s="160">
        <v>165.8</v>
      </c>
      <c r="R41" s="161">
        <v>59.5</v>
      </c>
      <c r="S41" s="161">
        <v>76.8</v>
      </c>
      <c r="T41" s="161">
        <v>121.4</v>
      </c>
      <c r="U41" s="161">
        <v>155.19999999999999</v>
      </c>
      <c r="V41" s="161">
        <v>195.4</v>
      </c>
      <c r="W41" s="161">
        <v>208.6</v>
      </c>
      <c r="X41" s="161">
        <v>215.8</v>
      </c>
      <c r="Y41" s="161">
        <v>191.2</v>
      </c>
      <c r="Z41" s="161">
        <v>145.1</v>
      </c>
      <c r="AA41" s="161">
        <v>105.4</v>
      </c>
      <c r="AB41" s="161">
        <v>71.2</v>
      </c>
      <c r="AC41" s="161">
        <v>54.5</v>
      </c>
      <c r="BC41" s="159">
        <v>14.43</v>
      </c>
      <c r="BD41" s="159">
        <v>13.36</v>
      </c>
      <c r="BE41" s="159">
        <v>12.02</v>
      </c>
      <c r="BF41" s="159">
        <v>10.38</v>
      </c>
      <c r="BG41" s="159">
        <v>9.2899999999999991</v>
      </c>
      <c r="BH41" s="159">
        <v>9</v>
      </c>
      <c r="BI41" s="159">
        <v>9.17</v>
      </c>
      <c r="BJ41" s="159">
        <v>10.18</v>
      </c>
      <c r="BK41" s="159">
        <v>11.47</v>
      </c>
      <c r="BL41" s="159">
        <v>13.15</v>
      </c>
      <c r="BM41" s="159">
        <v>14.34</v>
      </c>
      <c r="BN41" s="159">
        <v>14.59</v>
      </c>
    </row>
    <row r="42" spans="1:66">
      <c r="A42" s="157" t="s">
        <v>852</v>
      </c>
      <c r="B42" s="492" t="s">
        <v>853</v>
      </c>
      <c r="C42" s="492" t="s">
        <v>854</v>
      </c>
      <c r="E42" s="160">
        <v>184.2</v>
      </c>
      <c r="F42" s="160">
        <v>210.1</v>
      </c>
      <c r="G42" s="160">
        <v>296.5</v>
      </c>
      <c r="H42" s="160">
        <v>332.1</v>
      </c>
      <c r="I42" s="160">
        <v>388.4</v>
      </c>
      <c r="J42" s="160">
        <v>395.2</v>
      </c>
      <c r="K42" s="160">
        <v>415.8</v>
      </c>
      <c r="L42" s="160">
        <v>382.4</v>
      </c>
      <c r="M42" s="160">
        <v>318.5</v>
      </c>
      <c r="N42" s="160">
        <v>255.4</v>
      </c>
      <c r="O42" s="160">
        <v>192.1</v>
      </c>
      <c r="P42" s="160">
        <v>172.5</v>
      </c>
      <c r="R42" s="161">
        <v>61.2</v>
      </c>
      <c r="S42" s="161">
        <v>78.400000000000006</v>
      </c>
      <c r="T42" s="161">
        <v>124.5</v>
      </c>
      <c r="U42" s="161">
        <v>158.19999999999999</v>
      </c>
      <c r="V42" s="161">
        <v>198.1</v>
      </c>
      <c r="W42" s="161">
        <v>212.5</v>
      </c>
      <c r="X42" s="161">
        <v>220.1</v>
      </c>
      <c r="Y42" s="161">
        <v>195.4</v>
      </c>
      <c r="Z42" s="161">
        <v>148.19999999999999</v>
      </c>
      <c r="AA42" s="161">
        <v>108.1</v>
      </c>
      <c r="AB42" s="161">
        <v>74.5</v>
      </c>
      <c r="AC42" s="161">
        <v>56.8</v>
      </c>
      <c r="BC42" s="159">
        <v>14.41</v>
      </c>
      <c r="BD42" s="159">
        <v>13.34</v>
      </c>
      <c r="BE42" s="159">
        <v>12.02</v>
      </c>
      <c r="BF42" s="159">
        <v>10.4</v>
      </c>
      <c r="BG42" s="159">
        <v>9.31</v>
      </c>
      <c r="BH42" s="159">
        <v>9.02</v>
      </c>
      <c r="BI42" s="159">
        <v>9.18</v>
      </c>
      <c r="BJ42" s="159">
        <v>10.19</v>
      </c>
      <c r="BK42" s="159">
        <v>11.47</v>
      </c>
      <c r="BL42" s="159">
        <v>13.14</v>
      </c>
      <c r="BM42" s="159">
        <v>14.32</v>
      </c>
      <c r="BN42" s="159">
        <v>14.57</v>
      </c>
    </row>
    <row r="43" spans="1:66">
      <c r="A43" s="157" t="s">
        <v>855</v>
      </c>
      <c r="B43" s="492" t="s">
        <v>856</v>
      </c>
      <c r="C43" s="492" t="s">
        <v>857</v>
      </c>
      <c r="E43" s="160">
        <v>195.4</v>
      </c>
      <c r="F43" s="160">
        <v>222.4</v>
      </c>
      <c r="G43" s="160">
        <v>312.8</v>
      </c>
      <c r="H43" s="160">
        <v>352.4</v>
      </c>
      <c r="I43" s="160">
        <v>412.4</v>
      </c>
      <c r="J43" s="160">
        <v>418.5</v>
      </c>
      <c r="K43" s="160">
        <v>438.2</v>
      </c>
      <c r="L43" s="160">
        <v>405.1</v>
      </c>
      <c r="M43" s="160">
        <v>335.2</v>
      </c>
      <c r="N43" s="160">
        <v>272.39999999999998</v>
      </c>
      <c r="O43" s="160">
        <v>205.6</v>
      </c>
      <c r="P43" s="160">
        <v>182.4</v>
      </c>
      <c r="R43" s="161">
        <v>64.2</v>
      </c>
      <c r="S43" s="161">
        <v>82.4</v>
      </c>
      <c r="T43" s="161">
        <v>132.5</v>
      </c>
      <c r="U43" s="161">
        <v>168.2</v>
      </c>
      <c r="V43" s="161">
        <v>212.4</v>
      </c>
      <c r="W43" s="161">
        <v>225.4</v>
      </c>
      <c r="X43" s="161">
        <v>235.2</v>
      </c>
      <c r="Y43" s="161">
        <v>208.4</v>
      </c>
      <c r="Z43" s="161">
        <v>158.19999999999999</v>
      </c>
      <c r="AA43" s="161">
        <v>112.5</v>
      </c>
      <c r="AB43" s="161">
        <v>78.400000000000006</v>
      </c>
      <c r="AC43" s="161">
        <v>60.5</v>
      </c>
      <c r="BC43" s="159">
        <v>14.32</v>
      </c>
      <c r="BD43" s="159">
        <v>13.28</v>
      </c>
      <c r="BE43" s="159">
        <v>12.01</v>
      </c>
      <c r="BF43" s="159">
        <v>10.44</v>
      </c>
      <c r="BG43" s="159">
        <v>9.3800000000000008</v>
      </c>
      <c r="BH43" s="159">
        <v>9.1</v>
      </c>
      <c r="BI43" s="159">
        <v>9.26</v>
      </c>
      <c r="BJ43" s="159">
        <v>10.24</v>
      </c>
      <c r="BK43" s="159">
        <v>11.48</v>
      </c>
      <c r="BL43" s="159">
        <v>13.1</v>
      </c>
      <c r="BM43" s="159">
        <v>14.22</v>
      </c>
      <c r="BN43" s="159">
        <v>14.48</v>
      </c>
    </row>
    <row r="44" spans="1:66">
      <c r="A44" s="157" t="s">
        <v>858</v>
      </c>
      <c r="B44" s="492" t="s">
        <v>859</v>
      </c>
      <c r="C44" s="492" t="s">
        <v>860</v>
      </c>
      <c r="E44" s="160">
        <v>154.5</v>
      </c>
      <c r="F44" s="160">
        <v>181.2</v>
      </c>
      <c r="G44" s="160">
        <v>262.5</v>
      </c>
      <c r="H44" s="160">
        <v>283.2</v>
      </c>
      <c r="I44" s="160">
        <v>340.1</v>
      </c>
      <c r="J44" s="160">
        <v>354.2</v>
      </c>
      <c r="K44" s="160">
        <v>374.5</v>
      </c>
      <c r="L44" s="160">
        <v>338.4</v>
      </c>
      <c r="M44" s="160">
        <v>270.5</v>
      </c>
      <c r="N44" s="160">
        <v>210.1</v>
      </c>
      <c r="O44" s="160">
        <v>158.4</v>
      </c>
      <c r="P44" s="160">
        <v>142.5</v>
      </c>
      <c r="R44" s="161">
        <v>48.4</v>
      </c>
      <c r="S44" s="161">
        <v>66.099999999999994</v>
      </c>
      <c r="T44" s="161">
        <v>111.2</v>
      </c>
      <c r="U44" s="161">
        <v>141.5</v>
      </c>
      <c r="V44" s="161">
        <v>187.4</v>
      </c>
      <c r="W44" s="161">
        <v>204.5</v>
      </c>
      <c r="X44" s="161">
        <v>218.6</v>
      </c>
      <c r="Y44" s="161">
        <v>185.2</v>
      </c>
      <c r="Z44" s="161">
        <v>131.5</v>
      </c>
      <c r="AA44" s="161">
        <v>87.4</v>
      </c>
      <c r="AB44" s="161">
        <v>51.2</v>
      </c>
      <c r="AC44" s="161">
        <v>40.5</v>
      </c>
      <c r="BC44" s="159">
        <v>15.08</v>
      </c>
      <c r="BD44" s="159">
        <v>13.47</v>
      </c>
      <c r="BE44" s="159">
        <v>12.04</v>
      </c>
      <c r="BF44" s="159">
        <v>10.31</v>
      </c>
      <c r="BG44" s="159">
        <v>9.1300000000000008</v>
      </c>
      <c r="BH44" s="159">
        <v>8.4</v>
      </c>
      <c r="BI44" s="159">
        <v>8.57</v>
      </c>
      <c r="BJ44" s="159">
        <v>10.11</v>
      </c>
      <c r="BK44" s="159">
        <v>11.46</v>
      </c>
      <c r="BL44" s="159">
        <v>13.21</v>
      </c>
      <c r="BM44" s="159">
        <v>14.49</v>
      </c>
      <c r="BN44" s="159">
        <v>15.2</v>
      </c>
    </row>
    <row r="45" spans="1:66">
      <c r="A45" s="157" t="s">
        <v>861</v>
      </c>
      <c r="B45" s="492" t="s">
        <v>862</v>
      </c>
      <c r="C45" s="492" t="s">
        <v>863</v>
      </c>
      <c r="E45" s="160">
        <v>201.4</v>
      </c>
      <c r="F45" s="160">
        <v>228.6</v>
      </c>
      <c r="G45" s="160">
        <v>322.39999999999998</v>
      </c>
      <c r="H45" s="160">
        <v>365.2</v>
      </c>
      <c r="I45" s="160">
        <v>428.5</v>
      </c>
      <c r="J45" s="160">
        <v>435.4</v>
      </c>
      <c r="K45" s="160">
        <v>455.4</v>
      </c>
      <c r="L45" s="160">
        <v>422.1</v>
      </c>
      <c r="M45" s="160">
        <v>352.6</v>
      </c>
      <c r="N45" s="160">
        <v>285.39999999999998</v>
      </c>
      <c r="O45" s="160">
        <v>212.4</v>
      </c>
      <c r="P45" s="160">
        <v>188.4</v>
      </c>
      <c r="R45" s="161">
        <v>67.599999999999994</v>
      </c>
      <c r="S45" s="161">
        <v>87.4</v>
      </c>
      <c r="T45" s="161">
        <v>141.5</v>
      </c>
      <c r="U45" s="161">
        <v>180.2</v>
      </c>
      <c r="V45" s="161">
        <v>225.4</v>
      </c>
      <c r="W45" s="161">
        <v>238.6</v>
      </c>
      <c r="X45" s="161">
        <v>248.5</v>
      </c>
      <c r="Y45" s="161">
        <v>220.1</v>
      </c>
      <c r="Z45" s="161">
        <v>168.2</v>
      </c>
      <c r="AA45" s="161">
        <v>122.1</v>
      </c>
      <c r="AB45" s="161">
        <v>83.4</v>
      </c>
      <c r="AC45" s="161">
        <v>64.099999999999994</v>
      </c>
      <c r="BC45" s="159">
        <v>14.19</v>
      </c>
      <c r="BD45" s="159">
        <v>13.19</v>
      </c>
      <c r="BE45" s="159">
        <v>12.01</v>
      </c>
      <c r="BF45" s="159">
        <v>10.51</v>
      </c>
      <c r="BG45" s="159">
        <v>9.51</v>
      </c>
      <c r="BH45" s="159">
        <v>9.25</v>
      </c>
      <c r="BI45" s="159">
        <v>9.39</v>
      </c>
      <c r="BJ45" s="159">
        <v>10.31</v>
      </c>
      <c r="BK45" s="159">
        <v>11.48</v>
      </c>
      <c r="BL45" s="159">
        <v>13.04</v>
      </c>
      <c r="BM45" s="159">
        <v>14.1</v>
      </c>
      <c r="BN45" s="159">
        <v>14.33</v>
      </c>
    </row>
    <row r="46" spans="1:66">
      <c r="A46" s="157" t="s">
        <v>864</v>
      </c>
      <c r="B46" s="492" t="s">
        <v>865</v>
      </c>
      <c r="C46" s="492" t="s">
        <v>837</v>
      </c>
      <c r="E46" s="160">
        <v>145.19999999999999</v>
      </c>
      <c r="F46" s="160">
        <v>171.4</v>
      </c>
      <c r="G46" s="160">
        <v>258.2</v>
      </c>
      <c r="H46" s="160">
        <v>285.10000000000002</v>
      </c>
      <c r="I46" s="160">
        <v>345.4</v>
      </c>
      <c r="J46" s="160">
        <v>368.1</v>
      </c>
      <c r="K46" s="160">
        <v>388.4</v>
      </c>
      <c r="L46" s="160">
        <v>354.2</v>
      </c>
      <c r="M46" s="160">
        <v>281.39999999999998</v>
      </c>
      <c r="N46" s="160">
        <v>221.4</v>
      </c>
      <c r="O46" s="160">
        <v>152.4</v>
      </c>
      <c r="P46" s="160">
        <v>135.1</v>
      </c>
      <c r="R46" s="161">
        <v>41.2</v>
      </c>
      <c r="S46" s="161">
        <v>60.4</v>
      </c>
      <c r="T46" s="161">
        <v>105.1</v>
      </c>
      <c r="U46" s="161">
        <v>138.4</v>
      </c>
      <c r="V46" s="161">
        <v>185.1</v>
      </c>
      <c r="W46" s="161">
        <v>212.4</v>
      </c>
      <c r="X46" s="161">
        <v>230.5</v>
      </c>
      <c r="Y46" s="161">
        <v>192.4</v>
      </c>
      <c r="Z46" s="161">
        <v>138.5</v>
      </c>
      <c r="AA46" s="161">
        <v>92.1</v>
      </c>
      <c r="AB46" s="161">
        <v>48.4</v>
      </c>
      <c r="AC46" s="161">
        <v>38.200000000000003</v>
      </c>
      <c r="BC46" s="159">
        <v>15.09</v>
      </c>
      <c r="BD46" s="159">
        <v>13.46</v>
      </c>
      <c r="BE46" s="159">
        <v>12.05</v>
      </c>
      <c r="BF46" s="159">
        <v>10.29</v>
      </c>
      <c r="BG46" s="159">
        <v>9.11</v>
      </c>
      <c r="BH46" s="159">
        <v>8.3699999999999992</v>
      </c>
      <c r="BI46" s="159">
        <v>8.5500000000000007</v>
      </c>
      <c r="BJ46" s="159">
        <v>10.1</v>
      </c>
      <c r="BK46" s="159">
        <v>11.46</v>
      </c>
      <c r="BL46" s="159">
        <v>13.23</v>
      </c>
      <c r="BM46" s="159">
        <v>14.52</v>
      </c>
      <c r="BN46" s="159">
        <v>15.23</v>
      </c>
    </row>
    <row r="47" spans="1:66">
      <c r="A47" s="157" t="s">
        <v>866</v>
      </c>
      <c r="B47" s="492" t="s">
        <v>867</v>
      </c>
      <c r="C47" s="492" t="s">
        <v>868</v>
      </c>
      <c r="E47" s="160">
        <v>130.5</v>
      </c>
      <c r="F47" s="160">
        <v>156.19999999999999</v>
      </c>
      <c r="G47" s="160">
        <v>242.1</v>
      </c>
      <c r="H47" s="160">
        <v>272.39999999999998</v>
      </c>
      <c r="I47" s="160">
        <v>332.1</v>
      </c>
      <c r="J47" s="160">
        <v>355.4</v>
      </c>
      <c r="K47" s="160">
        <v>375.6</v>
      </c>
      <c r="L47" s="160">
        <v>335.2</v>
      </c>
      <c r="M47" s="160">
        <v>262.39999999999998</v>
      </c>
      <c r="N47" s="160">
        <v>202.5</v>
      </c>
      <c r="O47" s="160">
        <v>140.4</v>
      </c>
      <c r="P47" s="160">
        <v>122.5</v>
      </c>
      <c r="R47" s="161">
        <v>33.5</v>
      </c>
      <c r="S47" s="161">
        <v>54.2</v>
      </c>
      <c r="T47" s="161">
        <v>96.4</v>
      </c>
      <c r="U47" s="161">
        <v>130.4</v>
      </c>
      <c r="V47" s="161">
        <v>175.6</v>
      </c>
      <c r="W47" s="161">
        <v>202.4</v>
      </c>
      <c r="X47" s="161">
        <v>220.1</v>
      </c>
      <c r="Y47" s="161">
        <v>182.4</v>
      </c>
      <c r="Z47" s="161">
        <v>125.4</v>
      </c>
      <c r="AA47" s="161">
        <v>80.5</v>
      </c>
      <c r="AB47" s="161">
        <v>40.4</v>
      </c>
      <c r="AC47" s="161">
        <v>30.4</v>
      </c>
      <c r="BC47" s="159">
        <v>15.13</v>
      </c>
      <c r="BD47" s="159">
        <v>13.47</v>
      </c>
      <c r="BE47" s="159">
        <v>12.05</v>
      </c>
      <c r="BF47" s="159">
        <v>10.27</v>
      </c>
      <c r="BG47" s="159">
        <v>9.09</v>
      </c>
      <c r="BH47" s="159">
        <v>8.34</v>
      </c>
      <c r="BI47" s="159">
        <v>8.5299999999999994</v>
      </c>
      <c r="BJ47" s="159">
        <v>10.09</v>
      </c>
      <c r="BK47" s="159">
        <v>11.45</v>
      </c>
      <c r="BL47" s="159">
        <v>13.27</v>
      </c>
      <c r="BM47" s="159">
        <v>14.57</v>
      </c>
      <c r="BN47" s="159">
        <v>15.29</v>
      </c>
    </row>
    <row r="48" spans="1:66">
      <c r="A48" s="157" t="s">
        <v>869</v>
      </c>
      <c r="B48" s="492" t="s">
        <v>870</v>
      </c>
      <c r="C48" s="492" t="s">
        <v>871</v>
      </c>
      <c r="E48" s="160">
        <v>134.19999999999999</v>
      </c>
      <c r="F48" s="160">
        <v>160.4</v>
      </c>
      <c r="G48" s="160">
        <v>248.5</v>
      </c>
      <c r="H48" s="160">
        <v>278.60000000000002</v>
      </c>
      <c r="I48" s="160">
        <v>338.4</v>
      </c>
      <c r="J48" s="160">
        <v>362.5</v>
      </c>
      <c r="K48" s="160">
        <v>382.1</v>
      </c>
      <c r="L48" s="160">
        <v>342.4</v>
      </c>
      <c r="M48" s="160">
        <v>268.5</v>
      </c>
      <c r="N48" s="160">
        <v>208.4</v>
      </c>
      <c r="O48" s="160">
        <v>145.19999999999999</v>
      </c>
      <c r="P48" s="160">
        <v>128.4</v>
      </c>
      <c r="R48" s="161">
        <v>36.1</v>
      </c>
      <c r="S48" s="161">
        <v>56.4</v>
      </c>
      <c r="T48" s="161">
        <v>100.5</v>
      </c>
      <c r="U48" s="161">
        <v>135.1</v>
      </c>
      <c r="V48" s="161">
        <v>182.4</v>
      </c>
      <c r="W48" s="161">
        <v>210.6</v>
      </c>
      <c r="X48" s="161">
        <v>228.4</v>
      </c>
      <c r="Y48" s="161">
        <v>190.2</v>
      </c>
      <c r="Z48" s="161">
        <v>131.5</v>
      </c>
      <c r="AA48" s="161">
        <v>85.4</v>
      </c>
      <c r="AB48" s="161">
        <v>44.1</v>
      </c>
      <c r="AC48" s="161">
        <v>34.799999999999997</v>
      </c>
      <c r="BC48" s="159">
        <v>15.11</v>
      </c>
      <c r="BD48" s="159">
        <v>13.46</v>
      </c>
      <c r="BE48" s="159">
        <v>12.05</v>
      </c>
      <c r="BF48" s="159">
        <v>10.28</v>
      </c>
      <c r="BG48" s="159">
        <v>9.1</v>
      </c>
      <c r="BH48" s="159">
        <v>8.35</v>
      </c>
      <c r="BI48" s="159">
        <v>8.5399999999999991</v>
      </c>
      <c r="BJ48" s="159">
        <v>10.1</v>
      </c>
      <c r="BK48" s="159">
        <v>11.45</v>
      </c>
      <c r="BL48" s="159">
        <v>13.26</v>
      </c>
      <c r="BM48" s="159">
        <v>14.55</v>
      </c>
      <c r="BN48" s="159">
        <v>15.27</v>
      </c>
    </row>
    <row r="49" spans="1:66">
      <c r="A49" s="157" t="s">
        <v>872</v>
      </c>
      <c r="B49" s="492" t="s">
        <v>873</v>
      </c>
      <c r="C49" s="492" t="s">
        <v>874</v>
      </c>
      <c r="E49" s="160">
        <v>158.5</v>
      </c>
      <c r="F49" s="160">
        <v>185.4</v>
      </c>
      <c r="G49" s="160">
        <v>266.3</v>
      </c>
      <c r="H49" s="160">
        <v>288.7</v>
      </c>
      <c r="I49" s="160">
        <v>345.6</v>
      </c>
      <c r="J49" s="160">
        <v>358.4</v>
      </c>
      <c r="K49" s="160">
        <v>378.2</v>
      </c>
      <c r="L49" s="160">
        <v>344.5</v>
      </c>
      <c r="M49" s="160">
        <v>275.3</v>
      </c>
      <c r="N49" s="160">
        <v>215.8</v>
      </c>
      <c r="O49" s="160">
        <v>162.4</v>
      </c>
      <c r="P49" s="160">
        <v>148.1</v>
      </c>
      <c r="R49" s="161">
        <v>50.2</v>
      </c>
      <c r="S49" s="161">
        <v>68.599999999999994</v>
      </c>
      <c r="T49" s="161">
        <v>114.7</v>
      </c>
      <c r="U49" s="161">
        <v>145.5</v>
      </c>
      <c r="V49" s="161">
        <v>192.2</v>
      </c>
      <c r="W49" s="161">
        <v>208.5</v>
      </c>
      <c r="X49" s="161">
        <v>224.7</v>
      </c>
      <c r="Y49" s="161">
        <v>190.6</v>
      </c>
      <c r="Z49" s="161">
        <v>136.5</v>
      </c>
      <c r="AA49" s="161">
        <v>91.5</v>
      </c>
      <c r="AB49" s="161">
        <v>55.5</v>
      </c>
      <c r="AC49" s="161">
        <v>43.4</v>
      </c>
      <c r="BC49" s="159">
        <v>14.56</v>
      </c>
      <c r="BD49" s="159">
        <v>13.42</v>
      </c>
      <c r="BE49" s="159">
        <v>12.02</v>
      </c>
      <c r="BF49" s="159">
        <v>10.34</v>
      </c>
      <c r="BG49" s="159">
        <v>9.18</v>
      </c>
      <c r="BH49" s="159">
        <v>8.4499999999999993</v>
      </c>
      <c r="BI49" s="159">
        <v>9.02</v>
      </c>
      <c r="BJ49" s="159">
        <v>10.14</v>
      </c>
      <c r="BK49" s="159">
        <v>11.46</v>
      </c>
      <c r="BL49" s="159">
        <v>13.18</v>
      </c>
      <c r="BM49" s="159">
        <v>14.46</v>
      </c>
      <c r="BN49" s="159">
        <v>15.1</v>
      </c>
    </row>
    <row r="50" spans="1:66">
      <c r="A50" s="157" t="s">
        <v>875</v>
      </c>
      <c r="B50" s="492" t="s">
        <v>876</v>
      </c>
      <c r="C50" s="492" t="s">
        <v>877</v>
      </c>
      <c r="E50" s="160">
        <v>172.4</v>
      </c>
      <c r="F50" s="160">
        <v>198.5</v>
      </c>
      <c r="G50" s="160">
        <v>282.10000000000002</v>
      </c>
      <c r="H50" s="160">
        <v>315.60000000000002</v>
      </c>
      <c r="I50" s="160">
        <v>372.2</v>
      </c>
      <c r="J50" s="160">
        <v>378.5</v>
      </c>
      <c r="K50" s="160">
        <v>398.4</v>
      </c>
      <c r="L50" s="160">
        <v>365.5</v>
      </c>
      <c r="M50" s="160">
        <v>302.39999999999998</v>
      </c>
      <c r="N50" s="160">
        <v>242.8</v>
      </c>
      <c r="O50" s="160">
        <v>178.5</v>
      </c>
      <c r="P50" s="160">
        <v>158.4</v>
      </c>
      <c r="R50" s="161">
        <v>56.4</v>
      </c>
      <c r="S50" s="161">
        <v>74.2</v>
      </c>
      <c r="T50" s="161">
        <v>118.5</v>
      </c>
      <c r="U50" s="161">
        <v>152.4</v>
      </c>
      <c r="V50" s="161">
        <v>192.5</v>
      </c>
      <c r="W50" s="161">
        <v>205.8</v>
      </c>
      <c r="X50" s="161">
        <v>212.5</v>
      </c>
      <c r="Y50" s="161">
        <v>188.4</v>
      </c>
      <c r="Z50" s="161">
        <v>142.5</v>
      </c>
      <c r="AA50" s="161">
        <v>102.1</v>
      </c>
      <c r="AB50" s="161">
        <v>68.400000000000006</v>
      </c>
      <c r="AC50" s="161">
        <v>54.5</v>
      </c>
      <c r="BC50" s="159">
        <v>14.47</v>
      </c>
      <c r="BD50" s="159">
        <v>13.38</v>
      </c>
      <c r="BE50" s="159">
        <v>12.02</v>
      </c>
      <c r="BF50" s="159">
        <v>10.38</v>
      </c>
      <c r="BG50" s="159">
        <v>9.2799999999999994</v>
      </c>
      <c r="BH50" s="159">
        <v>8.58</v>
      </c>
      <c r="BI50" s="159">
        <v>9.14</v>
      </c>
      <c r="BJ50" s="159">
        <v>10.19</v>
      </c>
      <c r="BK50" s="159">
        <v>11.47</v>
      </c>
      <c r="BL50" s="159">
        <v>13.16</v>
      </c>
      <c r="BM50" s="159">
        <v>14.38</v>
      </c>
      <c r="BN50" s="159">
        <v>15.02</v>
      </c>
    </row>
    <row r="51" spans="1:66">
      <c r="A51" s="157" t="s">
        <v>878</v>
      </c>
      <c r="B51" s="492" t="s">
        <v>879</v>
      </c>
      <c r="C51" s="492" t="s">
        <v>880</v>
      </c>
      <c r="E51" s="160">
        <v>185.2</v>
      </c>
      <c r="F51" s="160">
        <v>212.4</v>
      </c>
      <c r="G51" s="160">
        <v>302.10000000000002</v>
      </c>
      <c r="H51" s="160">
        <v>342.5</v>
      </c>
      <c r="I51" s="160">
        <v>398.4</v>
      </c>
      <c r="J51" s="160">
        <v>405.2</v>
      </c>
      <c r="K51" s="160">
        <v>425.1</v>
      </c>
      <c r="L51" s="160">
        <v>392.4</v>
      </c>
      <c r="M51" s="160">
        <v>325.39999999999998</v>
      </c>
      <c r="N51" s="160">
        <v>262.39999999999998</v>
      </c>
      <c r="O51" s="160">
        <v>195.6</v>
      </c>
      <c r="P51" s="160">
        <v>175.6</v>
      </c>
      <c r="R51" s="161">
        <v>60.1</v>
      </c>
      <c r="S51" s="161">
        <v>78.400000000000006</v>
      </c>
      <c r="T51" s="161">
        <v>125.4</v>
      </c>
      <c r="U51" s="161">
        <v>162.4</v>
      </c>
      <c r="V51" s="161">
        <v>202.1</v>
      </c>
      <c r="W51" s="161">
        <v>215.6</v>
      </c>
      <c r="X51" s="161">
        <v>224.1</v>
      </c>
      <c r="Y51" s="161">
        <v>198.5</v>
      </c>
      <c r="Z51" s="161">
        <v>148.5</v>
      </c>
      <c r="AA51" s="161">
        <v>108.4</v>
      </c>
      <c r="AB51" s="161">
        <v>74.5</v>
      </c>
      <c r="AC51" s="161">
        <v>56.8</v>
      </c>
      <c r="BC51" s="159">
        <v>14.38</v>
      </c>
      <c r="BD51" s="159">
        <v>13.32</v>
      </c>
      <c r="BE51" s="159">
        <v>12.02</v>
      </c>
      <c r="BF51" s="159">
        <v>10.41</v>
      </c>
      <c r="BG51" s="159">
        <v>9.33</v>
      </c>
      <c r="BH51" s="159">
        <v>9.0399999999999991</v>
      </c>
      <c r="BI51" s="159">
        <v>9.1999999999999993</v>
      </c>
      <c r="BJ51" s="159">
        <v>10.210000000000001</v>
      </c>
      <c r="BK51" s="159">
        <v>11.48</v>
      </c>
      <c r="BL51" s="159">
        <v>13.13</v>
      </c>
      <c r="BM51" s="159">
        <v>14.28</v>
      </c>
      <c r="BN51" s="159">
        <v>14.54</v>
      </c>
    </row>
    <row r="52" spans="1:66">
      <c r="A52" s="157" t="s">
        <v>881</v>
      </c>
      <c r="B52" s="492" t="s">
        <v>882</v>
      </c>
      <c r="C52" s="492" t="s">
        <v>883</v>
      </c>
      <c r="E52" s="160">
        <v>186.4</v>
      </c>
      <c r="F52" s="160">
        <v>213.5</v>
      </c>
      <c r="G52" s="160">
        <v>303.8</v>
      </c>
      <c r="H52" s="160">
        <v>344.1</v>
      </c>
      <c r="I52" s="160">
        <v>400.2</v>
      </c>
      <c r="J52" s="160">
        <v>407.1</v>
      </c>
      <c r="K52" s="160">
        <v>426.5</v>
      </c>
      <c r="L52" s="160">
        <v>394.1</v>
      </c>
      <c r="M52" s="160">
        <v>327.10000000000002</v>
      </c>
      <c r="N52" s="160">
        <v>264.10000000000002</v>
      </c>
      <c r="O52" s="160">
        <v>197.2</v>
      </c>
      <c r="P52" s="160">
        <v>177.1</v>
      </c>
      <c r="R52" s="161">
        <v>60.5</v>
      </c>
      <c r="S52" s="161">
        <v>79.099999999999994</v>
      </c>
      <c r="T52" s="161">
        <v>126.5</v>
      </c>
      <c r="U52" s="161">
        <v>163.5</v>
      </c>
      <c r="V52" s="161">
        <v>203.5</v>
      </c>
      <c r="W52" s="161">
        <v>217.1</v>
      </c>
      <c r="X52" s="161">
        <v>225.6</v>
      </c>
      <c r="Y52" s="161">
        <v>200.1</v>
      </c>
      <c r="Z52" s="161">
        <v>150.1</v>
      </c>
      <c r="AA52" s="161">
        <v>109.5</v>
      </c>
      <c r="AB52" s="161">
        <v>75.599999999999994</v>
      </c>
      <c r="AC52" s="161">
        <v>57.6</v>
      </c>
      <c r="BC52" s="159">
        <v>14.39</v>
      </c>
      <c r="BD52" s="159">
        <v>13.33</v>
      </c>
      <c r="BE52" s="159">
        <v>12.02</v>
      </c>
      <c r="BF52" s="159">
        <v>10.41</v>
      </c>
      <c r="BG52" s="159">
        <v>9.32</v>
      </c>
      <c r="BH52" s="159">
        <v>9.0299999999999994</v>
      </c>
      <c r="BI52" s="159">
        <v>9.19</v>
      </c>
      <c r="BJ52" s="159">
        <v>10.199999999999999</v>
      </c>
      <c r="BK52" s="159">
        <v>11.48</v>
      </c>
      <c r="BL52" s="159">
        <v>13.14</v>
      </c>
      <c r="BM52" s="159">
        <v>14.29</v>
      </c>
      <c r="BN52" s="159">
        <v>14.55</v>
      </c>
    </row>
    <row r="53" spans="1:66">
      <c r="A53" s="157" t="s">
        <v>884</v>
      </c>
      <c r="B53" s="492" t="s">
        <v>885</v>
      </c>
      <c r="C53" s="492" t="s">
        <v>886</v>
      </c>
      <c r="E53" s="160">
        <v>186.8</v>
      </c>
      <c r="F53" s="160">
        <v>214.1</v>
      </c>
      <c r="G53" s="160">
        <v>304.5</v>
      </c>
      <c r="H53" s="160">
        <v>344.8</v>
      </c>
      <c r="I53" s="160">
        <v>401.1</v>
      </c>
      <c r="J53" s="160">
        <v>408</v>
      </c>
      <c r="K53" s="160">
        <v>427.6</v>
      </c>
      <c r="L53" s="160">
        <v>395.1</v>
      </c>
      <c r="M53" s="160">
        <v>328.1</v>
      </c>
      <c r="N53" s="160">
        <v>264.8</v>
      </c>
      <c r="O53" s="160">
        <v>198.1</v>
      </c>
      <c r="P53" s="160">
        <v>178.1</v>
      </c>
      <c r="R53" s="161">
        <v>60.8</v>
      </c>
      <c r="S53" s="161">
        <v>79.5</v>
      </c>
      <c r="T53" s="161">
        <v>127.1</v>
      </c>
      <c r="U53" s="161">
        <v>164.2</v>
      </c>
      <c r="V53" s="161">
        <v>204.5</v>
      </c>
      <c r="W53" s="161">
        <v>218.1</v>
      </c>
      <c r="X53" s="161">
        <v>226.6</v>
      </c>
      <c r="Y53" s="161">
        <v>201.1</v>
      </c>
      <c r="Z53" s="161">
        <v>151.1</v>
      </c>
      <c r="AA53" s="161">
        <v>110.2</v>
      </c>
      <c r="AB53" s="161">
        <v>76.400000000000006</v>
      </c>
      <c r="AC53" s="161">
        <v>58.4</v>
      </c>
      <c r="BC53" s="159">
        <v>14.39</v>
      </c>
      <c r="BD53" s="159">
        <v>13.33</v>
      </c>
      <c r="BE53" s="159">
        <v>12.02</v>
      </c>
      <c r="BF53" s="159">
        <v>10.41</v>
      </c>
      <c r="BG53" s="159">
        <v>9.32</v>
      </c>
      <c r="BH53" s="159">
        <v>9.0399999999999991</v>
      </c>
      <c r="BI53" s="159">
        <v>9.1999999999999993</v>
      </c>
      <c r="BJ53" s="159">
        <v>10.199999999999999</v>
      </c>
      <c r="BK53" s="159">
        <v>11.48</v>
      </c>
      <c r="BL53" s="159">
        <v>13.14</v>
      </c>
      <c r="BM53" s="159">
        <v>14.29</v>
      </c>
      <c r="BN53" s="159">
        <v>14.55</v>
      </c>
    </row>
    <row r="54" spans="1:66">
      <c r="A54" s="157" t="s">
        <v>887</v>
      </c>
      <c r="B54" s="492" t="s">
        <v>888</v>
      </c>
      <c r="C54" s="492" t="s">
        <v>889</v>
      </c>
      <c r="E54" s="160">
        <v>178.5</v>
      </c>
      <c r="F54" s="160">
        <v>204.6</v>
      </c>
      <c r="G54" s="160">
        <v>288.39999999999998</v>
      </c>
      <c r="H54" s="160">
        <v>322.10000000000002</v>
      </c>
      <c r="I54" s="160">
        <v>378.5</v>
      </c>
      <c r="J54" s="160">
        <v>385.4</v>
      </c>
      <c r="K54" s="160">
        <v>405.2</v>
      </c>
      <c r="L54" s="160">
        <v>372.4</v>
      </c>
      <c r="M54" s="160">
        <v>308.39999999999998</v>
      </c>
      <c r="N54" s="160">
        <v>248.5</v>
      </c>
      <c r="O54" s="160">
        <v>182.4</v>
      </c>
      <c r="P54" s="160">
        <v>162.5</v>
      </c>
      <c r="R54" s="161">
        <v>58.5</v>
      </c>
      <c r="S54" s="161">
        <v>75.400000000000006</v>
      </c>
      <c r="T54" s="161">
        <v>118.4</v>
      </c>
      <c r="U54" s="161">
        <v>152.1</v>
      </c>
      <c r="V54" s="161">
        <v>192.4</v>
      </c>
      <c r="W54" s="161">
        <v>205.4</v>
      </c>
      <c r="X54" s="161">
        <v>212.5</v>
      </c>
      <c r="Y54" s="161">
        <v>188.4</v>
      </c>
      <c r="Z54" s="161">
        <v>142.5</v>
      </c>
      <c r="AA54" s="161">
        <v>102.4</v>
      </c>
      <c r="AB54" s="161">
        <v>68.5</v>
      </c>
      <c r="AC54" s="161">
        <v>52.1</v>
      </c>
      <c r="BC54" s="159">
        <v>14.45</v>
      </c>
      <c r="BD54" s="159">
        <v>13.36</v>
      </c>
      <c r="BE54" s="159">
        <v>12.02</v>
      </c>
      <c r="BF54" s="159">
        <v>10.38</v>
      </c>
      <c r="BG54" s="159">
        <v>9.3000000000000007</v>
      </c>
      <c r="BH54" s="159">
        <v>9.01</v>
      </c>
      <c r="BI54" s="159">
        <v>9.17</v>
      </c>
      <c r="BJ54" s="159">
        <v>10.19</v>
      </c>
      <c r="BK54" s="159">
        <v>11.47</v>
      </c>
      <c r="BL54" s="159">
        <v>13.15</v>
      </c>
      <c r="BM54" s="159">
        <v>14.35</v>
      </c>
      <c r="BN54" s="159">
        <v>15</v>
      </c>
    </row>
    <row r="55" spans="1:66">
      <c r="A55" s="157" t="s">
        <v>890</v>
      </c>
      <c r="B55" s="492" t="s">
        <v>891</v>
      </c>
      <c r="C55" s="492" t="s">
        <v>892</v>
      </c>
      <c r="E55" s="160">
        <v>184.2</v>
      </c>
      <c r="F55" s="160">
        <v>210.1</v>
      </c>
      <c r="G55" s="160">
        <v>296.5</v>
      </c>
      <c r="H55" s="160">
        <v>332.1</v>
      </c>
      <c r="I55" s="160">
        <v>388.4</v>
      </c>
      <c r="J55" s="160">
        <v>395.2</v>
      </c>
      <c r="K55" s="160">
        <v>415.8</v>
      </c>
      <c r="L55" s="160">
        <v>382.4</v>
      </c>
      <c r="M55" s="160">
        <v>318.5</v>
      </c>
      <c r="N55" s="160">
        <v>255.4</v>
      </c>
      <c r="O55" s="160">
        <v>192.1</v>
      </c>
      <c r="P55" s="160">
        <v>172.5</v>
      </c>
      <c r="R55" s="161">
        <v>61.2</v>
      </c>
      <c r="S55" s="161">
        <v>78.400000000000006</v>
      </c>
      <c r="T55" s="161">
        <v>124.5</v>
      </c>
      <c r="U55" s="161">
        <v>158.19999999999999</v>
      </c>
      <c r="V55" s="161">
        <v>198.1</v>
      </c>
      <c r="W55" s="161">
        <v>212.5</v>
      </c>
      <c r="X55" s="161">
        <v>220.1</v>
      </c>
      <c r="Y55" s="161">
        <v>195.4</v>
      </c>
      <c r="Z55" s="161">
        <v>148.19999999999999</v>
      </c>
      <c r="AA55" s="161">
        <v>108.1</v>
      </c>
      <c r="AB55" s="161">
        <v>74.5</v>
      </c>
      <c r="AC55" s="161">
        <v>56.8</v>
      </c>
      <c r="BC55" s="159">
        <v>14.41</v>
      </c>
      <c r="BD55" s="159">
        <v>13.34</v>
      </c>
      <c r="BE55" s="159">
        <v>12.02</v>
      </c>
      <c r="BF55" s="159">
        <v>10.4</v>
      </c>
      <c r="BG55" s="159">
        <v>9.31</v>
      </c>
      <c r="BH55" s="159">
        <v>9.02</v>
      </c>
      <c r="BI55" s="159">
        <v>9.18</v>
      </c>
      <c r="BJ55" s="159">
        <v>10.19</v>
      </c>
      <c r="BK55" s="159">
        <v>11.47</v>
      </c>
      <c r="BL55" s="159">
        <v>13.14</v>
      </c>
      <c r="BM55" s="159">
        <v>14.32</v>
      </c>
      <c r="BN55" s="159">
        <v>14.57</v>
      </c>
    </row>
    <row r="56" spans="1:66">
      <c r="A56" s="157" t="s">
        <v>893</v>
      </c>
      <c r="B56" s="492" t="s">
        <v>894</v>
      </c>
      <c r="C56" s="492" t="s">
        <v>895</v>
      </c>
      <c r="E56" s="160">
        <v>156.80000000000001</v>
      </c>
      <c r="F56" s="160">
        <v>183.7</v>
      </c>
      <c r="G56" s="160">
        <v>264.8</v>
      </c>
      <c r="H56" s="160">
        <v>286.2</v>
      </c>
      <c r="I56" s="160">
        <v>343.1</v>
      </c>
      <c r="J56" s="160">
        <v>356.8</v>
      </c>
      <c r="K56" s="160">
        <v>376.5</v>
      </c>
      <c r="L56" s="160">
        <v>342.1</v>
      </c>
      <c r="M56" s="160">
        <v>273.10000000000002</v>
      </c>
      <c r="N56" s="160">
        <v>213.5</v>
      </c>
      <c r="O56" s="160">
        <v>161.19999999999999</v>
      </c>
      <c r="P56" s="160">
        <v>146.80000000000001</v>
      </c>
      <c r="R56" s="161">
        <v>49.5</v>
      </c>
      <c r="S56" s="161">
        <v>67.8</v>
      </c>
      <c r="T56" s="161">
        <v>113.5</v>
      </c>
      <c r="U56" s="161">
        <v>144.1</v>
      </c>
      <c r="V56" s="161">
        <v>190.5</v>
      </c>
      <c r="W56" s="161">
        <v>206.8</v>
      </c>
      <c r="X56" s="161">
        <v>222.2</v>
      </c>
      <c r="Y56" s="161">
        <v>188.1</v>
      </c>
      <c r="Z56" s="161">
        <v>134.1</v>
      </c>
      <c r="AA56" s="161">
        <v>89.5</v>
      </c>
      <c r="AB56" s="161">
        <v>53.4</v>
      </c>
      <c r="AC56" s="161">
        <v>42.1</v>
      </c>
      <c r="BC56" s="159">
        <v>15.04</v>
      </c>
      <c r="BD56" s="159">
        <v>13.44</v>
      </c>
      <c r="BE56" s="159">
        <v>12.02</v>
      </c>
      <c r="BF56" s="159">
        <v>10.33</v>
      </c>
      <c r="BG56" s="159">
        <v>9.15</v>
      </c>
      <c r="BH56" s="159">
        <v>8.42</v>
      </c>
      <c r="BI56" s="159">
        <v>8.59</v>
      </c>
      <c r="BJ56" s="159">
        <v>10.119999999999999</v>
      </c>
      <c r="BK56" s="159">
        <v>11.46</v>
      </c>
      <c r="BL56" s="159">
        <v>13.2</v>
      </c>
      <c r="BM56" s="159">
        <v>14.48</v>
      </c>
      <c r="BN56" s="159">
        <v>15.18</v>
      </c>
    </row>
    <row r="57" spans="1:66">
      <c r="A57" s="157" t="s">
        <v>896</v>
      </c>
      <c r="B57" s="492" t="s">
        <v>897</v>
      </c>
      <c r="C57" s="492" t="s">
        <v>898</v>
      </c>
      <c r="E57" s="160">
        <v>194.5</v>
      </c>
      <c r="F57" s="160">
        <v>221.4</v>
      </c>
      <c r="G57" s="160">
        <v>311.5</v>
      </c>
      <c r="H57" s="160">
        <v>351.4</v>
      </c>
      <c r="I57" s="160">
        <v>411.5</v>
      </c>
      <c r="J57" s="160">
        <v>417.2</v>
      </c>
      <c r="K57" s="160">
        <v>437.4</v>
      </c>
      <c r="L57" s="160">
        <v>404.2</v>
      </c>
      <c r="M57" s="160">
        <v>334.2</v>
      </c>
      <c r="N57" s="160">
        <v>271.39999999999998</v>
      </c>
      <c r="O57" s="160">
        <v>204.4</v>
      </c>
      <c r="P57" s="160">
        <v>181.4</v>
      </c>
      <c r="R57" s="161">
        <v>63</v>
      </c>
      <c r="S57" s="161">
        <v>82</v>
      </c>
      <c r="T57" s="161">
        <v>132</v>
      </c>
      <c r="U57" s="161">
        <v>167</v>
      </c>
      <c r="V57" s="161">
        <v>211</v>
      </c>
      <c r="W57" s="161">
        <v>224</v>
      </c>
      <c r="X57" s="161">
        <v>234</v>
      </c>
      <c r="Y57" s="161">
        <v>207</v>
      </c>
      <c r="Z57" s="161">
        <v>157</v>
      </c>
      <c r="AA57" s="161">
        <v>111</v>
      </c>
      <c r="AB57" s="161">
        <v>77</v>
      </c>
      <c r="AC57" s="161">
        <v>60</v>
      </c>
      <c r="BC57" s="159">
        <v>14.26</v>
      </c>
      <c r="BD57" s="159">
        <v>13.24</v>
      </c>
      <c r="BE57" s="159">
        <v>12.01</v>
      </c>
      <c r="BF57" s="159">
        <v>10.47</v>
      </c>
      <c r="BG57" s="159">
        <v>9.43</v>
      </c>
      <c r="BH57" s="159">
        <v>9.17</v>
      </c>
      <c r="BI57" s="159">
        <v>9.32</v>
      </c>
      <c r="BJ57" s="159">
        <v>10.25</v>
      </c>
      <c r="BK57" s="159">
        <v>11.48</v>
      </c>
      <c r="BL57" s="159">
        <v>13.07</v>
      </c>
      <c r="BM57" s="159">
        <v>14.16</v>
      </c>
      <c r="BN57" s="159">
        <v>14.4</v>
      </c>
    </row>
    <row r="58" spans="1:66">
      <c r="A58" s="477" t="s">
        <v>1069</v>
      </c>
      <c r="B58" s="492" t="s">
        <v>1070</v>
      </c>
      <c r="C58" s="492" t="s">
        <v>1071</v>
      </c>
      <c r="E58" s="160">
        <v>148.6</v>
      </c>
      <c r="F58" s="160">
        <v>178.4</v>
      </c>
      <c r="G58" s="160">
        <v>258.2</v>
      </c>
      <c r="H58" s="160">
        <v>282.10000000000002</v>
      </c>
      <c r="I58" s="160">
        <v>340.5</v>
      </c>
      <c r="J58" s="160">
        <v>352.4</v>
      </c>
      <c r="K58" s="160">
        <v>372.6</v>
      </c>
      <c r="L58" s="160">
        <v>338.8</v>
      </c>
      <c r="M58" s="160">
        <v>268.5</v>
      </c>
      <c r="N58" s="160">
        <v>208.4</v>
      </c>
      <c r="O58" s="160">
        <v>155.19999999999999</v>
      </c>
      <c r="P58" s="160">
        <v>141.80000000000001</v>
      </c>
      <c r="R58" s="161">
        <v>44.5</v>
      </c>
      <c r="S58" s="161">
        <v>63.2</v>
      </c>
      <c r="T58" s="161">
        <v>109.4</v>
      </c>
      <c r="U58" s="161">
        <v>140.5</v>
      </c>
      <c r="V58" s="161">
        <v>188.4</v>
      </c>
      <c r="W58" s="161">
        <v>204.6</v>
      </c>
      <c r="X58" s="161">
        <v>220.5</v>
      </c>
      <c r="Y58" s="161">
        <v>185.2</v>
      </c>
      <c r="Z58" s="161">
        <v>131.4</v>
      </c>
      <c r="AA58" s="161">
        <v>86.5</v>
      </c>
      <c r="AB58" s="161">
        <v>50.2</v>
      </c>
      <c r="AC58" s="161">
        <v>38.4</v>
      </c>
      <c r="AD58" s="162">
        <v>0</v>
      </c>
      <c r="AE58" s="162">
        <v>0</v>
      </c>
      <c r="AF58" s="162">
        <v>0</v>
      </c>
      <c r="AG58" s="162">
        <v>0</v>
      </c>
      <c r="AH58" s="162">
        <v>0</v>
      </c>
      <c r="AI58" s="162">
        <v>0</v>
      </c>
      <c r="AJ58" s="162">
        <v>0</v>
      </c>
      <c r="AK58" s="162">
        <v>0</v>
      </c>
      <c r="AL58" s="162">
        <v>0</v>
      </c>
      <c r="AM58" s="162">
        <v>0</v>
      </c>
      <c r="AN58" s="162">
        <v>0</v>
      </c>
      <c r="AO58" s="162">
        <v>0</v>
      </c>
      <c r="AQ58" s="158" t="s">
        <v>1041</v>
      </c>
      <c r="AR58" s="158" t="s">
        <v>1041</v>
      </c>
      <c r="AS58" s="158" t="s">
        <v>1041</v>
      </c>
      <c r="AT58" s="158" t="s">
        <v>1041</v>
      </c>
      <c r="AU58" s="158" t="s">
        <v>1041</v>
      </c>
      <c r="AV58" s="158" t="s">
        <v>1041</v>
      </c>
      <c r="AW58" s="158" t="s">
        <v>1041</v>
      </c>
      <c r="AX58" s="158" t="s">
        <v>1041</v>
      </c>
      <c r="AY58" s="158" t="s">
        <v>1041</v>
      </c>
      <c r="AZ58" s="158" t="s">
        <v>1041</v>
      </c>
      <c r="BA58" s="158" t="s">
        <v>1041</v>
      </c>
      <c r="BB58" s="158" t="s">
        <v>1041</v>
      </c>
      <c r="BC58" s="159">
        <v>15.18</v>
      </c>
      <c r="BD58" s="159">
        <v>13.54</v>
      </c>
      <c r="BE58" s="159">
        <v>12.06</v>
      </c>
      <c r="BF58" s="159">
        <v>10.28</v>
      </c>
      <c r="BG58" s="159">
        <v>9.08</v>
      </c>
      <c r="BH58" s="159">
        <v>8.34</v>
      </c>
      <c r="BI58" s="159">
        <v>8.52</v>
      </c>
      <c r="BJ58" s="159">
        <v>10.06</v>
      </c>
      <c r="BK58" s="159">
        <v>11.42</v>
      </c>
      <c r="BL58" s="159">
        <v>13.24</v>
      </c>
      <c r="BM58" s="159">
        <v>14.56</v>
      </c>
      <c r="BN58" s="159">
        <v>15.31</v>
      </c>
    </row>
    <row r="59" spans="1:66">
      <c r="A59" s="157" t="s">
        <v>899</v>
      </c>
      <c r="B59" s="492" t="s">
        <v>900</v>
      </c>
      <c r="C59" s="492" t="s">
        <v>886</v>
      </c>
      <c r="E59" s="160">
        <v>210.5</v>
      </c>
      <c r="F59" s="160">
        <v>240.4</v>
      </c>
      <c r="G59" s="160">
        <v>338.7</v>
      </c>
      <c r="H59" s="160">
        <v>382.5</v>
      </c>
      <c r="I59" s="160">
        <v>448.6</v>
      </c>
      <c r="J59" s="160">
        <v>456.2</v>
      </c>
      <c r="K59" s="160">
        <v>476.2</v>
      </c>
      <c r="L59" s="160">
        <v>444.4</v>
      </c>
      <c r="M59" s="160">
        <v>370.6</v>
      </c>
      <c r="N59" s="160">
        <v>302.39999999999998</v>
      </c>
      <c r="O59" s="160">
        <v>230.6</v>
      </c>
      <c r="P59" s="160">
        <v>202.4</v>
      </c>
      <c r="R59" s="161">
        <v>74.5</v>
      </c>
      <c r="S59" s="161">
        <v>94.5</v>
      </c>
      <c r="T59" s="161">
        <v>154.5</v>
      </c>
      <c r="U59" s="161">
        <v>195.5</v>
      </c>
      <c r="V59" s="161">
        <v>244.5</v>
      </c>
      <c r="W59" s="161">
        <v>258.39999999999998</v>
      </c>
      <c r="X59" s="161">
        <v>268.39999999999998</v>
      </c>
      <c r="Y59" s="161">
        <v>241.4</v>
      </c>
      <c r="Z59" s="161">
        <v>187.4</v>
      </c>
      <c r="AA59" s="161">
        <v>136.4</v>
      </c>
      <c r="AB59" s="161">
        <v>94.5</v>
      </c>
      <c r="AC59" s="161">
        <v>74.5</v>
      </c>
      <c r="BC59" s="159">
        <v>14.11</v>
      </c>
      <c r="BD59" s="159">
        <v>13.13</v>
      </c>
      <c r="BE59" s="159">
        <v>12.01</v>
      </c>
      <c r="BF59" s="159">
        <v>10.57</v>
      </c>
      <c r="BG59" s="159">
        <v>9.58</v>
      </c>
      <c r="BH59" s="159">
        <v>9.34</v>
      </c>
      <c r="BI59" s="159">
        <v>9.48</v>
      </c>
      <c r="BJ59" s="159">
        <v>10.38</v>
      </c>
      <c r="BK59" s="159">
        <v>11.48</v>
      </c>
      <c r="BL59" s="159">
        <v>12.58</v>
      </c>
      <c r="BM59" s="159">
        <v>14.01</v>
      </c>
      <c r="BN59" s="159">
        <v>14.22</v>
      </c>
    </row>
    <row r="60" spans="1:66">
      <c r="A60" s="157" t="s">
        <v>901</v>
      </c>
      <c r="B60" s="492" t="s">
        <v>902</v>
      </c>
      <c r="C60" s="492" t="s">
        <v>903</v>
      </c>
      <c r="E60" s="160">
        <v>130.1</v>
      </c>
      <c r="F60" s="160">
        <v>155.80000000000001</v>
      </c>
      <c r="G60" s="160">
        <v>241.7</v>
      </c>
      <c r="H60" s="160">
        <v>272</v>
      </c>
      <c r="I60" s="160">
        <v>331.7</v>
      </c>
      <c r="J60" s="160">
        <v>355</v>
      </c>
      <c r="K60" s="160">
        <v>375.2</v>
      </c>
      <c r="L60" s="160">
        <v>334.8</v>
      </c>
      <c r="M60" s="160">
        <v>262</v>
      </c>
      <c r="N60" s="160">
        <v>202.1</v>
      </c>
      <c r="O60" s="160">
        <v>140</v>
      </c>
      <c r="P60" s="160">
        <v>122.1</v>
      </c>
      <c r="R60" s="161">
        <v>33.1</v>
      </c>
      <c r="S60" s="161">
        <v>53.8</v>
      </c>
      <c r="T60" s="161">
        <v>96</v>
      </c>
      <c r="U60" s="161">
        <v>130</v>
      </c>
      <c r="V60" s="161">
        <v>175.2</v>
      </c>
      <c r="W60" s="161">
        <v>202</v>
      </c>
      <c r="X60" s="161">
        <v>219.7</v>
      </c>
      <c r="Y60" s="161">
        <v>182</v>
      </c>
      <c r="Z60" s="161">
        <v>125</v>
      </c>
      <c r="AA60" s="161">
        <v>80.099999999999994</v>
      </c>
      <c r="AB60" s="161">
        <v>40</v>
      </c>
      <c r="AC60" s="161">
        <v>30</v>
      </c>
      <c r="BC60" s="159">
        <v>15.13</v>
      </c>
      <c r="BD60" s="159">
        <v>13.47</v>
      </c>
      <c r="BE60" s="159">
        <v>12.05</v>
      </c>
      <c r="BF60" s="159">
        <v>10.27</v>
      </c>
      <c r="BG60" s="159">
        <v>9.09</v>
      </c>
      <c r="BH60" s="159">
        <v>8.34</v>
      </c>
      <c r="BI60" s="159">
        <v>8.5299999999999994</v>
      </c>
      <c r="BJ60" s="159">
        <v>10.09</v>
      </c>
      <c r="BK60" s="159">
        <v>11.45</v>
      </c>
      <c r="BL60" s="159">
        <v>13.27</v>
      </c>
      <c r="BM60" s="159">
        <v>14.57</v>
      </c>
      <c r="BN60" s="159">
        <v>15.29</v>
      </c>
    </row>
    <row r="61" spans="1:66">
      <c r="A61" s="157" t="s">
        <v>904</v>
      </c>
      <c r="B61" s="492" t="s">
        <v>905</v>
      </c>
      <c r="C61" s="492" t="s">
        <v>906</v>
      </c>
      <c r="E61" s="160">
        <v>162.80000000000001</v>
      </c>
      <c r="F61" s="160">
        <v>189.9</v>
      </c>
      <c r="G61" s="160">
        <v>270.89999999999998</v>
      </c>
      <c r="H61" s="160">
        <v>293.2</v>
      </c>
      <c r="I61" s="160">
        <v>349</v>
      </c>
      <c r="J61" s="160">
        <v>362.9</v>
      </c>
      <c r="K61" s="160">
        <v>382.8</v>
      </c>
      <c r="L61" s="160">
        <v>349.1</v>
      </c>
      <c r="M61" s="160">
        <v>279.3</v>
      </c>
      <c r="N61" s="160">
        <v>220.5</v>
      </c>
      <c r="O61" s="160">
        <v>166.2</v>
      </c>
      <c r="P61" s="160">
        <v>152.80000000000001</v>
      </c>
      <c r="R61" s="161">
        <v>52.8</v>
      </c>
      <c r="S61" s="161">
        <v>71.900000000000006</v>
      </c>
      <c r="T61" s="161">
        <v>118.9</v>
      </c>
      <c r="U61" s="161">
        <v>149</v>
      </c>
      <c r="V61" s="161">
        <v>194.9</v>
      </c>
      <c r="W61" s="161">
        <v>212.8</v>
      </c>
      <c r="X61" s="161">
        <v>229</v>
      </c>
      <c r="Y61" s="161">
        <v>194.6</v>
      </c>
      <c r="Z61" s="161">
        <v>139.9</v>
      </c>
      <c r="AA61" s="161">
        <v>95</v>
      </c>
      <c r="AB61" s="161">
        <v>58.8</v>
      </c>
      <c r="AC61" s="161">
        <v>46.9</v>
      </c>
      <c r="BC61" s="159">
        <v>14.54</v>
      </c>
      <c r="BD61" s="159">
        <v>13.4</v>
      </c>
      <c r="BE61" s="159">
        <v>12.02</v>
      </c>
      <c r="BF61" s="159">
        <v>10.35</v>
      </c>
      <c r="BG61" s="159">
        <v>9.19</v>
      </c>
      <c r="BH61" s="159">
        <v>8.4600000000000009</v>
      </c>
      <c r="BI61" s="159">
        <v>9.0299999999999994</v>
      </c>
      <c r="BJ61" s="159">
        <v>10.15</v>
      </c>
      <c r="BK61" s="159">
        <v>11.47</v>
      </c>
      <c r="BL61" s="159">
        <v>13.18</v>
      </c>
      <c r="BM61" s="159">
        <v>14.45</v>
      </c>
      <c r="BN61" s="159">
        <v>15.08</v>
      </c>
    </row>
    <row r="62" spans="1:66">
      <c r="A62" s="157" t="s">
        <v>907</v>
      </c>
      <c r="B62" s="492" t="s">
        <v>908</v>
      </c>
      <c r="C62" s="492" t="s">
        <v>909</v>
      </c>
      <c r="E62" s="160">
        <v>180.9</v>
      </c>
      <c r="F62" s="160">
        <v>207.2</v>
      </c>
      <c r="G62" s="160">
        <v>292.5</v>
      </c>
      <c r="H62" s="160">
        <v>326.8</v>
      </c>
      <c r="I62" s="160">
        <v>382.9</v>
      </c>
      <c r="J62" s="160">
        <v>388.8</v>
      </c>
      <c r="K62" s="160">
        <v>409</v>
      </c>
      <c r="L62" s="160">
        <v>375.8</v>
      </c>
      <c r="M62" s="160">
        <v>312.5</v>
      </c>
      <c r="N62" s="160">
        <v>250.9</v>
      </c>
      <c r="O62" s="160">
        <v>185.8</v>
      </c>
      <c r="P62" s="160">
        <v>166.2</v>
      </c>
      <c r="R62" s="161">
        <v>59.9</v>
      </c>
      <c r="S62" s="161">
        <v>77.2</v>
      </c>
      <c r="T62" s="161">
        <v>121.8</v>
      </c>
      <c r="U62" s="161">
        <v>155.6</v>
      </c>
      <c r="V62" s="161">
        <v>195.8</v>
      </c>
      <c r="W62" s="161">
        <v>209</v>
      </c>
      <c r="X62" s="161">
        <v>216.2</v>
      </c>
      <c r="Y62" s="161">
        <v>191.6</v>
      </c>
      <c r="Z62" s="161">
        <v>145.5</v>
      </c>
      <c r="AA62" s="161">
        <v>105.8</v>
      </c>
      <c r="AB62" s="161">
        <v>71.599999999999994</v>
      </c>
      <c r="AC62" s="161">
        <v>54.9</v>
      </c>
      <c r="BC62" s="159">
        <v>14.42</v>
      </c>
      <c r="BD62" s="159">
        <v>13.35</v>
      </c>
      <c r="BE62" s="159">
        <v>12.02</v>
      </c>
      <c r="BF62" s="159">
        <v>10.38</v>
      </c>
      <c r="BG62" s="159">
        <v>9.3000000000000007</v>
      </c>
      <c r="BH62" s="159">
        <v>9.01</v>
      </c>
      <c r="BI62" s="159">
        <v>9.17</v>
      </c>
      <c r="BJ62" s="159">
        <v>10.19</v>
      </c>
      <c r="BK62" s="159">
        <v>11.47</v>
      </c>
      <c r="BL62" s="159">
        <v>13.15</v>
      </c>
      <c r="BM62" s="159">
        <v>14.33</v>
      </c>
      <c r="BN62" s="159">
        <v>14.58</v>
      </c>
    </row>
    <row r="63" spans="1:66">
      <c r="A63" s="157" t="s">
        <v>910</v>
      </c>
      <c r="B63" s="492" t="s">
        <v>798</v>
      </c>
      <c r="C63" s="492" t="s">
        <v>911</v>
      </c>
      <c r="E63" s="160">
        <v>192.8</v>
      </c>
      <c r="F63" s="160">
        <v>220.1</v>
      </c>
      <c r="G63" s="160">
        <v>310.7</v>
      </c>
      <c r="H63" s="160">
        <v>350.8</v>
      </c>
      <c r="I63" s="160">
        <v>410.7</v>
      </c>
      <c r="J63" s="160">
        <v>418.5</v>
      </c>
      <c r="K63" s="160">
        <v>438.7</v>
      </c>
      <c r="L63" s="160">
        <v>405.9</v>
      </c>
      <c r="M63" s="160">
        <v>335.7</v>
      </c>
      <c r="N63" s="160">
        <v>270.8</v>
      </c>
      <c r="O63" s="160">
        <v>201.7</v>
      </c>
      <c r="P63" s="160">
        <v>182.8</v>
      </c>
      <c r="R63" s="161">
        <v>62.8</v>
      </c>
      <c r="S63" s="161">
        <v>81.7</v>
      </c>
      <c r="T63" s="161">
        <v>128.69999999999999</v>
      </c>
      <c r="U63" s="161">
        <v>165.8</v>
      </c>
      <c r="V63" s="161">
        <v>208.7</v>
      </c>
      <c r="W63" s="161">
        <v>222.7</v>
      </c>
      <c r="X63" s="161">
        <v>230.5</v>
      </c>
      <c r="Y63" s="161">
        <v>205.7</v>
      </c>
      <c r="Z63" s="161">
        <v>155.5</v>
      </c>
      <c r="AA63" s="161">
        <v>110.7</v>
      </c>
      <c r="AB63" s="161">
        <v>74.8</v>
      </c>
      <c r="AC63" s="161">
        <v>58.7</v>
      </c>
      <c r="BC63" s="159">
        <v>14.28</v>
      </c>
      <c r="BD63" s="159">
        <v>13.26</v>
      </c>
      <c r="BE63" s="159">
        <v>12.01</v>
      </c>
      <c r="BF63" s="159">
        <v>10.46</v>
      </c>
      <c r="BG63" s="159">
        <v>9.42</v>
      </c>
      <c r="BH63" s="159">
        <v>9.14</v>
      </c>
      <c r="BI63" s="159">
        <v>9.3000000000000007</v>
      </c>
      <c r="BJ63" s="159">
        <v>10.26</v>
      </c>
      <c r="BK63" s="159">
        <v>11.48</v>
      </c>
      <c r="BL63" s="159">
        <v>13.08</v>
      </c>
      <c r="BM63" s="159">
        <v>14.18</v>
      </c>
      <c r="BN63" s="159">
        <v>14.42</v>
      </c>
    </row>
    <row r="64" spans="1:66">
      <c r="A64" s="157" t="s">
        <v>912</v>
      </c>
      <c r="B64" s="492" t="s">
        <v>913</v>
      </c>
      <c r="C64" s="492" t="s">
        <v>914</v>
      </c>
      <c r="E64" s="160">
        <v>212.4</v>
      </c>
      <c r="F64" s="160">
        <v>242.3</v>
      </c>
      <c r="G64" s="160">
        <v>340.6</v>
      </c>
      <c r="H64" s="160">
        <v>384.4</v>
      </c>
      <c r="I64" s="160">
        <v>450.5</v>
      </c>
      <c r="J64" s="160">
        <v>458.1</v>
      </c>
      <c r="K64" s="160">
        <v>478.1</v>
      </c>
      <c r="L64" s="160">
        <v>446.3</v>
      </c>
      <c r="M64" s="160">
        <v>372.5</v>
      </c>
      <c r="N64" s="160">
        <v>304.3</v>
      </c>
      <c r="O64" s="160">
        <v>232.5</v>
      </c>
      <c r="P64" s="160">
        <v>204.3</v>
      </c>
      <c r="R64" s="161">
        <v>76.400000000000006</v>
      </c>
      <c r="S64" s="161">
        <v>96.4</v>
      </c>
      <c r="T64" s="161">
        <v>156.4</v>
      </c>
      <c r="U64" s="161">
        <v>197.4</v>
      </c>
      <c r="V64" s="161">
        <v>246.4</v>
      </c>
      <c r="W64" s="161">
        <v>260.3</v>
      </c>
      <c r="X64" s="161">
        <v>270.3</v>
      </c>
      <c r="Y64" s="161">
        <v>243.3</v>
      </c>
      <c r="Z64" s="161">
        <v>189.3</v>
      </c>
      <c r="AA64" s="161">
        <v>138.30000000000001</v>
      </c>
      <c r="AB64" s="161">
        <v>96.4</v>
      </c>
      <c r="AC64" s="161">
        <v>76.400000000000006</v>
      </c>
      <c r="BC64" s="159">
        <v>14.08</v>
      </c>
      <c r="BD64" s="159">
        <v>13.1</v>
      </c>
      <c r="BE64" s="159">
        <v>12</v>
      </c>
      <c r="BF64" s="159">
        <v>10.58</v>
      </c>
      <c r="BG64" s="159">
        <v>10</v>
      </c>
      <c r="BH64" s="159">
        <v>9.36</v>
      </c>
      <c r="BI64" s="159">
        <v>9.5</v>
      </c>
      <c r="BJ64" s="159">
        <v>10.4</v>
      </c>
      <c r="BK64" s="159">
        <v>11.48</v>
      </c>
      <c r="BL64" s="159">
        <v>12.56</v>
      </c>
      <c r="BM64" s="159">
        <v>13.58</v>
      </c>
      <c r="BN64" s="159">
        <v>14.19</v>
      </c>
    </row>
    <row r="65" spans="1:66">
      <c r="A65" s="157" t="s">
        <v>915</v>
      </c>
      <c r="B65" s="492" t="s">
        <v>916</v>
      </c>
      <c r="C65" s="492" t="s">
        <v>917</v>
      </c>
      <c r="E65" s="160">
        <v>204.2</v>
      </c>
      <c r="F65" s="160">
        <v>234.1</v>
      </c>
      <c r="G65" s="160">
        <v>330.4</v>
      </c>
      <c r="H65" s="160">
        <v>374.2</v>
      </c>
      <c r="I65" s="160">
        <v>438.2</v>
      </c>
      <c r="J65" s="160">
        <v>445.8</v>
      </c>
      <c r="K65" s="160">
        <v>465.8</v>
      </c>
      <c r="L65" s="160">
        <v>434.1</v>
      </c>
      <c r="M65" s="160">
        <v>362.2</v>
      </c>
      <c r="N65" s="160">
        <v>294.3</v>
      </c>
      <c r="O65" s="160">
        <v>222.3</v>
      </c>
      <c r="P65" s="160">
        <v>194.1</v>
      </c>
      <c r="R65" s="161">
        <v>68.2</v>
      </c>
      <c r="S65" s="161">
        <v>88.1</v>
      </c>
      <c r="T65" s="161">
        <v>144.19999999999999</v>
      </c>
      <c r="U65" s="161">
        <v>184.2</v>
      </c>
      <c r="V65" s="161">
        <v>230.2</v>
      </c>
      <c r="W65" s="161">
        <v>243.8</v>
      </c>
      <c r="X65" s="161">
        <v>253.8</v>
      </c>
      <c r="Y65" s="161">
        <v>226.1</v>
      </c>
      <c r="Z65" s="161">
        <v>174.2</v>
      </c>
      <c r="AA65" s="161">
        <v>126.3</v>
      </c>
      <c r="AB65" s="161">
        <v>86.3</v>
      </c>
      <c r="AC65" s="161">
        <v>66.099999999999994</v>
      </c>
      <c r="BC65" s="159">
        <v>14.16</v>
      </c>
      <c r="BD65" s="159">
        <v>13.16</v>
      </c>
      <c r="BE65" s="159">
        <v>12.01</v>
      </c>
      <c r="BF65" s="159">
        <v>10.53</v>
      </c>
      <c r="BG65" s="159">
        <v>9.5299999999999994</v>
      </c>
      <c r="BH65" s="159">
        <v>9.2799999999999994</v>
      </c>
      <c r="BI65" s="159">
        <v>9.42</v>
      </c>
      <c r="BJ65" s="159">
        <v>10.33</v>
      </c>
      <c r="BK65" s="159">
        <v>11.48</v>
      </c>
      <c r="BL65" s="159">
        <v>13.02</v>
      </c>
      <c r="BM65" s="159">
        <v>14.06</v>
      </c>
      <c r="BN65" s="159">
        <v>14.28</v>
      </c>
    </row>
    <row r="66" spans="1:66">
      <c r="A66" s="157" t="s">
        <v>918</v>
      </c>
      <c r="B66" s="492" t="s">
        <v>919</v>
      </c>
      <c r="C66" s="492" t="s">
        <v>920</v>
      </c>
      <c r="E66" s="160">
        <v>157.4</v>
      </c>
      <c r="F66" s="160">
        <v>184.3</v>
      </c>
      <c r="G66" s="160">
        <v>265.39999999999998</v>
      </c>
      <c r="H66" s="160">
        <v>286.8</v>
      </c>
      <c r="I66" s="160">
        <v>343.7</v>
      </c>
      <c r="J66" s="160">
        <v>357.4</v>
      </c>
      <c r="K66" s="160">
        <v>377.1</v>
      </c>
      <c r="L66" s="160">
        <v>342.7</v>
      </c>
      <c r="M66" s="160">
        <v>273.7</v>
      </c>
      <c r="N66" s="160">
        <v>214.1</v>
      </c>
      <c r="O66" s="160">
        <v>161.80000000000001</v>
      </c>
      <c r="P66" s="160">
        <v>147.4</v>
      </c>
      <c r="R66" s="161">
        <v>50.1</v>
      </c>
      <c r="S66" s="161">
        <v>68.400000000000006</v>
      </c>
      <c r="T66" s="161">
        <v>114.1</v>
      </c>
      <c r="U66" s="161">
        <v>144.69999999999999</v>
      </c>
      <c r="V66" s="161">
        <v>191.1</v>
      </c>
      <c r="W66" s="161">
        <v>207.4</v>
      </c>
      <c r="X66" s="161">
        <v>222.8</v>
      </c>
      <c r="Y66" s="161">
        <v>188.7</v>
      </c>
      <c r="Z66" s="161">
        <v>134.69999999999999</v>
      </c>
      <c r="AA66" s="161">
        <v>90.1</v>
      </c>
      <c r="AB66" s="161">
        <v>54</v>
      </c>
      <c r="AC66" s="161">
        <v>42.7</v>
      </c>
      <c r="BC66" s="159">
        <v>15.04</v>
      </c>
      <c r="BD66" s="159">
        <v>13.44</v>
      </c>
      <c r="BE66" s="159">
        <v>12.02</v>
      </c>
      <c r="BF66" s="159">
        <v>10.33</v>
      </c>
      <c r="BG66" s="159">
        <v>9.15</v>
      </c>
      <c r="BH66" s="159">
        <v>8.42</v>
      </c>
      <c r="BI66" s="159">
        <v>8.59</v>
      </c>
      <c r="BJ66" s="159">
        <v>10.119999999999999</v>
      </c>
      <c r="BK66" s="159">
        <v>11.46</v>
      </c>
      <c r="BL66" s="159">
        <v>13.2</v>
      </c>
      <c r="BM66" s="159">
        <v>14.48</v>
      </c>
      <c r="BN66" s="159">
        <v>15.18</v>
      </c>
    </row>
    <row r="67" spans="1:66">
      <c r="A67" s="157" t="s">
        <v>921</v>
      </c>
      <c r="B67" s="492" t="s">
        <v>922</v>
      </c>
      <c r="C67" s="492" t="s">
        <v>923</v>
      </c>
      <c r="E67" s="160">
        <v>201.8</v>
      </c>
      <c r="F67" s="160">
        <v>230.1</v>
      </c>
      <c r="G67" s="160">
        <v>325.10000000000002</v>
      </c>
      <c r="H67" s="160">
        <v>368.1</v>
      </c>
      <c r="I67" s="160">
        <v>429.9</v>
      </c>
      <c r="J67" s="160">
        <v>438.1</v>
      </c>
      <c r="K67" s="160">
        <v>458.2</v>
      </c>
      <c r="L67" s="160">
        <v>425.1</v>
      </c>
      <c r="M67" s="160">
        <v>355.1</v>
      </c>
      <c r="N67" s="160">
        <v>288.10000000000002</v>
      </c>
      <c r="O67" s="160">
        <v>215.1</v>
      </c>
      <c r="P67" s="160">
        <v>192.1</v>
      </c>
      <c r="R67" s="161">
        <v>68.099999999999994</v>
      </c>
      <c r="S67" s="161">
        <v>88.1</v>
      </c>
      <c r="T67" s="161">
        <v>142.19999999999999</v>
      </c>
      <c r="U67" s="161">
        <v>182.1</v>
      </c>
      <c r="V67" s="161">
        <v>228.3</v>
      </c>
      <c r="W67" s="161">
        <v>242.2</v>
      </c>
      <c r="X67" s="161">
        <v>252.1</v>
      </c>
      <c r="Y67" s="161">
        <v>225.1</v>
      </c>
      <c r="Z67" s="161">
        <v>172.1</v>
      </c>
      <c r="AA67" s="161">
        <v>125.1</v>
      </c>
      <c r="AB67" s="161">
        <v>85.1</v>
      </c>
      <c r="AC67" s="161">
        <v>65.099999999999994</v>
      </c>
      <c r="BC67" s="159">
        <v>14.18</v>
      </c>
      <c r="BD67" s="159">
        <v>13.18</v>
      </c>
      <c r="BE67" s="159">
        <v>12.01</v>
      </c>
      <c r="BF67" s="159">
        <v>10.52</v>
      </c>
      <c r="BG67" s="159">
        <v>9.51</v>
      </c>
      <c r="BH67" s="159">
        <v>9.26</v>
      </c>
      <c r="BI67" s="159">
        <v>9.4</v>
      </c>
      <c r="BJ67" s="159">
        <v>10.32</v>
      </c>
      <c r="BK67" s="159">
        <v>11.48</v>
      </c>
      <c r="BL67" s="159">
        <v>13.03</v>
      </c>
      <c r="BM67" s="159">
        <v>14.08</v>
      </c>
      <c r="BN67" s="159">
        <v>14.31</v>
      </c>
    </row>
    <row r="68" spans="1:66">
      <c r="A68" s="157" t="s">
        <v>924</v>
      </c>
      <c r="B68" s="492" t="s">
        <v>925</v>
      </c>
      <c r="C68" s="492" t="s">
        <v>926</v>
      </c>
      <c r="E68" s="160">
        <v>201.6</v>
      </c>
      <c r="F68" s="160">
        <v>229.9</v>
      </c>
      <c r="G68" s="160">
        <v>324.89999999999998</v>
      </c>
      <c r="H68" s="160">
        <v>367.9</v>
      </c>
      <c r="I68" s="160">
        <v>429.7</v>
      </c>
      <c r="J68" s="160">
        <v>437.9</v>
      </c>
      <c r="K68" s="160">
        <v>458</v>
      </c>
      <c r="L68" s="160">
        <v>424.9</v>
      </c>
      <c r="M68" s="160">
        <v>354.9</v>
      </c>
      <c r="N68" s="160">
        <v>287.89999999999998</v>
      </c>
      <c r="O68" s="160">
        <v>214.9</v>
      </c>
      <c r="P68" s="160">
        <v>191.9</v>
      </c>
      <c r="R68" s="161">
        <v>67.900000000000006</v>
      </c>
      <c r="S68" s="161">
        <v>87.9</v>
      </c>
      <c r="T68" s="161">
        <v>142</v>
      </c>
      <c r="U68" s="161">
        <v>181.9</v>
      </c>
      <c r="V68" s="161">
        <v>228.1</v>
      </c>
      <c r="W68" s="161">
        <v>242</v>
      </c>
      <c r="X68" s="161">
        <v>251.9</v>
      </c>
      <c r="Y68" s="161">
        <v>224.9</v>
      </c>
      <c r="Z68" s="161">
        <v>171.9</v>
      </c>
      <c r="AA68" s="161">
        <v>124.9</v>
      </c>
      <c r="AB68" s="161">
        <v>84.9</v>
      </c>
      <c r="AC68" s="161">
        <v>64.900000000000006</v>
      </c>
      <c r="BC68" s="159">
        <v>14.18</v>
      </c>
      <c r="BD68" s="159">
        <v>13.18</v>
      </c>
      <c r="BE68" s="159">
        <v>12.01</v>
      </c>
      <c r="BF68" s="159">
        <v>10.52</v>
      </c>
      <c r="BG68" s="159">
        <v>9.51</v>
      </c>
      <c r="BH68" s="159">
        <v>9.26</v>
      </c>
      <c r="BI68" s="159">
        <v>9.4</v>
      </c>
      <c r="BJ68" s="159">
        <v>10.32</v>
      </c>
      <c r="BK68" s="159">
        <v>11.48</v>
      </c>
      <c r="BL68" s="159">
        <v>13.03</v>
      </c>
      <c r="BM68" s="159">
        <v>14.08</v>
      </c>
      <c r="BN68" s="159">
        <v>14.31</v>
      </c>
    </row>
    <row r="69" spans="1:66">
      <c r="A69" s="157" t="s">
        <v>927</v>
      </c>
      <c r="B69" s="492" t="s">
        <v>928</v>
      </c>
      <c r="C69" s="492" t="s">
        <v>929</v>
      </c>
      <c r="E69" s="160">
        <v>128.5</v>
      </c>
      <c r="F69" s="160">
        <v>154.19999999999999</v>
      </c>
      <c r="G69" s="160">
        <v>240.1</v>
      </c>
      <c r="H69" s="160">
        <v>270.39999999999998</v>
      </c>
      <c r="I69" s="160">
        <v>330.1</v>
      </c>
      <c r="J69" s="160">
        <v>353.4</v>
      </c>
      <c r="K69" s="160">
        <v>373.6</v>
      </c>
      <c r="L69" s="160">
        <v>333.2</v>
      </c>
      <c r="M69" s="160">
        <v>260.39999999999998</v>
      </c>
      <c r="N69" s="160">
        <v>200.5</v>
      </c>
      <c r="O69" s="160">
        <v>138.4</v>
      </c>
      <c r="P69" s="160">
        <v>120.5</v>
      </c>
      <c r="R69" s="161">
        <v>31.5</v>
      </c>
      <c r="S69" s="161">
        <v>52.2</v>
      </c>
      <c r="T69" s="161">
        <v>94.4</v>
      </c>
      <c r="U69" s="161">
        <v>128.4</v>
      </c>
      <c r="V69" s="161">
        <v>173.6</v>
      </c>
      <c r="W69" s="161">
        <v>200.4</v>
      </c>
      <c r="X69" s="161">
        <v>218.1</v>
      </c>
      <c r="Y69" s="161">
        <v>180.4</v>
      </c>
      <c r="Z69" s="161">
        <v>123.4</v>
      </c>
      <c r="AA69" s="161">
        <v>78.5</v>
      </c>
      <c r="AB69" s="161">
        <v>38.4</v>
      </c>
      <c r="AC69" s="161">
        <v>28.4</v>
      </c>
      <c r="BC69" s="159">
        <v>15.14</v>
      </c>
      <c r="BD69" s="159">
        <v>13.48</v>
      </c>
      <c r="BE69" s="159">
        <v>12.05</v>
      </c>
      <c r="BF69" s="159">
        <v>10.26</v>
      </c>
      <c r="BG69" s="159">
        <v>9.08</v>
      </c>
      <c r="BH69" s="159">
        <v>8.33</v>
      </c>
      <c r="BI69" s="159">
        <v>8.52</v>
      </c>
      <c r="BJ69" s="159">
        <v>10.09</v>
      </c>
      <c r="BK69" s="159">
        <v>11.45</v>
      </c>
      <c r="BL69" s="159">
        <v>13.28</v>
      </c>
      <c r="BM69" s="159">
        <v>14.58</v>
      </c>
      <c r="BN69" s="159">
        <v>15.3</v>
      </c>
    </row>
    <row r="70" spans="1:66">
      <c r="A70" s="157" t="s">
        <v>768</v>
      </c>
      <c r="B70" s="492" t="s">
        <v>769</v>
      </c>
      <c r="C70" s="492" t="s">
        <v>770</v>
      </c>
      <c r="E70" s="160">
        <v>186.1</v>
      </c>
      <c r="F70" s="160">
        <v>213.1</v>
      </c>
      <c r="G70" s="160">
        <v>299.10000000000002</v>
      </c>
      <c r="H70" s="160">
        <v>335.9</v>
      </c>
      <c r="I70" s="160">
        <v>390.9</v>
      </c>
      <c r="J70" s="160">
        <v>399.2</v>
      </c>
      <c r="K70" s="160">
        <v>419.2</v>
      </c>
      <c r="L70" s="160">
        <v>386.1</v>
      </c>
      <c r="M70" s="160">
        <v>320.8</v>
      </c>
      <c r="N70" s="160">
        <v>259.10000000000002</v>
      </c>
      <c r="O70" s="160">
        <v>193.1</v>
      </c>
      <c r="P70" s="160">
        <v>173.2</v>
      </c>
      <c r="R70" s="161">
        <v>60.8</v>
      </c>
      <c r="S70" s="161">
        <v>79.099999999999994</v>
      </c>
      <c r="T70" s="161">
        <v>123.1</v>
      </c>
      <c r="U70" s="161">
        <v>159.1</v>
      </c>
      <c r="V70" s="161">
        <v>199.1</v>
      </c>
      <c r="W70" s="161">
        <v>211.1</v>
      </c>
      <c r="X70" s="161">
        <v>219.2</v>
      </c>
      <c r="Y70" s="161">
        <v>193.1</v>
      </c>
      <c r="Z70" s="161">
        <v>146.19999999999999</v>
      </c>
      <c r="AA70" s="161">
        <v>106.1</v>
      </c>
      <c r="AB70" s="161">
        <v>73.099999999999994</v>
      </c>
      <c r="AC70" s="161">
        <v>56.1</v>
      </c>
      <c r="BC70" s="159">
        <v>14.37</v>
      </c>
      <c r="BD70" s="159">
        <v>13.32</v>
      </c>
      <c r="BE70" s="159">
        <v>12.02</v>
      </c>
      <c r="BF70" s="159">
        <v>10.41</v>
      </c>
      <c r="BG70" s="159">
        <v>9.32</v>
      </c>
      <c r="BH70" s="159">
        <v>9.0299999999999994</v>
      </c>
      <c r="BI70" s="159">
        <v>9.19</v>
      </c>
      <c r="BJ70" s="159">
        <v>10.199999999999999</v>
      </c>
      <c r="BK70" s="159">
        <v>11.48</v>
      </c>
      <c r="BL70" s="159">
        <v>13.14</v>
      </c>
      <c r="BM70" s="159">
        <v>14.27</v>
      </c>
      <c r="BN70" s="159">
        <v>14.53</v>
      </c>
    </row>
    <row r="71" spans="1:66">
      <c r="A71" s="157" t="s">
        <v>931</v>
      </c>
      <c r="B71" s="492" t="s">
        <v>932</v>
      </c>
      <c r="C71" s="492" t="s">
        <v>933</v>
      </c>
      <c r="E71" s="160">
        <v>186.8</v>
      </c>
      <c r="F71" s="160">
        <v>214.1</v>
      </c>
      <c r="G71" s="160">
        <v>304.5</v>
      </c>
      <c r="H71" s="160">
        <v>344.8</v>
      </c>
      <c r="I71" s="160">
        <v>401.1</v>
      </c>
      <c r="J71" s="160">
        <v>408</v>
      </c>
      <c r="K71" s="160">
        <v>427.6</v>
      </c>
      <c r="L71" s="160">
        <v>395.1</v>
      </c>
      <c r="M71" s="160">
        <v>328.1</v>
      </c>
      <c r="N71" s="160">
        <v>264.8</v>
      </c>
      <c r="O71" s="160">
        <v>198.1</v>
      </c>
      <c r="P71" s="160">
        <v>178.1</v>
      </c>
      <c r="R71" s="161">
        <v>60.8</v>
      </c>
      <c r="S71" s="161">
        <v>79.5</v>
      </c>
      <c r="T71" s="161">
        <v>127.1</v>
      </c>
      <c r="U71" s="161">
        <v>164.2</v>
      </c>
      <c r="V71" s="161">
        <v>204.5</v>
      </c>
      <c r="W71" s="161">
        <v>218.1</v>
      </c>
      <c r="X71" s="161">
        <v>226.6</v>
      </c>
      <c r="Y71" s="161">
        <v>201.1</v>
      </c>
      <c r="Z71" s="161">
        <v>151.1</v>
      </c>
      <c r="AA71" s="161">
        <v>110.2</v>
      </c>
      <c r="AB71" s="161">
        <v>76.400000000000006</v>
      </c>
      <c r="AC71" s="161">
        <v>58.4</v>
      </c>
      <c r="BC71" s="159">
        <v>14.38</v>
      </c>
      <c r="BD71" s="159">
        <v>13.32</v>
      </c>
      <c r="BE71" s="159">
        <v>12.02</v>
      </c>
      <c r="BF71" s="159">
        <v>10.41</v>
      </c>
      <c r="BG71" s="159">
        <v>9.33</v>
      </c>
      <c r="BH71" s="159">
        <v>9.0399999999999991</v>
      </c>
      <c r="BI71" s="159">
        <v>9.1999999999999993</v>
      </c>
      <c r="BJ71" s="159">
        <v>10.210000000000001</v>
      </c>
      <c r="BK71" s="159">
        <v>11.48</v>
      </c>
      <c r="BL71" s="159">
        <v>13.13</v>
      </c>
      <c r="BM71" s="159">
        <v>14.28</v>
      </c>
      <c r="BN71" s="159">
        <v>14.54</v>
      </c>
    </row>
    <row r="72" spans="1:66">
      <c r="A72" s="157" t="s">
        <v>934</v>
      </c>
      <c r="B72" s="492" t="s">
        <v>935</v>
      </c>
      <c r="C72" s="492" t="s">
        <v>936</v>
      </c>
      <c r="E72" s="160">
        <v>186.1</v>
      </c>
      <c r="F72" s="160">
        <v>213.4</v>
      </c>
      <c r="G72" s="160">
        <v>303.5</v>
      </c>
      <c r="H72" s="160">
        <v>343.8</v>
      </c>
      <c r="I72" s="160">
        <v>400.1</v>
      </c>
      <c r="J72" s="160">
        <v>407.2</v>
      </c>
      <c r="K72" s="160">
        <v>426.5</v>
      </c>
      <c r="L72" s="160">
        <v>394.1</v>
      </c>
      <c r="M72" s="160">
        <v>327.39999999999998</v>
      </c>
      <c r="N72" s="160">
        <v>264.10000000000002</v>
      </c>
      <c r="O72" s="160">
        <v>197.4</v>
      </c>
      <c r="P72" s="160">
        <v>177.1</v>
      </c>
      <c r="R72" s="161">
        <v>60.4</v>
      </c>
      <c r="S72" s="161">
        <v>79.099999999999994</v>
      </c>
      <c r="T72" s="161">
        <v>126.4</v>
      </c>
      <c r="U72" s="161">
        <v>163.5</v>
      </c>
      <c r="V72" s="161">
        <v>203.5</v>
      </c>
      <c r="W72" s="161">
        <v>217.2</v>
      </c>
      <c r="X72" s="161">
        <v>225.5</v>
      </c>
      <c r="Y72" s="161">
        <v>200.4</v>
      </c>
      <c r="Z72" s="161">
        <v>150.5</v>
      </c>
      <c r="AA72" s="161">
        <v>109.5</v>
      </c>
      <c r="AB72" s="161">
        <v>75.8</v>
      </c>
      <c r="AC72" s="161">
        <v>57.8</v>
      </c>
      <c r="BC72" s="159">
        <v>14.38</v>
      </c>
      <c r="BD72" s="159">
        <v>13.32</v>
      </c>
      <c r="BE72" s="159">
        <v>12.02</v>
      </c>
      <c r="BF72" s="159">
        <v>10.41</v>
      </c>
      <c r="BG72" s="159">
        <v>9.32</v>
      </c>
      <c r="BH72" s="159">
        <v>9.0399999999999991</v>
      </c>
      <c r="BI72" s="159">
        <v>9.1999999999999993</v>
      </c>
      <c r="BJ72" s="159">
        <v>10.210000000000001</v>
      </c>
      <c r="BK72" s="159">
        <v>11.48</v>
      </c>
      <c r="BL72" s="159">
        <v>13.13</v>
      </c>
      <c r="BM72" s="159">
        <v>14.28</v>
      </c>
      <c r="BN72" s="159">
        <v>14.54</v>
      </c>
    </row>
    <row r="73" spans="1:66">
      <c r="A73" s="157" t="s">
        <v>937</v>
      </c>
      <c r="B73" s="492" t="s">
        <v>938</v>
      </c>
      <c r="C73" s="492" t="s">
        <v>939</v>
      </c>
      <c r="E73" s="160">
        <v>195.8</v>
      </c>
      <c r="F73" s="160">
        <v>222.8</v>
      </c>
      <c r="G73" s="160">
        <v>312.89999999999998</v>
      </c>
      <c r="H73" s="160">
        <v>352.8</v>
      </c>
      <c r="I73" s="160">
        <v>412.8</v>
      </c>
      <c r="J73" s="160">
        <v>418.6</v>
      </c>
      <c r="K73" s="160">
        <v>438.8</v>
      </c>
      <c r="L73" s="160">
        <v>406</v>
      </c>
      <c r="M73" s="160">
        <v>335.6</v>
      </c>
      <c r="N73" s="160">
        <v>272.8</v>
      </c>
      <c r="O73" s="160">
        <v>206</v>
      </c>
      <c r="P73" s="160">
        <v>182.8</v>
      </c>
      <c r="R73" s="161">
        <v>63.8</v>
      </c>
      <c r="S73" s="161">
        <v>82.8</v>
      </c>
      <c r="T73" s="161">
        <v>132.9</v>
      </c>
      <c r="U73" s="161">
        <v>168.6</v>
      </c>
      <c r="V73" s="161">
        <v>212.8</v>
      </c>
      <c r="W73" s="161">
        <v>225.8</v>
      </c>
      <c r="X73" s="161">
        <v>235.6</v>
      </c>
      <c r="Y73" s="161">
        <v>208.8</v>
      </c>
      <c r="Z73" s="161">
        <v>158.6</v>
      </c>
      <c r="AA73" s="161">
        <v>112.9</v>
      </c>
      <c r="AB73" s="161">
        <v>78.8</v>
      </c>
      <c r="AC73" s="161">
        <v>60.9</v>
      </c>
      <c r="BC73" s="159">
        <v>14.28</v>
      </c>
      <c r="BD73" s="159">
        <v>13.26</v>
      </c>
      <c r="BE73" s="159">
        <v>12.01</v>
      </c>
      <c r="BF73" s="159">
        <v>10.46</v>
      </c>
      <c r="BG73" s="159">
        <v>9.42</v>
      </c>
      <c r="BH73" s="159">
        <v>9.14</v>
      </c>
      <c r="BI73" s="159">
        <v>9.3000000000000007</v>
      </c>
      <c r="BJ73" s="159">
        <v>10.26</v>
      </c>
      <c r="BK73" s="159">
        <v>11.48</v>
      </c>
      <c r="BL73" s="159">
        <v>13.08</v>
      </c>
      <c r="BM73" s="159">
        <v>14.18</v>
      </c>
      <c r="BN73" s="159">
        <v>14.42</v>
      </c>
    </row>
    <row r="74" spans="1:66">
      <c r="A74" s="157" t="s">
        <v>940</v>
      </c>
      <c r="B74" s="492" t="s">
        <v>941</v>
      </c>
      <c r="C74" s="492" t="s">
        <v>942</v>
      </c>
      <c r="E74" s="160">
        <v>194.5</v>
      </c>
      <c r="F74" s="160">
        <v>221.8</v>
      </c>
      <c r="G74" s="160">
        <v>311.89999999999998</v>
      </c>
      <c r="H74" s="160">
        <v>351.8</v>
      </c>
      <c r="I74" s="160">
        <v>411.8</v>
      </c>
      <c r="J74" s="160">
        <v>417.6</v>
      </c>
      <c r="K74" s="160">
        <v>437.8</v>
      </c>
      <c r="L74" s="160">
        <v>405</v>
      </c>
      <c r="M74" s="160">
        <v>334.6</v>
      </c>
      <c r="N74" s="160">
        <v>271.8</v>
      </c>
      <c r="O74" s="160">
        <v>205</v>
      </c>
      <c r="P74" s="160">
        <v>181.8</v>
      </c>
      <c r="R74" s="161">
        <v>62.5</v>
      </c>
      <c r="S74" s="161">
        <v>81.400000000000006</v>
      </c>
      <c r="T74" s="161">
        <v>131.6</v>
      </c>
      <c r="U74" s="161">
        <v>167.8</v>
      </c>
      <c r="V74" s="161">
        <v>211.8</v>
      </c>
      <c r="W74" s="161">
        <v>224.8</v>
      </c>
      <c r="X74" s="161">
        <v>233.5</v>
      </c>
      <c r="Y74" s="161">
        <v>206.5</v>
      </c>
      <c r="Z74" s="161">
        <v>156.5</v>
      </c>
      <c r="AA74" s="161">
        <v>111.8</v>
      </c>
      <c r="AB74" s="161">
        <v>78.099999999999994</v>
      </c>
      <c r="AC74" s="161">
        <v>61.1</v>
      </c>
      <c r="BC74" s="159">
        <v>14.32</v>
      </c>
      <c r="BD74" s="159">
        <v>13.28</v>
      </c>
      <c r="BE74" s="159">
        <v>12.02</v>
      </c>
      <c r="BF74" s="159">
        <v>10.43</v>
      </c>
      <c r="BG74" s="159">
        <v>9.3800000000000008</v>
      </c>
      <c r="BH74" s="159">
        <v>9.1</v>
      </c>
      <c r="BI74" s="159">
        <v>9.26</v>
      </c>
      <c r="BJ74" s="159">
        <v>10.24</v>
      </c>
      <c r="BK74" s="159">
        <v>11.48</v>
      </c>
      <c r="BL74" s="159">
        <v>13.1</v>
      </c>
      <c r="BM74" s="159">
        <v>14.22</v>
      </c>
      <c r="BN74" s="159">
        <v>14.48</v>
      </c>
    </row>
    <row r="75" spans="1:66">
      <c r="A75" s="477" t="s">
        <v>943</v>
      </c>
      <c r="B75" s="492" t="s">
        <v>1072</v>
      </c>
      <c r="C75" s="492" t="s">
        <v>1073</v>
      </c>
      <c r="E75" s="160">
        <v>201.4</v>
      </c>
      <c r="F75" s="160">
        <v>231.5</v>
      </c>
      <c r="G75" s="160">
        <v>321.39999999999998</v>
      </c>
      <c r="H75" s="160">
        <v>365.2</v>
      </c>
      <c r="I75" s="160">
        <v>425.6</v>
      </c>
      <c r="J75" s="160">
        <v>432.1</v>
      </c>
      <c r="K75" s="160">
        <v>445.4</v>
      </c>
      <c r="L75" s="160">
        <v>415.8</v>
      </c>
      <c r="M75" s="160">
        <v>348.7</v>
      </c>
      <c r="N75" s="160">
        <v>282.39999999999998</v>
      </c>
      <c r="O75" s="160">
        <v>210.5</v>
      </c>
      <c r="P75" s="160">
        <v>188.4</v>
      </c>
      <c r="R75" s="161">
        <v>66.3</v>
      </c>
      <c r="S75" s="161">
        <v>86.2</v>
      </c>
      <c r="T75" s="161">
        <v>135.1</v>
      </c>
      <c r="U75" s="161">
        <v>173.4</v>
      </c>
      <c r="V75" s="161">
        <v>217</v>
      </c>
      <c r="W75" s="161">
        <v>232.5</v>
      </c>
      <c r="X75" s="161">
        <v>240.2</v>
      </c>
      <c r="Y75" s="161">
        <v>217</v>
      </c>
      <c r="Z75" s="161">
        <v>163.19999999999999</v>
      </c>
      <c r="AA75" s="161">
        <v>116.2</v>
      </c>
      <c r="AB75" s="161">
        <v>77.400000000000006</v>
      </c>
      <c r="AC75" s="161">
        <v>59.5</v>
      </c>
      <c r="AD75" s="162">
        <v>0</v>
      </c>
      <c r="AE75" s="162">
        <v>0</v>
      </c>
      <c r="AF75" s="162">
        <v>0</v>
      </c>
      <c r="AG75" s="162">
        <v>0</v>
      </c>
      <c r="AH75" s="162">
        <v>0</v>
      </c>
      <c r="AI75" s="162">
        <v>0</v>
      </c>
      <c r="AJ75" s="162">
        <v>0</v>
      </c>
      <c r="AK75" s="162">
        <v>0</v>
      </c>
      <c r="AL75" s="162">
        <v>0</v>
      </c>
      <c r="AM75" s="162">
        <v>0</v>
      </c>
      <c r="AN75" s="162">
        <v>0</v>
      </c>
      <c r="AO75" s="162">
        <v>0</v>
      </c>
      <c r="AQ75" s="158" t="s">
        <v>1041</v>
      </c>
      <c r="AR75" s="158" t="s">
        <v>1041</v>
      </c>
      <c r="AS75" s="158" t="s">
        <v>1041</v>
      </c>
      <c r="AT75" s="158" t="s">
        <v>1041</v>
      </c>
      <c r="AU75" s="158" t="s">
        <v>1041</v>
      </c>
      <c r="AV75" s="158" t="s">
        <v>1041</v>
      </c>
      <c r="AW75" s="158" t="s">
        <v>1041</v>
      </c>
      <c r="AX75" s="158" t="s">
        <v>1041</v>
      </c>
      <c r="AY75" s="158" t="s">
        <v>1041</v>
      </c>
      <c r="AZ75" s="158" t="s">
        <v>1041</v>
      </c>
      <c r="BA75" s="158" t="s">
        <v>1041</v>
      </c>
      <c r="BB75" s="158" t="s">
        <v>1041</v>
      </c>
      <c r="BC75" s="159">
        <v>14.24</v>
      </c>
      <c r="BD75" s="159">
        <v>13.26</v>
      </c>
      <c r="BE75" s="159">
        <v>12.02</v>
      </c>
      <c r="BF75" s="159">
        <v>10.41</v>
      </c>
      <c r="BG75" s="159">
        <v>9.33</v>
      </c>
      <c r="BH75" s="159">
        <v>9.02</v>
      </c>
      <c r="BI75" s="159">
        <v>9.16</v>
      </c>
      <c r="BJ75" s="159">
        <v>10.18</v>
      </c>
      <c r="BK75" s="159">
        <v>11.46</v>
      </c>
      <c r="BL75" s="159">
        <v>13.11</v>
      </c>
      <c r="BM75" s="159">
        <v>14.18</v>
      </c>
      <c r="BN75" s="159">
        <v>14.46</v>
      </c>
    </row>
    <row r="76" spans="1:66">
      <c r="A76" s="477" t="s">
        <v>946</v>
      </c>
      <c r="B76" s="492" t="s">
        <v>1074</v>
      </c>
      <c r="C76" s="492" t="s">
        <v>1075</v>
      </c>
      <c r="E76" s="160">
        <v>159.19999999999999</v>
      </c>
      <c r="F76" s="160">
        <v>186.1</v>
      </c>
      <c r="G76" s="160">
        <v>267.2</v>
      </c>
      <c r="H76" s="160">
        <v>289.5</v>
      </c>
      <c r="I76" s="160">
        <v>346.7</v>
      </c>
      <c r="J76" s="160">
        <v>359.5</v>
      </c>
      <c r="K76" s="160">
        <v>379.4</v>
      </c>
      <c r="L76" s="160">
        <v>345.6</v>
      </c>
      <c r="M76" s="160">
        <v>276.39999999999998</v>
      </c>
      <c r="N76" s="160">
        <v>216.7</v>
      </c>
      <c r="O76" s="160">
        <v>163.19999999999999</v>
      </c>
      <c r="P76" s="160">
        <v>148.9</v>
      </c>
      <c r="R76" s="161">
        <v>50.5</v>
      </c>
      <c r="S76" s="161">
        <v>68.900000000000006</v>
      </c>
      <c r="T76" s="161">
        <v>115.1</v>
      </c>
      <c r="U76" s="161">
        <v>146</v>
      </c>
      <c r="V76" s="161">
        <v>192.8</v>
      </c>
      <c r="W76" s="161">
        <v>209.1</v>
      </c>
      <c r="X76" s="161">
        <v>225.4</v>
      </c>
      <c r="Y76" s="161">
        <v>191.2</v>
      </c>
      <c r="Z76" s="161">
        <v>137</v>
      </c>
      <c r="AA76" s="161">
        <v>91.9</v>
      </c>
      <c r="AB76" s="161">
        <v>55.8</v>
      </c>
      <c r="AC76" s="161">
        <v>43.7</v>
      </c>
      <c r="BC76" s="159">
        <v>14.56</v>
      </c>
      <c r="BD76" s="159">
        <v>13.41</v>
      </c>
      <c r="BE76" s="159">
        <v>12.02</v>
      </c>
      <c r="BF76" s="159">
        <v>10.33</v>
      </c>
      <c r="BG76" s="159">
        <v>9.17</v>
      </c>
      <c r="BH76" s="159">
        <v>8.44</v>
      </c>
      <c r="BI76" s="159">
        <v>9.01</v>
      </c>
      <c r="BJ76" s="159">
        <v>10.130000000000001</v>
      </c>
      <c r="BK76" s="159">
        <v>11.46</v>
      </c>
      <c r="BL76" s="159">
        <v>13.19</v>
      </c>
      <c r="BM76" s="159">
        <v>14.47</v>
      </c>
      <c r="BN76" s="159">
        <v>15.12</v>
      </c>
    </row>
    <row r="77" spans="1:66">
      <c r="A77" s="157" t="s">
        <v>949</v>
      </c>
      <c r="B77" s="492" t="s">
        <v>950</v>
      </c>
      <c r="C77" s="492" t="s">
        <v>951</v>
      </c>
      <c r="E77" s="160">
        <v>173.4</v>
      </c>
      <c r="F77" s="160">
        <v>199.5</v>
      </c>
      <c r="G77" s="160">
        <v>283.2</v>
      </c>
      <c r="H77" s="160">
        <v>316.5</v>
      </c>
      <c r="I77" s="160">
        <v>373.4</v>
      </c>
      <c r="J77" s="160">
        <v>379.5</v>
      </c>
      <c r="K77" s="160">
        <v>399.5</v>
      </c>
      <c r="L77" s="160">
        <v>366.8</v>
      </c>
      <c r="M77" s="160">
        <v>303.5</v>
      </c>
      <c r="N77" s="160">
        <v>244.1</v>
      </c>
      <c r="O77" s="160">
        <v>179.6</v>
      </c>
      <c r="P77" s="160">
        <v>159.5</v>
      </c>
      <c r="R77" s="161">
        <v>56.8</v>
      </c>
      <c r="S77" s="161">
        <v>74.5</v>
      </c>
      <c r="T77" s="161">
        <v>119.5</v>
      </c>
      <c r="U77" s="161">
        <v>153.4</v>
      </c>
      <c r="V77" s="161">
        <v>193.4</v>
      </c>
      <c r="W77" s="161">
        <v>206.8</v>
      </c>
      <c r="X77" s="161">
        <v>213.5</v>
      </c>
      <c r="Y77" s="161">
        <v>189.5</v>
      </c>
      <c r="Z77" s="161">
        <v>143.6</v>
      </c>
      <c r="AA77" s="161">
        <v>103.4</v>
      </c>
      <c r="AB77" s="161">
        <v>69.5</v>
      </c>
      <c r="AC77" s="161">
        <v>55.4</v>
      </c>
      <c r="BC77" s="159">
        <v>14.48</v>
      </c>
      <c r="BD77" s="159">
        <v>13.39</v>
      </c>
      <c r="BE77" s="159">
        <v>12.02</v>
      </c>
      <c r="BF77" s="159">
        <v>10.38</v>
      </c>
      <c r="BG77" s="159">
        <v>9.27</v>
      </c>
      <c r="BH77" s="159">
        <v>8.57</v>
      </c>
      <c r="BI77" s="159">
        <v>9.1300000000000008</v>
      </c>
      <c r="BJ77" s="159">
        <v>10.19</v>
      </c>
      <c r="BK77" s="159">
        <v>11.47</v>
      </c>
      <c r="BL77" s="159">
        <v>13.16</v>
      </c>
      <c r="BM77" s="159">
        <v>14.39</v>
      </c>
      <c r="BN77" s="159">
        <v>15.02</v>
      </c>
    </row>
    <row r="78" spans="1:66">
      <c r="A78" s="157" t="s">
        <v>952</v>
      </c>
      <c r="B78" s="492" t="s">
        <v>953</v>
      </c>
      <c r="C78" s="492" t="s">
        <v>954</v>
      </c>
      <c r="E78" s="160">
        <v>168.5</v>
      </c>
      <c r="F78" s="160">
        <v>193.4</v>
      </c>
      <c r="G78" s="160">
        <v>276.2</v>
      </c>
      <c r="H78" s="160">
        <v>310.10000000000002</v>
      </c>
      <c r="I78" s="160">
        <v>365.4</v>
      </c>
      <c r="J78" s="160">
        <v>372.5</v>
      </c>
      <c r="K78" s="160">
        <v>392.1</v>
      </c>
      <c r="L78" s="160">
        <v>359.5</v>
      </c>
      <c r="M78" s="160">
        <v>295.39999999999998</v>
      </c>
      <c r="N78" s="160">
        <v>235.5</v>
      </c>
      <c r="O78" s="160">
        <v>172.4</v>
      </c>
      <c r="P78" s="160">
        <v>152.4</v>
      </c>
      <c r="R78" s="161">
        <v>53.5</v>
      </c>
      <c r="S78" s="161">
        <v>70.400000000000006</v>
      </c>
      <c r="T78" s="161">
        <v>113.4</v>
      </c>
      <c r="U78" s="161">
        <v>146.5</v>
      </c>
      <c r="V78" s="161">
        <v>186.4</v>
      </c>
      <c r="W78" s="161">
        <v>199.5</v>
      </c>
      <c r="X78" s="161">
        <v>206.4</v>
      </c>
      <c r="Y78" s="161">
        <v>183.2</v>
      </c>
      <c r="Z78" s="161">
        <v>136.5</v>
      </c>
      <c r="AA78" s="161">
        <v>96.6</v>
      </c>
      <c r="AB78" s="161">
        <v>63.2</v>
      </c>
      <c r="AC78" s="161">
        <v>50.5</v>
      </c>
      <c r="BC78" s="159">
        <v>14.51</v>
      </c>
      <c r="BD78" s="159">
        <v>13.41</v>
      </c>
      <c r="BE78" s="159">
        <v>12.02</v>
      </c>
      <c r="BF78" s="159">
        <v>10.37</v>
      </c>
      <c r="BG78" s="159">
        <v>9.25</v>
      </c>
      <c r="BH78" s="159">
        <v>8.5399999999999991</v>
      </c>
      <c r="BI78" s="159">
        <v>9.11</v>
      </c>
      <c r="BJ78" s="159">
        <v>10.210000000000001</v>
      </c>
      <c r="BK78" s="159">
        <v>11.47</v>
      </c>
      <c r="BL78" s="159">
        <v>13.19</v>
      </c>
      <c r="BM78" s="159">
        <v>14.41</v>
      </c>
      <c r="BN78" s="159">
        <v>15.05</v>
      </c>
    </row>
    <row r="79" spans="1:66">
      <c r="A79" s="157" t="s">
        <v>955</v>
      </c>
      <c r="B79" s="492" t="s">
        <v>956</v>
      </c>
      <c r="C79" s="492" t="s">
        <v>957</v>
      </c>
      <c r="E79" s="160">
        <v>173.8</v>
      </c>
      <c r="F79" s="160">
        <v>199.9</v>
      </c>
      <c r="G79" s="160">
        <v>283.60000000000002</v>
      </c>
      <c r="H79" s="160">
        <v>317</v>
      </c>
      <c r="I79" s="160">
        <v>373.8</v>
      </c>
      <c r="J79" s="160">
        <v>380</v>
      </c>
      <c r="K79" s="160">
        <v>400</v>
      </c>
      <c r="L79" s="160">
        <v>367.2</v>
      </c>
      <c r="M79" s="160">
        <v>303.89999999999998</v>
      </c>
      <c r="N79" s="160">
        <v>244.5</v>
      </c>
      <c r="O79" s="160">
        <v>180</v>
      </c>
      <c r="P79" s="160">
        <v>159.9</v>
      </c>
      <c r="R79" s="161">
        <v>57.2</v>
      </c>
      <c r="S79" s="161">
        <v>75</v>
      </c>
      <c r="T79" s="161">
        <v>120</v>
      </c>
      <c r="U79" s="161">
        <v>153.9</v>
      </c>
      <c r="V79" s="161">
        <v>193.9</v>
      </c>
      <c r="W79" s="161">
        <v>207.3</v>
      </c>
      <c r="X79" s="161">
        <v>214</v>
      </c>
      <c r="Y79" s="161">
        <v>190</v>
      </c>
      <c r="Z79" s="161">
        <v>144</v>
      </c>
      <c r="AA79" s="161">
        <v>103.9</v>
      </c>
      <c r="AB79" s="161">
        <v>70</v>
      </c>
      <c r="AC79" s="161">
        <v>55.9</v>
      </c>
      <c r="BC79" s="159">
        <v>14.48</v>
      </c>
      <c r="BD79" s="159">
        <v>13.38</v>
      </c>
      <c r="BE79" s="159">
        <v>12.02</v>
      </c>
      <c r="BF79" s="159">
        <v>10.38</v>
      </c>
      <c r="BG79" s="159">
        <v>9.27</v>
      </c>
      <c r="BH79" s="159">
        <v>8.57</v>
      </c>
      <c r="BI79" s="159">
        <v>9.1300000000000008</v>
      </c>
      <c r="BJ79" s="159">
        <v>10.19</v>
      </c>
      <c r="BK79" s="159">
        <v>11.47</v>
      </c>
      <c r="BL79" s="159">
        <v>13.16</v>
      </c>
      <c r="BM79" s="159">
        <v>14.38</v>
      </c>
      <c r="BN79" s="159">
        <v>15.02</v>
      </c>
    </row>
    <row r="80" spans="1:66">
      <c r="A80" s="157" t="s">
        <v>958</v>
      </c>
      <c r="B80" s="492" t="s">
        <v>959</v>
      </c>
      <c r="C80" s="492" t="s">
        <v>781</v>
      </c>
      <c r="E80" s="160">
        <v>208.2</v>
      </c>
      <c r="F80" s="160">
        <v>238.1</v>
      </c>
      <c r="G80" s="160">
        <v>335.4</v>
      </c>
      <c r="H80" s="160">
        <v>379.2</v>
      </c>
      <c r="I80" s="160">
        <v>445.2</v>
      </c>
      <c r="J80" s="160">
        <v>452.8</v>
      </c>
      <c r="K80" s="160">
        <v>472.8</v>
      </c>
      <c r="L80" s="160">
        <v>441.1</v>
      </c>
      <c r="M80" s="160">
        <v>367.2</v>
      </c>
      <c r="N80" s="160">
        <v>299.10000000000002</v>
      </c>
      <c r="O80" s="160">
        <v>227.1</v>
      </c>
      <c r="P80" s="160">
        <v>199.2</v>
      </c>
      <c r="R80" s="161">
        <v>72.2</v>
      </c>
      <c r="S80" s="161">
        <v>92.1</v>
      </c>
      <c r="T80" s="161">
        <v>151.19999999999999</v>
      </c>
      <c r="U80" s="161">
        <v>191.2</v>
      </c>
      <c r="V80" s="161">
        <v>241.2</v>
      </c>
      <c r="W80" s="161">
        <v>254.8</v>
      </c>
      <c r="X80" s="161">
        <v>264.8</v>
      </c>
      <c r="Y80" s="161">
        <v>238.1</v>
      </c>
      <c r="Z80" s="161">
        <v>184.2</v>
      </c>
      <c r="AA80" s="161">
        <v>133.1</v>
      </c>
      <c r="AB80" s="161">
        <v>91.1</v>
      </c>
      <c r="AC80" s="161">
        <v>71.099999999999994</v>
      </c>
      <c r="BC80" s="159">
        <v>14.13</v>
      </c>
      <c r="BD80" s="159">
        <v>13.14</v>
      </c>
      <c r="BE80" s="159">
        <v>12.01</v>
      </c>
      <c r="BF80" s="159">
        <v>10.56</v>
      </c>
      <c r="BG80" s="159">
        <v>9.56</v>
      </c>
      <c r="BH80" s="159">
        <v>9.32</v>
      </c>
      <c r="BI80" s="159">
        <v>9.4600000000000009</v>
      </c>
      <c r="BJ80" s="159">
        <v>10.36</v>
      </c>
      <c r="BK80" s="159">
        <v>11.48</v>
      </c>
      <c r="BL80" s="159">
        <v>12.59</v>
      </c>
      <c r="BM80" s="159">
        <v>14.03</v>
      </c>
      <c r="BN80" s="159">
        <v>14.24</v>
      </c>
    </row>
    <row r="81" spans="1:84">
      <c r="A81" s="157" t="s">
        <v>960</v>
      </c>
      <c r="B81" s="492" t="s">
        <v>961</v>
      </c>
      <c r="C81" s="492" t="s">
        <v>962</v>
      </c>
      <c r="E81" s="160">
        <v>212.8</v>
      </c>
      <c r="F81" s="160">
        <v>242.7</v>
      </c>
      <c r="G81" s="160">
        <v>341.1</v>
      </c>
      <c r="H81" s="160">
        <v>385.1</v>
      </c>
      <c r="I81" s="160">
        <v>451.2</v>
      </c>
      <c r="J81" s="160">
        <v>458.8</v>
      </c>
      <c r="K81" s="160">
        <v>478.8</v>
      </c>
      <c r="L81" s="160">
        <v>447.2</v>
      </c>
      <c r="M81" s="160">
        <v>373.4</v>
      </c>
      <c r="N81" s="160">
        <v>305.2</v>
      </c>
      <c r="O81" s="160">
        <v>233.1</v>
      </c>
      <c r="P81" s="160">
        <v>205.1</v>
      </c>
      <c r="R81" s="161">
        <v>76.8</v>
      </c>
      <c r="S81" s="161">
        <v>96.8</v>
      </c>
      <c r="T81" s="161">
        <v>157.1</v>
      </c>
      <c r="U81" s="161">
        <v>198.1</v>
      </c>
      <c r="V81" s="161">
        <v>247.2</v>
      </c>
      <c r="W81" s="161">
        <v>261.10000000000002</v>
      </c>
      <c r="X81" s="161">
        <v>271.10000000000002</v>
      </c>
      <c r="Y81" s="161">
        <v>244.1</v>
      </c>
      <c r="Z81" s="161">
        <v>190.1</v>
      </c>
      <c r="AA81" s="161">
        <v>139.1</v>
      </c>
      <c r="AB81" s="161">
        <v>97.2</v>
      </c>
      <c r="AC81" s="161">
        <v>77.2</v>
      </c>
      <c r="BC81" s="159">
        <v>14.07</v>
      </c>
      <c r="BD81" s="159">
        <v>13.09</v>
      </c>
      <c r="BE81" s="159">
        <v>12</v>
      </c>
      <c r="BF81" s="159">
        <v>10.59</v>
      </c>
      <c r="BG81" s="159">
        <v>10.01</v>
      </c>
      <c r="BH81" s="159">
        <v>9.3699999999999992</v>
      </c>
      <c r="BI81" s="159">
        <v>9.51</v>
      </c>
      <c r="BJ81" s="159">
        <v>10.41</v>
      </c>
      <c r="BK81" s="159">
        <v>11.48</v>
      </c>
      <c r="BL81" s="159">
        <v>12.56</v>
      </c>
      <c r="BM81" s="159">
        <v>13.57</v>
      </c>
      <c r="BN81" s="159">
        <v>14.18</v>
      </c>
    </row>
    <row r="82" spans="1:84">
      <c r="A82" s="157" t="s">
        <v>963</v>
      </c>
      <c r="B82" s="492" t="s">
        <v>964</v>
      </c>
      <c r="C82" s="492" t="s">
        <v>965</v>
      </c>
      <c r="E82" s="160">
        <v>154.19999999999999</v>
      </c>
      <c r="F82" s="160">
        <v>182.1</v>
      </c>
      <c r="G82" s="160">
        <v>262.39999999999998</v>
      </c>
      <c r="H82" s="160">
        <v>285.60000000000002</v>
      </c>
      <c r="I82" s="160">
        <v>342.8</v>
      </c>
      <c r="J82" s="160">
        <v>355.1</v>
      </c>
      <c r="K82" s="160">
        <v>375.3</v>
      </c>
      <c r="L82" s="160">
        <v>341.9</v>
      </c>
      <c r="M82" s="160">
        <v>272.39999999999998</v>
      </c>
      <c r="N82" s="160">
        <v>212.5</v>
      </c>
      <c r="O82" s="160">
        <v>159.19999999999999</v>
      </c>
      <c r="P82" s="160">
        <v>145.5</v>
      </c>
      <c r="R82" s="161">
        <v>48.1</v>
      </c>
      <c r="S82" s="161">
        <v>66.400000000000006</v>
      </c>
      <c r="T82" s="161">
        <v>112.5</v>
      </c>
      <c r="U82" s="161">
        <v>143.19999999999999</v>
      </c>
      <c r="V82" s="161">
        <v>190.1</v>
      </c>
      <c r="W82" s="161">
        <v>206.4</v>
      </c>
      <c r="X82" s="161">
        <v>222.6</v>
      </c>
      <c r="Y82" s="161">
        <v>188.4</v>
      </c>
      <c r="Z82" s="161">
        <v>134.1</v>
      </c>
      <c r="AA82" s="161">
        <v>89.2</v>
      </c>
      <c r="AB82" s="161">
        <v>53.4</v>
      </c>
      <c r="AC82" s="161">
        <v>41.2</v>
      </c>
      <c r="BC82" s="159">
        <v>15.08</v>
      </c>
      <c r="BD82" s="159">
        <v>13.48</v>
      </c>
      <c r="BE82" s="159">
        <v>12.04</v>
      </c>
      <c r="BF82" s="159">
        <v>10.32</v>
      </c>
      <c r="BG82" s="159">
        <v>9.14</v>
      </c>
      <c r="BH82" s="159">
        <v>8.41</v>
      </c>
      <c r="BI82" s="159">
        <v>8.58</v>
      </c>
      <c r="BJ82" s="159">
        <v>10.11</v>
      </c>
      <c r="BK82" s="159">
        <v>11.44</v>
      </c>
      <c r="BL82" s="159">
        <v>13.21</v>
      </c>
      <c r="BM82" s="159">
        <v>14.5</v>
      </c>
      <c r="BN82" s="159">
        <v>15.22</v>
      </c>
    </row>
    <row r="83" spans="1:84">
      <c r="A83" s="157" t="s">
        <v>966</v>
      </c>
      <c r="B83" s="492" t="s">
        <v>967</v>
      </c>
      <c r="C83" s="492" t="s">
        <v>968</v>
      </c>
      <c r="E83" s="160">
        <v>158.1</v>
      </c>
      <c r="F83" s="160">
        <v>184.8</v>
      </c>
      <c r="G83" s="160">
        <v>265.5</v>
      </c>
      <c r="H83" s="160">
        <v>287.5</v>
      </c>
      <c r="I83" s="160">
        <v>344.8</v>
      </c>
      <c r="J83" s="160">
        <v>357.8</v>
      </c>
      <c r="K83" s="160">
        <v>377.8</v>
      </c>
      <c r="L83" s="160">
        <v>343.2</v>
      </c>
      <c r="M83" s="160">
        <v>274.5</v>
      </c>
      <c r="N83" s="160">
        <v>214.5</v>
      </c>
      <c r="O83" s="160">
        <v>161.4</v>
      </c>
      <c r="P83" s="160">
        <v>147.6</v>
      </c>
      <c r="R83" s="161">
        <v>49.8</v>
      </c>
      <c r="S83" s="161">
        <v>68.099999999999994</v>
      </c>
      <c r="T83" s="161">
        <v>114.2</v>
      </c>
      <c r="U83" s="161">
        <v>144.80000000000001</v>
      </c>
      <c r="V83" s="161">
        <v>191.8</v>
      </c>
      <c r="W83" s="161">
        <v>207.8</v>
      </c>
      <c r="X83" s="161">
        <v>224.1</v>
      </c>
      <c r="Y83" s="161">
        <v>189.8</v>
      </c>
      <c r="Z83" s="161">
        <v>135.5</v>
      </c>
      <c r="AA83" s="161">
        <v>90.8</v>
      </c>
      <c r="AB83" s="161">
        <v>54.8</v>
      </c>
      <c r="AC83" s="161">
        <v>42.8</v>
      </c>
      <c r="BC83" s="159">
        <v>15.04</v>
      </c>
      <c r="BD83" s="159">
        <v>13.44</v>
      </c>
      <c r="BE83" s="159">
        <v>12.02</v>
      </c>
      <c r="BF83" s="159">
        <v>10.33</v>
      </c>
      <c r="BG83" s="159">
        <v>9.15</v>
      </c>
      <c r="BH83" s="159">
        <v>8.42</v>
      </c>
      <c r="BI83" s="159">
        <v>8.59</v>
      </c>
      <c r="BJ83" s="159">
        <v>10.119999999999999</v>
      </c>
      <c r="BK83" s="159">
        <v>11.46</v>
      </c>
      <c r="BL83" s="159">
        <v>13.2</v>
      </c>
      <c r="BM83" s="159">
        <v>14.48</v>
      </c>
      <c r="BN83" s="159">
        <v>15.18</v>
      </c>
      <c r="BU83" s="151">
        <v>14.37</v>
      </c>
      <c r="BV83" s="151">
        <v>13.32</v>
      </c>
      <c r="BW83" s="151">
        <v>12.02</v>
      </c>
      <c r="BX83" s="151">
        <v>10.41</v>
      </c>
      <c r="BY83" s="151">
        <v>9.32</v>
      </c>
      <c r="BZ83" s="151">
        <v>9.0299999999999994</v>
      </c>
      <c r="CA83" s="151">
        <v>9.19</v>
      </c>
      <c r="CB83" s="151">
        <v>10.199999999999999</v>
      </c>
      <c r="CC83" s="151">
        <v>11.48</v>
      </c>
      <c r="CD83" s="151">
        <v>13.14</v>
      </c>
      <c r="CE83" s="151">
        <v>14.27</v>
      </c>
      <c r="CF83" s="151">
        <v>14.53</v>
      </c>
    </row>
    <row r="84" spans="1:84">
      <c r="A84" s="157" t="s">
        <v>969</v>
      </c>
      <c r="B84" s="492" t="s">
        <v>970</v>
      </c>
      <c r="C84" s="492" t="s">
        <v>971</v>
      </c>
      <c r="E84" s="160">
        <v>201.1</v>
      </c>
      <c r="F84" s="160">
        <v>228.4</v>
      </c>
      <c r="G84" s="160">
        <v>322.10000000000002</v>
      </c>
      <c r="H84" s="160">
        <v>365.1</v>
      </c>
      <c r="I84" s="160">
        <v>428.2</v>
      </c>
      <c r="J84" s="160">
        <v>435.2</v>
      </c>
      <c r="K84" s="160">
        <v>455.2</v>
      </c>
      <c r="L84" s="160">
        <v>422.1</v>
      </c>
      <c r="M84" s="160">
        <v>352.4</v>
      </c>
      <c r="N84" s="160">
        <v>285.10000000000002</v>
      </c>
      <c r="O84" s="160">
        <v>212.1</v>
      </c>
      <c r="P84" s="160">
        <v>188.1</v>
      </c>
      <c r="R84" s="161">
        <v>67.3</v>
      </c>
      <c r="S84" s="161">
        <v>87.1</v>
      </c>
      <c r="T84" s="161">
        <v>141.1</v>
      </c>
      <c r="U84" s="161">
        <v>180.1</v>
      </c>
      <c r="V84" s="161">
        <v>225.1</v>
      </c>
      <c r="W84" s="161">
        <v>238.2</v>
      </c>
      <c r="X84" s="161">
        <v>248.1</v>
      </c>
      <c r="Y84" s="161">
        <v>220.1</v>
      </c>
      <c r="Z84" s="161">
        <v>167.8</v>
      </c>
      <c r="AA84" s="161">
        <v>121.8</v>
      </c>
      <c r="AB84" s="161">
        <v>83.1</v>
      </c>
      <c r="AC84" s="161">
        <v>63.8</v>
      </c>
      <c r="BC84" s="159">
        <v>14.19</v>
      </c>
      <c r="BD84" s="159">
        <v>13.19</v>
      </c>
      <c r="BE84" s="159">
        <v>12.01</v>
      </c>
      <c r="BF84" s="159">
        <v>10.51</v>
      </c>
      <c r="BG84" s="159">
        <v>9.51</v>
      </c>
      <c r="BH84" s="159">
        <v>9.25</v>
      </c>
      <c r="BI84" s="159">
        <v>9.39</v>
      </c>
      <c r="BJ84" s="159">
        <v>10.31</v>
      </c>
      <c r="BK84" s="159">
        <v>11.48</v>
      </c>
      <c r="BL84" s="159">
        <v>13.04</v>
      </c>
      <c r="BM84" s="159">
        <v>14.09</v>
      </c>
      <c r="BN84" s="159">
        <v>14.32</v>
      </c>
    </row>
    <row r="85" spans="1:84">
      <c r="A85" s="157" t="s">
        <v>972</v>
      </c>
      <c r="B85" s="492" t="s">
        <v>973</v>
      </c>
      <c r="C85" s="492" t="s">
        <v>974</v>
      </c>
      <c r="E85" s="160">
        <v>164.2</v>
      </c>
      <c r="F85" s="160">
        <v>191.1</v>
      </c>
      <c r="G85" s="160">
        <v>272.8</v>
      </c>
      <c r="H85" s="160">
        <v>295.5</v>
      </c>
      <c r="I85" s="160">
        <v>352.1</v>
      </c>
      <c r="J85" s="160">
        <v>366.2</v>
      </c>
      <c r="K85" s="160">
        <v>386.4</v>
      </c>
      <c r="L85" s="160">
        <v>353.2</v>
      </c>
      <c r="M85" s="160">
        <v>283.5</v>
      </c>
      <c r="N85" s="160">
        <v>223.6</v>
      </c>
      <c r="O85" s="160">
        <v>169.4</v>
      </c>
      <c r="P85" s="160">
        <v>156.1</v>
      </c>
      <c r="R85" s="161">
        <v>53.6</v>
      </c>
      <c r="S85" s="161">
        <v>72.8</v>
      </c>
      <c r="T85" s="161">
        <v>120.4</v>
      </c>
      <c r="U85" s="161">
        <v>151.80000000000001</v>
      </c>
      <c r="V85" s="161">
        <v>200.1</v>
      </c>
      <c r="W85" s="161">
        <v>217.1</v>
      </c>
      <c r="X85" s="161">
        <v>234.4</v>
      </c>
      <c r="Y85" s="161">
        <v>200.1</v>
      </c>
      <c r="Z85" s="161">
        <v>144.1</v>
      </c>
      <c r="AA85" s="161">
        <v>99.8</v>
      </c>
      <c r="AB85" s="161">
        <v>62.5</v>
      </c>
      <c r="AC85" s="161">
        <v>49.8</v>
      </c>
      <c r="BC85" s="159">
        <v>14.53</v>
      </c>
      <c r="BD85" s="159">
        <v>13.39</v>
      </c>
      <c r="BE85" s="159">
        <v>12.02</v>
      </c>
      <c r="BF85" s="159">
        <v>10.36</v>
      </c>
      <c r="BG85" s="159">
        <v>9.1999999999999993</v>
      </c>
      <c r="BH85" s="159">
        <v>8.4700000000000006</v>
      </c>
      <c r="BI85" s="159">
        <v>9.0399999999999991</v>
      </c>
      <c r="BJ85" s="159">
        <v>10.16</v>
      </c>
      <c r="BK85" s="159">
        <v>11.47</v>
      </c>
      <c r="BL85" s="159">
        <v>13.17</v>
      </c>
      <c r="BM85" s="159">
        <v>14.44</v>
      </c>
      <c r="BN85" s="159">
        <v>15.07</v>
      </c>
    </row>
    <row r="86" spans="1:84">
      <c r="A86" s="157" t="s">
        <v>975</v>
      </c>
      <c r="B86" s="492" t="s">
        <v>976</v>
      </c>
      <c r="C86" s="492" t="s">
        <v>977</v>
      </c>
      <c r="E86" s="160">
        <v>188.1</v>
      </c>
      <c r="F86" s="160">
        <v>215.4</v>
      </c>
      <c r="G86" s="160">
        <v>305.39999999999998</v>
      </c>
      <c r="H86" s="160">
        <v>345.6</v>
      </c>
      <c r="I86" s="160">
        <v>402.1</v>
      </c>
      <c r="J86" s="160">
        <v>408.4</v>
      </c>
      <c r="K86" s="160">
        <v>428.1</v>
      </c>
      <c r="L86" s="160">
        <v>395.6</v>
      </c>
      <c r="M86" s="160">
        <v>328.1</v>
      </c>
      <c r="N86" s="160">
        <v>265.10000000000002</v>
      </c>
      <c r="O86" s="160">
        <v>198.1</v>
      </c>
      <c r="P86" s="160">
        <v>178.4</v>
      </c>
      <c r="R86" s="161">
        <v>62.1</v>
      </c>
      <c r="S86" s="161">
        <v>80.5</v>
      </c>
      <c r="T86" s="161">
        <v>128.1</v>
      </c>
      <c r="U86" s="161">
        <v>165.4</v>
      </c>
      <c r="V86" s="161">
        <v>205.4</v>
      </c>
      <c r="W86" s="161">
        <v>219.8</v>
      </c>
      <c r="X86" s="161">
        <v>228.1</v>
      </c>
      <c r="Y86" s="161">
        <v>202.1</v>
      </c>
      <c r="Z86" s="161">
        <v>152.4</v>
      </c>
      <c r="AA86" s="161">
        <v>110.1</v>
      </c>
      <c r="AB86" s="161">
        <v>75.400000000000006</v>
      </c>
      <c r="AC86" s="161">
        <v>58.4</v>
      </c>
      <c r="BC86" s="159">
        <v>14.37</v>
      </c>
      <c r="BD86" s="159">
        <v>13.32</v>
      </c>
      <c r="BE86" s="159">
        <v>12.02</v>
      </c>
      <c r="BF86" s="159">
        <v>10.41</v>
      </c>
      <c r="BG86" s="159">
        <v>9.34</v>
      </c>
      <c r="BH86" s="159">
        <v>9.0500000000000007</v>
      </c>
      <c r="BI86" s="159">
        <v>9.2100000000000009</v>
      </c>
      <c r="BJ86" s="159">
        <v>10.210000000000001</v>
      </c>
      <c r="BK86" s="159">
        <v>11.48</v>
      </c>
      <c r="BL86" s="159">
        <v>13.13</v>
      </c>
      <c r="BM86" s="159">
        <v>14.26</v>
      </c>
      <c r="BN86" s="159">
        <v>14.52</v>
      </c>
    </row>
    <row r="87" spans="1:84">
      <c r="A87" s="157" t="s">
        <v>978</v>
      </c>
      <c r="B87" s="492" t="s">
        <v>947</v>
      </c>
      <c r="C87" s="492" t="s">
        <v>979</v>
      </c>
      <c r="E87" s="160">
        <v>159.19999999999999</v>
      </c>
      <c r="F87" s="160">
        <v>186.1</v>
      </c>
      <c r="G87" s="160">
        <v>267.2</v>
      </c>
      <c r="H87" s="160">
        <v>289.5</v>
      </c>
      <c r="I87" s="160">
        <v>346.7</v>
      </c>
      <c r="J87" s="160">
        <v>359.5</v>
      </c>
      <c r="K87" s="160">
        <v>379.4</v>
      </c>
      <c r="L87" s="160">
        <v>345.6</v>
      </c>
      <c r="M87" s="160">
        <v>276.39999999999998</v>
      </c>
      <c r="N87" s="160">
        <v>216.7</v>
      </c>
      <c r="O87" s="160">
        <v>163.19999999999999</v>
      </c>
      <c r="P87" s="160">
        <v>148.9</v>
      </c>
      <c r="R87" s="161">
        <v>50.5</v>
      </c>
      <c r="S87" s="161">
        <v>68.900000000000006</v>
      </c>
      <c r="T87" s="161">
        <v>115.1</v>
      </c>
      <c r="U87" s="161">
        <v>146</v>
      </c>
      <c r="V87" s="161">
        <v>192.8</v>
      </c>
      <c r="W87" s="161">
        <v>209.1</v>
      </c>
      <c r="X87" s="161">
        <v>225.4</v>
      </c>
      <c r="Y87" s="161">
        <v>191.2</v>
      </c>
      <c r="Z87" s="161">
        <v>137</v>
      </c>
      <c r="AA87" s="161">
        <v>91.9</v>
      </c>
      <c r="AB87" s="161">
        <v>55.8</v>
      </c>
      <c r="AC87" s="161">
        <v>43.7</v>
      </c>
      <c r="BC87" s="159">
        <v>14.56</v>
      </c>
      <c r="BD87" s="159">
        <v>13.41</v>
      </c>
      <c r="BE87" s="159">
        <v>12.02</v>
      </c>
      <c r="BF87" s="159">
        <v>10.33</v>
      </c>
      <c r="BG87" s="159">
        <v>9.17</v>
      </c>
      <c r="BH87" s="159">
        <v>8.44</v>
      </c>
      <c r="BI87" s="159">
        <v>9.01</v>
      </c>
      <c r="BJ87" s="159">
        <v>10.130000000000001</v>
      </c>
      <c r="BK87" s="159">
        <v>11.46</v>
      </c>
      <c r="BL87" s="159">
        <v>13.19</v>
      </c>
      <c r="BM87" s="159">
        <v>14.47</v>
      </c>
      <c r="BN87" s="159">
        <v>15.12</v>
      </c>
    </row>
    <row r="88" spans="1:84">
      <c r="A88" s="157" t="s">
        <v>980</v>
      </c>
      <c r="B88" s="492" t="s">
        <v>981</v>
      </c>
      <c r="C88" s="492" t="s">
        <v>982</v>
      </c>
      <c r="E88" s="160">
        <v>168.1</v>
      </c>
      <c r="F88" s="160">
        <v>193</v>
      </c>
      <c r="G88" s="160">
        <v>275.8</v>
      </c>
      <c r="H88" s="160">
        <v>309.60000000000002</v>
      </c>
      <c r="I88" s="160">
        <v>364.8</v>
      </c>
      <c r="J88" s="160">
        <v>371.9</v>
      </c>
      <c r="K88" s="160">
        <v>391.5</v>
      </c>
      <c r="L88" s="160">
        <v>358.9</v>
      </c>
      <c r="M88" s="160">
        <v>294.8</v>
      </c>
      <c r="N88" s="160">
        <v>235</v>
      </c>
      <c r="O88" s="160">
        <v>171.9</v>
      </c>
      <c r="P88" s="160">
        <v>151.9</v>
      </c>
      <c r="R88" s="161">
        <v>53.1</v>
      </c>
      <c r="S88" s="161">
        <v>70</v>
      </c>
      <c r="T88" s="161">
        <v>113</v>
      </c>
      <c r="U88" s="161">
        <v>146</v>
      </c>
      <c r="V88" s="161">
        <v>185.9</v>
      </c>
      <c r="W88" s="161">
        <v>198.9</v>
      </c>
      <c r="X88" s="161">
        <v>205.8</v>
      </c>
      <c r="Y88" s="161">
        <v>182.7</v>
      </c>
      <c r="Z88" s="161">
        <v>136.1</v>
      </c>
      <c r="AA88" s="161">
        <v>96.2</v>
      </c>
      <c r="AB88" s="161">
        <v>62.8</v>
      </c>
      <c r="AC88" s="161">
        <v>50.1</v>
      </c>
      <c r="BC88" s="159">
        <v>14.51</v>
      </c>
      <c r="BD88" s="159">
        <v>13.41</v>
      </c>
      <c r="BE88" s="159">
        <v>12.02</v>
      </c>
      <c r="BF88" s="159">
        <v>10.37</v>
      </c>
      <c r="BG88" s="159">
        <v>9.25</v>
      </c>
      <c r="BH88" s="159">
        <v>8.5399999999999991</v>
      </c>
      <c r="BI88" s="159">
        <v>9.11</v>
      </c>
      <c r="BJ88" s="159">
        <v>10.210000000000001</v>
      </c>
      <c r="BK88" s="159">
        <v>11.47</v>
      </c>
      <c r="BL88" s="159">
        <v>13.19</v>
      </c>
      <c r="BM88" s="159">
        <v>14.41</v>
      </c>
      <c r="BN88" s="159">
        <v>15.05</v>
      </c>
    </row>
    <row r="89" spans="1:84">
      <c r="A89" s="157" t="s">
        <v>983</v>
      </c>
      <c r="B89" s="492" t="s">
        <v>984</v>
      </c>
      <c r="C89" s="492" t="s">
        <v>985</v>
      </c>
      <c r="E89" s="160">
        <v>184.1</v>
      </c>
      <c r="F89" s="160">
        <v>210</v>
      </c>
      <c r="G89" s="160">
        <v>296.39999999999998</v>
      </c>
      <c r="H89" s="160">
        <v>332</v>
      </c>
      <c r="I89" s="160">
        <v>388.3</v>
      </c>
      <c r="J89" s="160">
        <v>395.1</v>
      </c>
      <c r="K89" s="160">
        <v>415.7</v>
      </c>
      <c r="L89" s="160">
        <v>382.3</v>
      </c>
      <c r="M89" s="160">
        <v>318.39999999999998</v>
      </c>
      <c r="N89" s="160">
        <v>255.3</v>
      </c>
      <c r="O89" s="160">
        <v>192</v>
      </c>
      <c r="P89" s="160">
        <v>172.4</v>
      </c>
      <c r="R89" s="161">
        <v>61.1</v>
      </c>
      <c r="S89" s="161">
        <v>78.3</v>
      </c>
      <c r="T89" s="161">
        <v>124.4</v>
      </c>
      <c r="U89" s="161">
        <v>158.1</v>
      </c>
      <c r="V89" s="161">
        <v>198</v>
      </c>
      <c r="W89" s="161">
        <v>212.4</v>
      </c>
      <c r="X89" s="161">
        <v>220</v>
      </c>
      <c r="Y89" s="161">
        <v>195.3</v>
      </c>
      <c r="Z89" s="161">
        <v>148.1</v>
      </c>
      <c r="AA89" s="161">
        <v>108</v>
      </c>
      <c r="AB89" s="161">
        <v>74.400000000000006</v>
      </c>
      <c r="AC89" s="161">
        <v>56.7</v>
      </c>
      <c r="BC89" s="159">
        <v>14.41</v>
      </c>
      <c r="BD89" s="159">
        <v>13.34</v>
      </c>
      <c r="BE89" s="159">
        <v>12.02</v>
      </c>
      <c r="BF89" s="159">
        <v>10.4</v>
      </c>
      <c r="BG89" s="159">
        <v>9.31</v>
      </c>
      <c r="BH89" s="159">
        <v>9.02</v>
      </c>
      <c r="BI89" s="159">
        <v>9.18</v>
      </c>
      <c r="BJ89" s="159">
        <v>10.19</v>
      </c>
      <c r="BK89" s="159">
        <v>11.47</v>
      </c>
      <c r="BL89" s="159">
        <v>13.14</v>
      </c>
      <c r="BM89" s="159">
        <v>14.32</v>
      </c>
      <c r="BN89" s="159">
        <v>14.57</v>
      </c>
    </row>
    <row r="90" spans="1:84">
      <c r="A90" s="477" t="s">
        <v>1076</v>
      </c>
      <c r="B90" s="492" t="s">
        <v>1077</v>
      </c>
      <c r="C90" s="492" t="s">
        <v>1078</v>
      </c>
      <c r="E90" s="160">
        <v>192.4</v>
      </c>
      <c r="F90" s="160">
        <v>218.6</v>
      </c>
      <c r="G90" s="160">
        <v>312.2</v>
      </c>
      <c r="H90" s="160">
        <v>345.5</v>
      </c>
      <c r="I90" s="160">
        <v>410.4</v>
      </c>
      <c r="J90" s="160">
        <v>425.8</v>
      </c>
      <c r="K90" s="160">
        <v>448.2</v>
      </c>
      <c r="L90" s="160">
        <v>412.4</v>
      </c>
      <c r="M90" s="160">
        <v>341.6</v>
      </c>
      <c r="N90" s="160">
        <v>265.7</v>
      </c>
      <c r="O90" s="160">
        <v>198.3</v>
      </c>
      <c r="P90" s="160">
        <v>178.5</v>
      </c>
      <c r="R90" s="161">
        <v>64.8</v>
      </c>
      <c r="S90" s="161">
        <v>82.1</v>
      </c>
      <c r="T90" s="161">
        <v>134.5</v>
      </c>
      <c r="U90" s="161">
        <v>168.4</v>
      </c>
      <c r="V90" s="161">
        <v>215.2</v>
      </c>
      <c r="W90" s="161">
        <v>232.5</v>
      </c>
      <c r="X90" s="161">
        <v>248.6</v>
      </c>
      <c r="Y90" s="161">
        <v>214.3</v>
      </c>
      <c r="Z90" s="161">
        <v>158.19999999999999</v>
      </c>
      <c r="AA90" s="161">
        <v>110.4</v>
      </c>
      <c r="AB90" s="161">
        <v>70.5</v>
      </c>
      <c r="AC90" s="161">
        <v>56.2</v>
      </c>
      <c r="AD90" s="162">
        <v>0</v>
      </c>
      <c r="AE90" s="162">
        <v>0</v>
      </c>
      <c r="AF90" s="162">
        <v>0</v>
      </c>
      <c r="AG90" s="162">
        <v>0</v>
      </c>
      <c r="AH90" s="162">
        <v>0</v>
      </c>
      <c r="AI90" s="162">
        <v>0</v>
      </c>
      <c r="AJ90" s="162">
        <v>0</v>
      </c>
      <c r="AK90" s="162">
        <v>0</v>
      </c>
      <c r="AL90" s="162">
        <v>0</v>
      </c>
      <c r="AM90" s="162">
        <v>0</v>
      </c>
      <c r="AN90" s="162">
        <v>0</v>
      </c>
      <c r="AO90" s="162">
        <v>0</v>
      </c>
      <c r="AQ90" s="158" t="s">
        <v>1041</v>
      </c>
      <c r="AR90" s="158" t="s">
        <v>1041</v>
      </c>
      <c r="AS90" s="158" t="s">
        <v>1041</v>
      </c>
      <c r="AT90" s="158" t="s">
        <v>1041</v>
      </c>
      <c r="AU90" s="158" t="s">
        <v>1041</v>
      </c>
      <c r="AV90" s="158" t="s">
        <v>1041</v>
      </c>
      <c r="AW90" s="158" t="s">
        <v>1041</v>
      </c>
      <c r="AX90" s="158" t="s">
        <v>1041</v>
      </c>
      <c r="AY90" s="158" t="s">
        <v>1041</v>
      </c>
      <c r="AZ90" s="158" t="s">
        <v>1041</v>
      </c>
      <c r="BA90" s="158" t="s">
        <v>1041</v>
      </c>
      <c r="BB90" s="158" t="s">
        <v>1041</v>
      </c>
      <c r="BC90" s="159">
        <v>14.32</v>
      </c>
      <c r="BD90" s="159">
        <v>13.28</v>
      </c>
      <c r="BE90" s="159">
        <v>12.02</v>
      </c>
      <c r="BF90" s="159">
        <v>10.38</v>
      </c>
      <c r="BG90" s="159">
        <v>9.32</v>
      </c>
      <c r="BH90" s="159">
        <v>9.0500000000000007</v>
      </c>
      <c r="BI90" s="159">
        <v>9.2100000000000009</v>
      </c>
      <c r="BJ90" s="159">
        <v>10.25</v>
      </c>
      <c r="BK90" s="159">
        <v>11.46</v>
      </c>
      <c r="BL90" s="159">
        <v>13.1</v>
      </c>
      <c r="BM90" s="159">
        <v>14.24</v>
      </c>
      <c r="BN90" s="159">
        <v>14.52</v>
      </c>
    </row>
    <row r="91" spans="1:84">
      <c r="A91" s="157" t="s">
        <v>986</v>
      </c>
      <c r="B91" s="492" t="s">
        <v>833</v>
      </c>
      <c r="C91" s="492" t="s">
        <v>987</v>
      </c>
      <c r="E91" s="160">
        <v>156.19999999999999</v>
      </c>
      <c r="F91" s="160">
        <v>183.1</v>
      </c>
      <c r="G91" s="160">
        <v>264.2</v>
      </c>
      <c r="H91" s="160">
        <v>285.39999999999998</v>
      </c>
      <c r="I91" s="160">
        <v>342.1</v>
      </c>
      <c r="J91" s="160">
        <v>355.8</v>
      </c>
      <c r="K91" s="160">
        <v>375.4</v>
      </c>
      <c r="L91" s="160">
        <v>340.5</v>
      </c>
      <c r="M91" s="160">
        <v>272.39999999999998</v>
      </c>
      <c r="N91" s="160">
        <v>212.4</v>
      </c>
      <c r="O91" s="160">
        <v>160.5</v>
      </c>
      <c r="P91" s="160">
        <v>145.19999999999999</v>
      </c>
      <c r="R91" s="161">
        <v>49.2</v>
      </c>
      <c r="S91" s="161">
        <v>67.099999999999994</v>
      </c>
      <c r="T91" s="161">
        <v>112.4</v>
      </c>
      <c r="U91" s="161">
        <v>142.5</v>
      </c>
      <c r="V91" s="161">
        <v>188.4</v>
      </c>
      <c r="W91" s="161">
        <v>205.4</v>
      </c>
      <c r="X91" s="161">
        <v>220.1</v>
      </c>
      <c r="Y91" s="161">
        <v>186.4</v>
      </c>
      <c r="Z91" s="161">
        <v>132.4</v>
      </c>
      <c r="AA91" s="161">
        <v>88.4</v>
      </c>
      <c r="AB91" s="161">
        <v>52.4</v>
      </c>
      <c r="AC91" s="161">
        <v>41.2</v>
      </c>
      <c r="BC91" s="159">
        <v>15.07</v>
      </c>
      <c r="BD91" s="159">
        <v>13.47</v>
      </c>
      <c r="BE91" s="159">
        <v>12.04</v>
      </c>
      <c r="BF91" s="159">
        <v>10.32</v>
      </c>
      <c r="BG91" s="159">
        <v>9.14</v>
      </c>
      <c r="BH91" s="159">
        <v>8.41</v>
      </c>
      <c r="BI91" s="159">
        <v>8.58</v>
      </c>
      <c r="BJ91" s="159">
        <v>10.11</v>
      </c>
      <c r="BK91" s="159">
        <v>11.46</v>
      </c>
      <c r="BL91" s="159">
        <v>13.21</v>
      </c>
      <c r="BM91" s="159">
        <v>14.49</v>
      </c>
      <c r="BN91" s="159">
        <v>15.19</v>
      </c>
    </row>
    <row r="92" spans="1:84">
      <c r="A92" s="157" t="s">
        <v>988</v>
      </c>
      <c r="B92" s="492" t="s">
        <v>989</v>
      </c>
      <c r="C92" s="492" t="s">
        <v>990</v>
      </c>
      <c r="E92" s="160">
        <v>194.1</v>
      </c>
      <c r="F92" s="160">
        <v>221</v>
      </c>
      <c r="G92" s="160">
        <v>311</v>
      </c>
      <c r="H92" s="160">
        <v>350.9</v>
      </c>
      <c r="I92" s="160">
        <v>411</v>
      </c>
      <c r="J92" s="160">
        <v>416.7</v>
      </c>
      <c r="K92" s="160">
        <v>436.9</v>
      </c>
      <c r="L92" s="160">
        <v>403.7</v>
      </c>
      <c r="M92" s="160">
        <v>333.7</v>
      </c>
      <c r="N92" s="160">
        <v>270.89999999999998</v>
      </c>
      <c r="O92" s="160">
        <v>204</v>
      </c>
      <c r="P92" s="160">
        <v>180.9</v>
      </c>
      <c r="R92" s="161">
        <v>62.6</v>
      </c>
      <c r="S92" s="161">
        <v>81.599999999999994</v>
      </c>
      <c r="T92" s="161">
        <v>131.6</v>
      </c>
      <c r="U92" s="161">
        <v>166.6</v>
      </c>
      <c r="V92" s="161">
        <v>210.6</v>
      </c>
      <c r="W92" s="161">
        <v>223.6</v>
      </c>
      <c r="X92" s="161">
        <v>233.5</v>
      </c>
      <c r="Y92" s="161">
        <v>206.5</v>
      </c>
      <c r="Z92" s="161">
        <v>156.6</v>
      </c>
      <c r="AA92" s="161">
        <v>110.6</v>
      </c>
      <c r="AB92" s="161">
        <v>77.599999999999994</v>
      </c>
      <c r="AC92" s="161">
        <v>59.6</v>
      </c>
      <c r="BC92" s="159">
        <v>14.27</v>
      </c>
      <c r="BD92" s="159">
        <v>13.25</v>
      </c>
      <c r="BE92" s="159">
        <v>12.01</v>
      </c>
      <c r="BF92" s="159">
        <v>10.46</v>
      </c>
      <c r="BG92" s="159">
        <v>9.42</v>
      </c>
      <c r="BH92" s="159">
        <v>9.16</v>
      </c>
      <c r="BI92" s="159">
        <v>9.31</v>
      </c>
      <c r="BJ92" s="159">
        <v>10.25</v>
      </c>
      <c r="BK92" s="159">
        <v>11.48</v>
      </c>
      <c r="BL92" s="159">
        <v>13.07</v>
      </c>
      <c r="BM92" s="159">
        <v>14.17</v>
      </c>
      <c r="BN92" s="159">
        <v>14.41</v>
      </c>
    </row>
    <row r="93" spans="1:84">
      <c r="A93" s="157" t="s">
        <v>991</v>
      </c>
      <c r="B93" s="492" t="s">
        <v>821</v>
      </c>
      <c r="C93" s="492" t="s">
        <v>992</v>
      </c>
      <c r="E93" s="160">
        <v>208.5</v>
      </c>
      <c r="F93" s="160">
        <v>238.4</v>
      </c>
      <c r="G93" s="160">
        <v>335.6</v>
      </c>
      <c r="H93" s="160">
        <v>378.5</v>
      </c>
      <c r="I93" s="160">
        <v>442.5</v>
      </c>
      <c r="J93" s="160">
        <v>450.2</v>
      </c>
      <c r="K93" s="160">
        <v>470.2</v>
      </c>
      <c r="L93" s="160">
        <v>438.4</v>
      </c>
      <c r="M93" s="160">
        <v>365.6</v>
      </c>
      <c r="N93" s="160">
        <v>298.39999999999998</v>
      </c>
      <c r="O93" s="160">
        <v>225.6</v>
      </c>
      <c r="P93" s="160">
        <v>198.4</v>
      </c>
      <c r="R93" s="161">
        <v>72.400000000000006</v>
      </c>
      <c r="S93" s="161">
        <v>92.4</v>
      </c>
      <c r="T93" s="161">
        <v>150.5</v>
      </c>
      <c r="U93" s="161">
        <v>190.4</v>
      </c>
      <c r="V93" s="161">
        <v>238.4</v>
      </c>
      <c r="W93" s="161">
        <v>252.1</v>
      </c>
      <c r="X93" s="161">
        <v>262.39999999999998</v>
      </c>
      <c r="Y93" s="161">
        <v>235.4</v>
      </c>
      <c r="Z93" s="161">
        <v>182.4</v>
      </c>
      <c r="AA93" s="161">
        <v>132.4</v>
      </c>
      <c r="AB93" s="161">
        <v>90.4</v>
      </c>
      <c r="AC93" s="161">
        <v>70.400000000000006</v>
      </c>
      <c r="BC93" s="159">
        <v>14.14</v>
      </c>
      <c r="BD93" s="159">
        <v>13.15</v>
      </c>
      <c r="BE93" s="159">
        <v>12.01</v>
      </c>
      <c r="BF93" s="159">
        <v>10.55</v>
      </c>
      <c r="BG93" s="159">
        <v>9.5500000000000007</v>
      </c>
      <c r="BH93" s="159">
        <v>9.31</v>
      </c>
      <c r="BI93" s="159">
        <v>9.4499999999999993</v>
      </c>
      <c r="BJ93" s="159">
        <v>10.35</v>
      </c>
      <c r="BK93" s="159">
        <v>11.48</v>
      </c>
      <c r="BL93" s="159">
        <v>13.01</v>
      </c>
      <c r="BM93" s="159">
        <v>14.04</v>
      </c>
      <c r="BN93" s="159">
        <v>14.26</v>
      </c>
    </row>
    <row r="94" spans="1:84">
      <c r="A94" s="157" t="s">
        <v>993</v>
      </c>
      <c r="B94" s="492" t="s">
        <v>994</v>
      </c>
      <c r="C94" s="492" t="s">
        <v>995</v>
      </c>
      <c r="E94" s="160">
        <v>161.80000000000001</v>
      </c>
      <c r="F94" s="160">
        <v>188.7</v>
      </c>
      <c r="G94" s="160">
        <v>270</v>
      </c>
      <c r="H94" s="160">
        <v>292.3</v>
      </c>
      <c r="I94" s="160">
        <v>348.1</v>
      </c>
      <c r="J94" s="160">
        <v>361.8</v>
      </c>
      <c r="K94" s="160">
        <v>381.8</v>
      </c>
      <c r="L94" s="160">
        <v>348.2</v>
      </c>
      <c r="M94" s="160">
        <v>278.2</v>
      </c>
      <c r="N94" s="160">
        <v>219.6</v>
      </c>
      <c r="O94" s="160">
        <v>165.1</v>
      </c>
      <c r="P94" s="160">
        <v>151.80000000000001</v>
      </c>
      <c r="R94" s="161">
        <v>51.8</v>
      </c>
      <c r="S94" s="161">
        <v>70.8</v>
      </c>
      <c r="T94" s="161">
        <v>118.1</v>
      </c>
      <c r="U94" s="161">
        <v>148.19999999999999</v>
      </c>
      <c r="V94" s="161">
        <v>194</v>
      </c>
      <c r="W94" s="161">
        <v>211.8</v>
      </c>
      <c r="X94" s="161">
        <v>228.1</v>
      </c>
      <c r="Y94" s="161">
        <v>193.7</v>
      </c>
      <c r="Z94" s="161">
        <v>139.1</v>
      </c>
      <c r="AA94" s="161">
        <v>94.1</v>
      </c>
      <c r="AB94" s="161">
        <v>57.6</v>
      </c>
      <c r="AC94" s="161">
        <v>45.1</v>
      </c>
      <c r="BC94" s="159">
        <v>14.53</v>
      </c>
      <c r="BD94" s="159">
        <v>13.4</v>
      </c>
      <c r="BE94" s="159">
        <v>12.02</v>
      </c>
      <c r="BF94" s="159">
        <v>10.34</v>
      </c>
      <c r="BG94" s="159">
        <v>9.18</v>
      </c>
      <c r="BH94" s="159">
        <v>8.4499999999999993</v>
      </c>
      <c r="BI94" s="159">
        <v>9.01</v>
      </c>
      <c r="BJ94" s="159">
        <v>10.14</v>
      </c>
      <c r="BK94" s="159">
        <v>11.47</v>
      </c>
      <c r="BL94" s="159">
        <v>13.18</v>
      </c>
      <c r="BM94" s="159">
        <v>14.46</v>
      </c>
      <c r="BN94" s="159">
        <v>15.07</v>
      </c>
    </row>
    <row r="95" spans="1:84">
      <c r="A95" s="157" t="s">
        <v>996</v>
      </c>
      <c r="B95" s="492" t="s">
        <v>997</v>
      </c>
      <c r="C95" s="492" t="s">
        <v>998</v>
      </c>
      <c r="E95" s="160">
        <v>188.2</v>
      </c>
      <c r="F95" s="160">
        <v>215.4</v>
      </c>
      <c r="G95" s="160">
        <v>305.39999999999998</v>
      </c>
      <c r="H95" s="160">
        <v>345.7</v>
      </c>
      <c r="I95" s="160">
        <v>402.1</v>
      </c>
      <c r="J95" s="160">
        <v>409.2</v>
      </c>
      <c r="K95" s="160">
        <v>428.5</v>
      </c>
      <c r="L95" s="160">
        <v>396.1</v>
      </c>
      <c r="M95" s="160">
        <v>329.4</v>
      </c>
      <c r="N95" s="160">
        <v>266.10000000000002</v>
      </c>
      <c r="O95" s="160">
        <v>199.4</v>
      </c>
      <c r="P95" s="160">
        <v>179.1</v>
      </c>
      <c r="R95" s="161">
        <v>62.5</v>
      </c>
      <c r="S95" s="161">
        <v>81.2</v>
      </c>
      <c r="T95" s="161">
        <v>128.4</v>
      </c>
      <c r="U95" s="161">
        <v>165.5</v>
      </c>
      <c r="V95" s="161">
        <v>205.5</v>
      </c>
      <c r="W95" s="161">
        <v>219.2</v>
      </c>
      <c r="X95" s="161">
        <v>227.5</v>
      </c>
      <c r="Y95" s="161">
        <v>202.4</v>
      </c>
      <c r="Z95" s="161">
        <v>152.5</v>
      </c>
      <c r="AA95" s="161">
        <v>111.5</v>
      </c>
      <c r="AB95" s="161">
        <v>77.8</v>
      </c>
      <c r="AC95" s="161">
        <v>59.8</v>
      </c>
      <c r="BC95" s="159">
        <v>14.35</v>
      </c>
      <c r="BD95" s="159">
        <v>13.31</v>
      </c>
      <c r="BE95" s="159">
        <v>12.02</v>
      </c>
      <c r="BF95" s="159">
        <v>10.42</v>
      </c>
      <c r="BG95" s="159">
        <v>9.36</v>
      </c>
      <c r="BH95" s="159">
        <v>9.08</v>
      </c>
      <c r="BI95" s="159">
        <v>9.24</v>
      </c>
      <c r="BJ95" s="159">
        <v>10.220000000000001</v>
      </c>
      <c r="BK95" s="159">
        <v>11.48</v>
      </c>
      <c r="BL95" s="159">
        <v>13.12</v>
      </c>
      <c r="BM95" s="159">
        <v>14.24</v>
      </c>
      <c r="BN95" s="159">
        <v>14.5</v>
      </c>
    </row>
    <row r="96" spans="1:84">
      <c r="A96" s="157" t="s">
        <v>999</v>
      </c>
      <c r="B96" s="492" t="s">
        <v>1000</v>
      </c>
      <c r="C96" s="492" t="s">
        <v>1001</v>
      </c>
      <c r="E96" s="160">
        <v>219.3</v>
      </c>
      <c r="F96" s="160">
        <v>246.2</v>
      </c>
      <c r="G96" s="160">
        <v>348.7</v>
      </c>
      <c r="H96" s="160">
        <v>385.1</v>
      </c>
      <c r="I96" s="160">
        <v>450.2</v>
      </c>
      <c r="J96" s="160">
        <v>454.6</v>
      </c>
      <c r="K96" s="160">
        <v>475.6</v>
      </c>
      <c r="L96" s="160">
        <v>437.4</v>
      </c>
      <c r="M96" s="160">
        <v>364.7</v>
      </c>
      <c r="N96" s="160">
        <v>294.8</v>
      </c>
      <c r="O96" s="160">
        <v>224.2</v>
      </c>
      <c r="P96" s="160">
        <v>202.3</v>
      </c>
      <c r="R96" s="161">
        <v>76</v>
      </c>
      <c r="S96" s="161">
        <v>93.8</v>
      </c>
      <c r="T96" s="161">
        <v>151.9</v>
      </c>
      <c r="U96" s="161">
        <v>187.5</v>
      </c>
      <c r="V96" s="161">
        <v>237.2</v>
      </c>
      <c r="W96" s="161">
        <v>250.5</v>
      </c>
      <c r="X96" s="161">
        <v>265.10000000000002</v>
      </c>
      <c r="Y96" s="161">
        <v>231</v>
      </c>
      <c r="Z96" s="161">
        <v>169.5</v>
      </c>
      <c r="AA96" s="161">
        <v>122.5</v>
      </c>
      <c r="AB96" s="161">
        <v>79.5</v>
      </c>
      <c r="AC96" s="161">
        <v>65.099999999999994</v>
      </c>
      <c r="BC96" s="159">
        <v>14.15</v>
      </c>
      <c r="BD96" s="159">
        <v>13.18</v>
      </c>
      <c r="BE96" s="159">
        <v>12</v>
      </c>
      <c r="BF96" s="159">
        <v>10.45</v>
      </c>
      <c r="BG96" s="159">
        <v>9.4499999999999993</v>
      </c>
      <c r="BH96" s="159">
        <v>9.1999999999999993</v>
      </c>
      <c r="BI96" s="159">
        <v>9.35</v>
      </c>
      <c r="BJ96" s="159">
        <v>10.3</v>
      </c>
      <c r="BK96" s="159">
        <v>11.48</v>
      </c>
      <c r="BL96" s="159">
        <v>13.05</v>
      </c>
      <c r="BM96" s="159">
        <v>14.1</v>
      </c>
      <c r="BN96" s="159">
        <v>14.38</v>
      </c>
    </row>
    <row r="97" spans="1:66">
      <c r="A97" s="157" t="s">
        <v>761</v>
      </c>
      <c r="B97" s="492" t="s">
        <v>762</v>
      </c>
      <c r="C97" s="492" t="s">
        <v>763</v>
      </c>
      <c r="D97" s="151">
        <v>0</v>
      </c>
      <c r="E97" s="160">
        <v>198.4</v>
      </c>
      <c r="F97" s="160">
        <v>225.6</v>
      </c>
      <c r="G97" s="160">
        <v>318.39999999999998</v>
      </c>
      <c r="H97" s="160">
        <v>358.2</v>
      </c>
      <c r="I97" s="160">
        <v>418.5</v>
      </c>
      <c r="J97" s="160">
        <v>422.1</v>
      </c>
      <c r="K97" s="160">
        <v>442.4</v>
      </c>
      <c r="L97" s="160">
        <v>408.2</v>
      </c>
      <c r="M97" s="160">
        <v>340.5</v>
      </c>
      <c r="N97" s="160">
        <v>275.39999999999998</v>
      </c>
      <c r="O97" s="160">
        <v>205.6</v>
      </c>
      <c r="P97" s="160">
        <v>185.2</v>
      </c>
      <c r="Q97" s="156">
        <v>0</v>
      </c>
      <c r="R97" s="161">
        <v>64.2</v>
      </c>
      <c r="S97" s="161">
        <v>83.5</v>
      </c>
      <c r="T97" s="161">
        <v>130.4</v>
      </c>
      <c r="U97" s="161">
        <v>168.2</v>
      </c>
      <c r="V97" s="161">
        <v>212.5</v>
      </c>
      <c r="W97" s="161">
        <v>228.4</v>
      </c>
      <c r="X97" s="161">
        <v>235.6</v>
      </c>
      <c r="Y97" s="161">
        <v>210.4</v>
      </c>
      <c r="Z97" s="161">
        <v>158.19999999999999</v>
      </c>
      <c r="AA97" s="161">
        <v>112.5</v>
      </c>
      <c r="AB97" s="161">
        <v>75.400000000000006</v>
      </c>
      <c r="AC97" s="161">
        <v>58.2</v>
      </c>
      <c r="AD97" s="162">
        <v>0</v>
      </c>
      <c r="AE97" s="162">
        <v>0</v>
      </c>
      <c r="AF97" s="162">
        <v>0</v>
      </c>
      <c r="AG97" s="162">
        <v>0</v>
      </c>
      <c r="AH97" s="162">
        <v>0</v>
      </c>
      <c r="AI97" s="162">
        <v>0</v>
      </c>
      <c r="AJ97" s="162">
        <v>0</v>
      </c>
      <c r="AK97" s="162">
        <v>0</v>
      </c>
      <c r="AL97" s="162">
        <v>0</v>
      </c>
      <c r="AM97" s="162">
        <v>0</v>
      </c>
      <c r="AN97" s="162">
        <v>0</v>
      </c>
      <c r="AO97" s="162">
        <v>0</v>
      </c>
      <c r="AP97" s="151">
        <v>0</v>
      </c>
      <c r="AQ97" s="158">
        <v>0</v>
      </c>
      <c r="AR97" s="158">
        <v>0</v>
      </c>
      <c r="AS97" s="158">
        <v>0</v>
      </c>
      <c r="AT97" s="158">
        <v>0</v>
      </c>
      <c r="AU97" s="158">
        <v>0</v>
      </c>
      <c r="AV97" s="158">
        <v>0</v>
      </c>
      <c r="AW97" s="158">
        <v>0</v>
      </c>
      <c r="AX97" s="158">
        <v>0</v>
      </c>
      <c r="AY97" s="158">
        <v>0</v>
      </c>
      <c r="AZ97" s="158">
        <v>0</v>
      </c>
      <c r="BA97" s="158">
        <v>0</v>
      </c>
      <c r="BB97" s="158">
        <v>0</v>
      </c>
      <c r="BC97" s="159">
        <v>14.35</v>
      </c>
      <c r="BD97" s="159">
        <v>13.31</v>
      </c>
      <c r="BE97" s="159">
        <v>12.02</v>
      </c>
      <c r="BF97" s="159">
        <v>10.42</v>
      </c>
      <c r="BG97" s="159">
        <v>9.36</v>
      </c>
      <c r="BH97" s="159">
        <v>9.08</v>
      </c>
      <c r="BI97" s="159">
        <v>9.24</v>
      </c>
      <c r="BJ97" s="159">
        <v>10.220000000000001</v>
      </c>
      <c r="BK97" s="159">
        <v>11.48</v>
      </c>
      <c r="BL97" s="159">
        <v>13.12</v>
      </c>
      <c r="BM97" s="159">
        <v>14.24</v>
      </c>
      <c r="BN97" s="159">
        <v>14.5</v>
      </c>
    </row>
    <row r="98" spans="1:66">
      <c r="A98" s="157" t="s">
        <v>1079</v>
      </c>
      <c r="B98" s="492" t="s">
        <v>1080</v>
      </c>
      <c r="C98" s="492" t="s">
        <v>1081</v>
      </c>
      <c r="D98" s="151">
        <v>0</v>
      </c>
      <c r="E98" s="160">
        <v>198.6</v>
      </c>
      <c r="F98" s="160">
        <v>228.4</v>
      </c>
      <c r="G98" s="160">
        <v>318.5</v>
      </c>
      <c r="H98" s="160">
        <v>362.1</v>
      </c>
      <c r="I98" s="160">
        <v>412.4</v>
      </c>
      <c r="J98" s="160">
        <v>424.5</v>
      </c>
      <c r="K98" s="160">
        <v>438.2</v>
      </c>
      <c r="L98" s="160">
        <v>408.4</v>
      </c>
      <c r="M98" s="160">
        <v>342.1</v>
      </c>
      <c r="N98" s="160">
        <v>278.5</v>
      </c>
      <c r="O98" s="160">
        <v>208.2</v>
      </c>
      <c r="P98" s="160">
        <v>186.4</v>
      </c>
      <c r="Q98" s="156">
        <v>0</v>
      </c>
      <c r="R98" s="161">
        <v>75.400000000000006</v>
      </c>
      <c r="S98" s="161">
        <v>95.2</v>
      </c>
      <c r="T98" s="161">
        <v>148.6</v>
      </c>
      <c r="U98" s="161">
        <v>184.2</v>
      </c>
      <c r="V98" s="161">
        <v>225.4</v>
      </c>
      <c r="W98" s="161">
        <v>242.1</v>
      </c>
      <c r="X98" s="161">
        <v>255.4</v>
      </c>
      <c r="Y98" s="161">
        <v>228.6</v>
      </c>
      <c r="Z98" s="161">
        <v>168.5</v>
      </c>
      <c r="AA98" s="161">
        <v>122.1</v>
      </c>
      <c r="AB98" s="161">
        <v>82.4</v>
      </c>
      <c r="AC98" s="161">
        <v>66.8</v>
      </c>
      <c r="AD98" s="162">
        <v>0</v>
      </c>
      <c r="AE98" s="162">
        <v>0</v>
      </c>
      <c r="AF98" s="162">
        <v>0</v>
      </c>
      <c r="AG98" s="162">
        <v>0</v>
      </c>
      <c r="AH98" s="162">
        <v>0</v>
      </c>
      <c r="AI98" s="162">
        <v>0</v>
      </c>
      <c r="AJ98" s="162">
        <v>0</v>
      </c>
      <c r="AK98" s="162">
        <v>0</v>
      </c>
      <c r="AL98" s="162">
        <v>0</v>
      </c>
      <c r="AM98" s="162">
        <v>0</v>
      </c>
      <c r="AN98" s="162">
        <v>0</v>
      </c>
      <c r="AO98" s="162">
        <v>0</v>
      </c>
      <c r="AP98" s="151">
        <v>0</v>
      </c>
      <c r="AQ98" s="158">
        <v>0</v>
      </c>
      <c r="AR98" s="158">
        <v>0</v>
      </c>
      <c r="AS98" s="158">
        <v>0</v>
      </c>
      <c r="AT98" s="158">
        <v>0</v>
      </c>
      <c r="AU98" s="158">
        <v>0</v>
      </c>
      <c r="AV98" s="158">
        <v>0</v>
      </c>
      <c r="AW98" s="158">
        <v>0</v>
      </c>
      <c r="AX98" s="158">
        <v>0</v>
      </c>
      <c r="AY98" s="158">
        <v>0</v>
      </c>
      <c r="AZ98" s="158">
        <v>0</v>
      </c>
      <c r="BA98" s="158">
        <v>0</v>
      </c>
      <c r="BB98" s="158">
        <v>0</v>
      </c>
      <c r="BC98" s="159">
        <v>14.24</v>
      </c>
      <c r="BD98" s="159">
        <v>13.26</v>
      </c>
      <c r="BE98" s="159">
        <v>12.02</v>
      </c>
      <c r="BF98" s="159">
        <v>10.41</v>
      </c>
      <c r="BG98" s="159">
        <v>9.33</v>
      </c>
      <c r="BH98" s="159">
        <v>9.02</v>
      </c>
      <c r="BI98" s="159">
        <v>9.16</v>
      </c>
      <c r="BJ98" s="159">
        <v>10.18</v>
      </c>
      <c r="BK98" s="159">
        <v>11.46</v>
      </c>
      <c r="BL98" s="159">
        <v>13.11</v>
      </c>
      <c r="BM98" s="159">
        <v>14.18</v>
      </c>
      <c r="BN98" s="159">
        <v>14.46</v>
      </c>
    </row>
    <row r="99" spans="1:66">
      <c r="A99" s="157" t="s">
        <v>1082</v>
      </c>
      <c r="B99" s="492" t="s">
        <v>1083</v>
      </c>
      <c r="C99" s="492" t="s">
        <v>1084</v>
      </c>
      <c r="D99" s="151">
        <v>0</v>
      </c>
      <c r="E99" s="160">
        <v>182.4</v>
      </c>
      <c r="F99" s="160">
        <v>210.5</v>
      </c>
      <c r="G99" s="160">
        <v>295.8</v>
      </c>
      <c r="H99" s="160">
        <v>332.1</v>
      </c>
      <c r="I99" s="160">
        <v>384.5</v>
      </c>
      <c r="J99" s="160">
        <v>388.6</v>
      </c>
      <c r="K99" s="160">
        <v>404.2</v>
      </c>
      <c r="L99" s="160">
        <v>374.5</v>
      </c>
      <c r="M99" s="160">
        <v>315.2</v>
      </c>
      <c r="N99" s="160">
        <v>255.4</v>
      </c>
      <c r="O99" s="160">
        <v>192.1</v>
      </c>
      <c r="P99" s="160">
        <v>170.4</v>
      </c>
      <c r="Q99" s="156">
        <v>0</v>
      </c>
      <c r="R99" s="161">
        <v>63.2</v>
      </c>
      <c r="S99" s="161">
        <v>81.400000000000006</v>
      </c>
      <c r="T99" s="161">
        <v>129.5</v>
      </c>
      <c r="U99" s="161">
        <v>166.4</v>
      </c>
      <c r="V99" s="161">
        <v>206.1</v>
      </c>
      <c r="W99" s="161">
        <v>223.5</v>
      </c>
      <c r="X99" s="161">
        <v>236.2</v>
      </c>
      <c r="Y99" s="161">
        <v>210.4</v>
      </c>
      <c r="Z99" s="161">
        <v>156.80000000000001</v>
      </c>
      <c r="AA99" s="161">
        <v>110.5</v>
      </c>
      <c r="AB99" s="161">
        <v>73.400000000000006</v>
      </c>
      <c r="AC99" s="161">
        <v>57.1</v>
      </c>
      <c r="AD99" s="162">
        <v>0</v>
      </c>
      <c r="AE99" s="162">
        <v>0</v>
      </c>
      <c r="AF99" s="162">
        <v>0</v>
      </c>
      <c r="AG99" s="162">
        <v>0</v>
      </c>
      <c r="AH99" s="162">
        <v>0</v>
      </c>
      <c r="AI99" s="162">
        <v>0</v>
      </c>
      <c r="AJ99" s="162">
        <v>0</v>
      </c>
      <c r="AK99" s="162">
        <v>0</v>
      </c>
      <c r="AL99" s="162">
        <v>0</v>
      </c>
      <c r="AM99" s="162">
        <v>0</v>
      </c>
      <c r="AN99" s="162">
        <v>0</v>
      </c>
      <c r="AO99" s="162">
        <v>0</v>
      </c>
      <c r="AP99" s="151">
        <v>0</v>
      </c>
      <c r="AQ99" s="158">
        <v>0</v>
      </c>
      <c r="AR99" s="158">
        <v>0</v>
      </c>
      <c r="AS99" s="158">
        <v>0</v>
      </c>
      <c r="AT99" s="158">
        <v>0</v>
      </c>
      <c r="AU99" s="158">
        <v>0</v>
      </c>
      <c r="AV99" s="158">
        <v>0</v>
      </c>
      <c r="AW99" s="158">
        <v>0</v>
      </c>
      <c r="AX99" s="158">
        <v>0</v>
      </c>
      <c r="AY99" s="158">
        <v>0</v>
      </c>
      <c r="AZ99" s="158">
        <v>0</v>
      </c>
      <c r="BA99" s="158">
        <v>0</v>
      </c>
      <c r="BB99" s="158">
        <v>0</v>
      </c>
      <c r="BC99" s="159">
        <v>14.25</v>
      </c>
      <c r="BD99" s="159">
        <v>13.28</v>
      </c>
      <c r="BE99" s="159">
        <v>12.01</v>
      </c>
      <c r="BF99" s="159">
        <v>10.42</v>
      </c>
      <c r="BG99" s="159">
        <v>9.35</v>
      </c>
      <c r="BH99" s="159">
        <v>9.0399999999999991</v>
      </c>
      <c r="BI99" s="159">
        <v>9.18</v>
      </c>
      <c r="BJ99" s="159">
        <v>10.199999999999999</v>
      </c>
      <c r="BK99" s="159">
        <v>11.48</v>
      </c>
      <c r="BL99" s="159">
        <v>13.12</v>
      </c>
      <c r="BM99" s="159">
        <v>14.19</v>
      </c>
      <c r="BN99" s="159">
        <v>14.48</v>
      </c>
    </row>
    <row r="100" spans="1:66">
      <c r="A100" s="157" t="s">
        <v>1085</v>
      </c>
      <c r="B100" s="492" t="s">
        <v>1086</v>
      </c>
      <c r="C100" s="492" t="s">
        <v>1087</v>
      </c>
      <c r="D100" s="151">
        <v>0</v>
      </c>
      <c r="E100" s="160">
        <v>164.8</v>
      </c>
      <c r="F100" s="160">
        <v>191.5</v>
      </c>
      <c r="G100" s="160">
        <v>272.39999999999998</v>
      </c>
      <c r="H100" s="160">
        <v>296.8</v>
      </c>
      <c r="I100" s="160">
        <v>354.2</v>
      </c>
      <c r="J100" s="160">
        <v>368.1</v>
      </c>
      <c r="K100" s="160">
        <v>386.5</v>
      </c>
      <c r="L100" s="160">
        <v>352.4</v>
      </c>
      <c r="M100" s="160">
        <v>284.60000000000002</v>
      </c>
      <c r="N100" s="160">
        <v>222.1</v>
      </c>
      <c r="O100" s="160">
        <v>168.5</v>
      </c>
      <c r="P100" s="160">
        <v>152.4</v>
      </c>
      <c r="Q100" s="156">
        <v>0</v>
      </c>
      <c r="R100" s="161">
        <v>52.5</v>
      </c>
      <c r="S100" s="161">
        <v>72.400000000000006</v>
      </c>
      <c r="T100" s="161">
        <v>118.2</v>
      </c>
      <c r="U100" s="161">
        <v>152.6</v>
      </c>
      <c r="V100" s="161">
        <v>198.4</v>
      </c>
      <c r="W100" s="161">
        <v>216.5</v>
      </c>
      <c r="X100" s="161">
        <v>232.4</v>
      </c>
      <c r="Y100" s="161">
        <v>198.6</v>
      </c>
      <c r="Z100" s="161">
        <v>142.4</v>
      </c>
      <c r="AA100" s="161">
        <v>96.4</v>
      </c>
      <c r="AB100" s="161">
        <v>58.6</v>
      </c>
      <c r="AC100" s="161">
        <v>48.2</v>
      </c>
      <c r="AD100" s="162">
        <v>0</v>
      </c>
      <c r="AE100" s="162">
        <v>0</v>
      </c>
      <c r="AF100" s="162">
        <v>0</v>
      </c>
      <c r="AG100" s="162">
        <v>0</v>
      </c>
      <c r="AH100" s="162">
        <v>0</v>
      </c>
      <c r="AI100" s="162">
        <v>0</v>
      </c>
      <c r="AJ100" s="162">
        <v>0</v>
      </c>
      <c r="AK100" s="162">
        <v>0</v>
      </c>
      <c r="AL100" s="162">
        <v>0</v>
      </c>
      <c r="AM100" s="162">
        <v>0</v>
      </c>
      <c r="AN100" s="162">
        <v>0</v>
      </c>
      <c r="AO100" s="162">
        <v>0</v>
      </c>
      <c r="AP100" s="151">
        <v>0</v>
      </c>
      <c r="AQ100" s="158">
        <v>0</v>
      </c>
      <c r="AR100" s="158">
        <v>0</v>
      </c>
      <c r="AS100" s="158">
        <v>0</v>
      </c>
      <c r="AT100" s="158">
        <v>0</v>
      </c>
      <c r="AU100" s="158">
        <v>0</v>
      </c>
      <c r="AV100" s="158">
        <v>0</v>
      </c>
      <c r="AW100" s="158">
        <v>0</v>
      </c>
      <c r="AX100" s="158">
        <v>0</v>
      </c>
      <c r="AY100" s="158">
        <v>0</v>
      </c>
      <c r="AZ100" s="158">
        <v>0</v>
      </c>
      <c r="BA100" s="158">
        <v>0</v>
      </c>
      <c r="BB100" s="158">
        <v>0</v>
      </c>
      <c r="BC100" s="159">
        <v>14.52</v>
      </c>
      <c r="BD100" s="159">
        <v>13.38</v>
      </c>
      <c r="BE100" s="159">
        <v>12.02</v>
      </c>
      <c r="BF100" s="159">
        <v>10.38</v>
      </c>
      <c r="BG100" s="159">
        <v>9.24</v>
      </c>
      <c r="BH100" s="159">
        <v>8.5500000000000007</v>
      </c>
      <c r="BI100" s="159">
        <v>9.1</v>
      </c>
      <c r="BJ100" s="159">
        <v>10.210000000000001</v>
      </c>
      <c r="BK100" s="159">
        <v>11.46</v>
      </c>
      <c r="BL100" s="159">
        <v>13.15</v>
      </c>
      <c r="BM100" s="159">
        <v>14.35</v>
      </c>
      <c r="BN100" s="159">
        <v>14.58</v>
      </c>
    </row>
    <row r="101" spans="1:66">
      <c r="A101" s="157" t="s">
        <v>1088</v>
      </c>
      <c r="B101" s="492" t="s">
        <v>1089</v>
      </c>
      <c r="C101" s="492" t="s">
        <v>1090</v>
      </c>
      <c r="D101" s="151">
        <v>0</v>
      </c>
      <c r="E101" s="160">
        <v>186.4</v>
      </c>
      <c r="F101" s="160">
        <v>214.5</v>
      </c>
      <c r="G101" s="160">
        <v>302.8</v>
      </c>
      <c r="H101" s="160">
        <v>340.5</v>
      </c>
      <c r="I101" s="160">
        <v>392.1</v>
      </c>
      <c r="J101" s="160">
        <v>398.4</v>
      </c>
      <c r="K101" s="160">
        <v>412.5</v>
      </c>
      <c r="L101" s="160">
        <v>382.6</v>
      </c>
      <c r="M101" s="160">
        <v>322.10000000000002</v>
      </c>
      <c r="N101" s="160">
        <v>262.5</v>
      </c>
      <c r="O101" s="160">
        <v>196.4</v>
      </c>
      <c r="P101" s="160">
        <v>174.2</v>
      </c>
      <c r="Q101" s="156">
        <v>0</v>
      </c>
      <c r="R101" s="161">
        <v>65.8</v>
      </c>
      <c r="S101" s="161">
        <v>84.2</v>
      </c>
      <c r="T101" s="161">
        <v>134.5</v>
      </c>
      <c r="U101" s="161">
        <v>170.4</v>
      </c>
      <c r="V101" s="161">
        <v>212.5</v>
      </c>
      <c r="W101" s="161">
        <v>228.4</v>
      </c>
      <c r="X101" s="161">
        <v>240.6</v>
      </c>
      <c r="Y101" s="161">
        <v>215.8</v>
      </c>
      <c r="Z101" s="161">
        <v>160.5</v>
      </c>
      <c r="AA101" s="161">
        <v>114.2</v>
      </c>
      <c r="AB101" s="161">
        <v>75.400000000000006</v>
      </c>
      <c r="AC101" s="161">
        <v>59.1</v>
      </c>
      <c r="AD101" s="162">
        <v>0</v>
      </c>
      <c r="AE101" s="162">
        <v>0</v>
      </c>
      <c r="AF101" s="162">
        <v>0</v>
      </c>
      <c r="AG101" s="162">
        <v>0</v>
      </c>
      <c r="AH101" s="162">
        <v>0</v>
      </c>
      <c r="AI101" s="162">
        <v>0</v>
      </c>
      <c r="AJ101" s="162">
        <v>0</v>
      </c>
      <c r="AK101" s="162">
        <v>0</v>
      </c>
      <c r="AL101" s="162">
        <v>0</v>
      </c>
      <c r="AM101" s="162">
        <v>0</v>
      </c>
      <c r="AN101" s="162">
        <v>0</v>
      </c>
      <c r="AO101" s="162">
        <v>0</v>
      </c>
      <c r="AP101" s="151">
        <v>0</v>
      </c>
      <c r="AQ101" s="158">
        <v>0</v>
      </c>
      <c r="AR101" s="158">
        <v>0</v>
      </c>
      <c r="AS101" s="158">
        <v>0</v>
      </c>
      <c r="AT101" s="158">
        <v>0</v>
      </c>
      <c r="AU101" s="158">
        <v>0</v>
      </c>
      <c r="AV101" s="158">
        <v>0</v>
      </c>
      <c r="AW101" s="158">
        <v>0</v>
      </c>
      <c r="AX101" s="158">
        <v>0</v>
      </c>
      <c r="AY101" s="158">
        <v>0</v>
      </c>
      <c r="AZ101" s="158">
        <v>0</v>
      </c>
      <c r="BA101" s="158">
        <v>0</v>
      </c>
      <c r="BB101" s="158">
        <v>0</v>
      </c>
      <c r="BC101" s="159">
        <v>14.23</v>
      </c>
      <c r="BD101" s="159">
        <v>13.25</v>
      </c>
      <c r="BE101" s="159">
        <v>12.02</v>
      </c>
      <c r="BF101" s="159">
        <v>10.41</v>
      </c>
      <c r="BG101" s="159">
        <v>9.34</v>
      </c>
      <c r="BH101" s="159">
        <v>9.0399999999999991</v>
      </c>
      <c r="BI101" s="159">
        <v>9.17</v>
      </c>
      <c r="BJ101" s="159">
        <v>10.19</v>
      </c>
      <c r="BK101" s="159">
        <v>11.46</v>
      </c>
      <c r="BL101" s="159">
        <v>13.11</v>
      </c>
      <c r="BM101" s="159">
        <v>14.17</v>
      </c>
      <c r="BN101" s="159">
        <v>14.45</v>
      </c>
    </row>
    <row r="102" spans="1:66">
      <c r="A102" s="157" t="s">
        <v>1091</v>
      </c>
      <c r="B102" s="492" t="s">
        <v>1092</v>
      </c>
      <c r="C102" s="492" t="s">
        <v>1093</v>
      </c>
      <c r="D102" s="151">
        <v>0</v>
      </c>
      <c r="E102" s="160">
        <v>128.4</v>
      </c>
      <c r="F102" s="160">
        <v>168.5</v>
      </c>
      <c r="G102" s="160">
        <v>248.6</v>
      </c>
      <c r="H102" s="160">
        <v>276.39999999999998</v>
      </c>
      <c r="I102" s="160">
        <v>335.8</v>
      </c>
      <c r="J102" s="160">
        <v>358.2</v>
      </c>
      <c r="K102" s="160">
        <v>382.1</v>
      </c>
      <c r="L102" s="160">
        <v>338.6</v>
      </c>
      <c r="M102" s="160">
        <v>262.39999999999998</v>
      </c>
      <c r="N102" s="160">
        <v>202.1</v>
      </c>
      <c r="O102" s="160">
        <v>138.5</v>
      </c>
      <c r="P102" s="160">
        <v>122.4</v>
      </c>
      <c r="Q102" s="156">
        <v>0</v>
      </c>
      <c r="R102" s="161">
        <v>36.5</v>
      </c>
      <c r="S102" s="161">
        <v>61.2</v>
      </c>
      <c r="T102" s="161">
        <v>104.8</v>
      </c>
      <c r="U102" s="161">
        <v>138.5</v>
      </c>
      <c r="V102" s="161">
        <v>185.4</v>
      </c>
      <c r="W102" s="161">
        <v>212.5</v>
      </c>
      <c r="X102" s="161">
        <v>231</v>
      </c>
      <c r="Y102" s="161">
        <v>188.4</v>
      </c>
      <c r="Z102" s="161">
        <v>129.5</v>
      </c>
      <c r="AA102" s="161">
        <v>81.2</v>
      </c>
      <c r="AB102" s="161">
        <v>42.1</v>
      </c>
      <c r="AC102" s="161">
        <v>33.6</v>
      </c>
      <c r="AD102" s="162">
        <v>0</v>
      </c>
      <c r="AE102" s="162">
        <v>0</v>
      </c>
      <c r="AF102" s="162">
        <v>0</v>
      </c>
      <c r="AG102" s="162">
        <v>0</v>
      </c>
      <c r="AH102" s="162">
        <v>0</v>
      </c>
      <c r="AI102" s="162">
        <v>0</v>
      </c>
      <c r="AJ102" s="162">
        <v>0</v>
      </c>
      <c r="AK102" s="162">
        <v>0</v>
      </c>
      <c r="AL102" s="162">
        <v>0</v>
      </c>
      <c r="AM102" s="162">
        <v>0</v>
      </c>
      <c r="AN102" s="162">
        <v>0</v>
      </c>
      <c r="AO102" s="162">
        <v>0</v>
      </c>
      <c r="AP102" s="151">
        <v>0</v>
      </c>
      <c r="AQ102" s="158">
        <v>0</v>
      </c>
      <c r="AR102" s="158">
        <v>0</v>
      </c>
      <c r="AS102" s="158">
        <v>0</v>
      </c>
      <c r="AT102" s="158">
        <v>0</v>
      </c>
      <c r="AU102" s="158">
        <v>0</v>
      </c>
      <c r="AV102" s="158">
        <v>0</v>
      </c>
      <c r="AW102" s="158">
        <v>0</v>
      </c>
      <c r="AX102" s="158">
        <v>0</v>
      </c>
      <c r="AY102" s="158">
        <v>0</v>
      </c>
      <c r="AZ102" s="158">
        <v>0</v>
      </c>
      <c r="BA102" s="158">
        <v>0</v>
      </c>
      <c r="BB102" s="158">
        <v>0</v>
      </c>
      <c r="BC102" s="159">
        <v>15.16</v>
      </c>
      <c r="BD102" s="159">
        <v>13.46</v>
      </c>
      <c r="BE102" s="159">
        <v>12.05</v>
      </c>
      <c r="BF102" s="159">
        <v>10.27</v>
      </c>
      <c r="BG102" s="159">
        <v>9.08</v>
      </c>
      <c r="BH102" s="159">
        <v>8.34</v>
      </c>
      <c r="BI102" s="159">
        <v>8.52</v>
      </c>
      <c r="BJ102" s="159">
        <v>10.09</v>
      </c>
      <c r="BK102" s="159">
        <v>11.46</v>
      </c>
      <c r="BL102" s="159">
        <v>13.27</v>
      </c>
      <c r="BM102" s="159">
        <v>14.58</v>
      </c>
      <c r="BN102" s="159">
        <v>15.32</v>
      </c>
    </row>
    <row r="103" spans="1:66">
      <c r="A103" s="157" t="s">
        <v>1094</v>
      </c>
      <c r="B103" s="492" t="s">
        <v>1095</v>
      </c>
      <c r="C103" s="492" t="s">
        <v>1096</v>
      </c>
      <c r="D103" s="151">
        <v>0</v>
      </c>
      <c r="E103" s="160">
        <v>188.2</v>
      </c>
      <c r="F103" s="160">
        <v>216.4</v>
      </c>
      <c r="G103" s="160">
        <v>305.10000000000002</v>
      </c>
      <c r="H103" s="160">
        <v>342.8</v>
      </c>
      <c r="I103" s="160">
        <v>395.4</v>
      </c>
      <c r="J103" s="160">
        <v>401.2</v>
      </c>
      <c r="K103" s="160">
        <v>415.8</v>
      </c>
      <c r="L103" s="160">
        <v>386.5</v>
      </c>
      <c r="M103" s="160">
        <v>325.39999999999998</v>
      </c>
      <c r="N103" s="160">
        <v>264.8</v>
      </c>
      <c r="O103" s="160">
        <v>198.6</v>
      </c>
      <c r="P103" s="160">
        <v>176.4</v>
      </c>
      <c r="Q103" s="156">
        <v>0</v>
      </c>
      <c r="R103" s="161">
        <v>67.2</v>
      </c>
      <c r="S103" s="161">
        <v>85.8</v>
      </c>
      <c r="T103" s="161">
        <v>136.4</v>
      </c>
      <c r="U103" s="161">
        <v>172.8</v>
      </c>
      <c r="V103" s="161">
        <v>215.6</v>
      </c>
      <c r="W103" s="161">
        <v>230.2</v>
      </c>
      <c r="X103" s="161">
        <v>242.5</v>
      </c>
      <c r="Y103" s="161">
        <v>218.4</v>
      </c>
      <c r="Z103" s="161">
        <v>162.1</v>
      </c>
      <c r="AA103" s="161">
        <v>116.4</v>
      </c>
      <c r="AB103" s="161">
        <v>76.8</v>
      </c>
      <c r="AC103" s="161">
        <v>60.5</v>
      </c>
      <c r="AD103" s="162">
        <v>0</v>
      </c>
      <c r="AE103" s="162">
        <v>0</v>
      </c>
      <c r="AF103" s="162">
        <v>0</v>
      </c>
      <c r="AG103" s="162">
        <v>0</v>
      </c>
      <c r="AH103" s="162">
        <v>0</v>
      </c>
      <c r="AI103" s="162">
        <v>0</v>
      </c>
      <c r="AJ103" s="162">
        <v>0</v>
      </c>
      <c r="AK103" s="162">
        <v>0</v>
      </c>
      <c r="AL103" s="162">
        <v>0</v>
      </c>
      <c r="AM103" s="162">
        <v>0</v>
      </c>
      <c r="AN103" s="162">
        <v>0</v>
      </c>
      <c r="AO103" s="162">
        <v>0</v>
      </c>
      <c r="AP103" s="151">
        <v>0</v>
      </c>
      <c r="AQ103" s="158">
        <v>0</v>
      </c>
      <c r="AR103" s="158">
        <v>0</v>
      </c>
      <c r="AS103" s="158">
        <v>0</v>
      </c>
      <c r="AT103" s="158">
        <v>0</v>
      </c>
      <c r="AU103" s="158">
        <v>0</v>
      </c>
      <c r="AV103" s="158">
        <v>0</v>
      </c>
      <c r="AW103" s="158">
        <v>0</v>
      </c>
      <c r="AX103" s="158">
        <v>0</v>
      </c>
      <c r="AY103" s="158">
        <v>0</v>
      </c>
      <c r="AZ103" s="158">
        <v>0</v>
      </c>
      <c r="BA103" s="158">
        <v>0</v>
      </c>
      <c r="BB103" s="158">
        <v>0</v>
      </c>
      <c r="BC103" s="159">
        <v>14.22</v>
      </c>
      <c r="BD103" s="159">
        <v>13.24</v>
      </c>
      <c r="BE103" s="159">
        <v>12.02</v>
      </c>
      <c r="BF103" s="159">
        <v>10.42</v>
      </c>
      <c r="BG103" s="159">
        <v>9.36</v>
      </c>
      <c r="BH103" s="159">
        <v>9.0500000000000007</v>
      </c>
      <c r="BI103" s="159">
        <v>9.19</v>
      </c>
      <c r="BJ103" s="159">
        <v>10.199999999999999</v>
      </c>
      <c r="BK103" s="159">
        <v>11.46</v>
      </c>
      <c r="BL103" s="159">
        <v>13.1</v>
      </c>
      <c r="BM103" s="159">
        <v>14.16</v>
      </c>
      <c r="BN103" s="159">
        <v>14.44</v>
      </c>
    </row>
    <row r="104" spans="1:66">
      <c r="A104" s="477" t="s">
        <v>1097</v>
      </c>
      <c r="B104" s="492" t="s">
        <v>1098</v>
      </c>
      <c r="C104" s="492" t="s">
        <v>1099</v>
      </c>
      <c r="E104" s="160">
        <v>134.19999999999999</v>
      </c>
      <c r="F104" s="160">
        <v>175.6</v>
      </c>
      <c r="G104" s="160">
        <v>255.4</v>
      </c>
      <c r="H104" s="160">
        <v>282.10000000000002</v>
      </c>
      <c r="I104" s="160">
        <v>340.5</v>
      </c>
      <c r="J104" s="160">
        <v>362.8</v>
      </c>
      <c r="K104" s="160">
        <v>388.4</v>
      </c>
      <c r="L104" s="160">
        <v>344.2</v>
      </c>
      <c r="M104" s="160">
        <v>268.5</v>
      </c>
      <c r="N104" s="160">
        <v>208.4</v>
      </c>
      <c r="O104" s="160">
        <v>145.19999999999999</v>
      </c>
      <c r="P104" s="160">
        <v>128.6</v>
      </c>
      <c r="R104" s="161">
        <v>38.799999999999997</v>
      </c>
      <c r="S104" s="161">
        <v>63</v>
      </c>
      <c r="T104" s="161">
        <v>107.6</v>
      </c>
      <c r="U104" s="161">
        <v>140.69999999999999</v>
      </c>
      <c r="V104" s="161">
        <v>188.5</v>
      </c>
      <c r="W104" s="161">
        <v>215.1</v>
      </c>
      <c r="X104" s="161">
        <v>233.4</v>
      </c>
      <c r="Y104" s="161">
        <v>190.3</v>
      </c>
      <c r="Z104" s="161">
        <v>131.69999999999999</v>
      </c>
      <c r="AA104" s="161">
        <v>84.3</v>
      </c>
      <c r="AB104" s="161">
        <v>44.1</v>
      </c>
      <c r="AC104" s="161">
        <v>35.299999999999997</v>
      </c>
      <c r="BC104" s="159">
        <v>15.1</v>
      </c>
      <c r="BD104" s="159">
        <v>13.44</v>
      </c>
      <c r="BE104" s="159">
        <v>12.04</v>
      </c>
      <c r="BF104" s="159">
        <v>10.29</v>
      </c>
      <c r="BG104" s="159">
        <v>9.1199999999999992</v>
      </c>
      <c r="BH104" s="159">
        <v>8.3800000000000008</v>
      </c>
      <c r="BI104" s="159">
        <v>8.56</v>
      </c>
      <c r="BJ104" s="159">
        <v>10.119999999999999</v>
      </c>
      <c r="BK104" s="159">
        <v>11.46</v>
      </c>
      <c r="BL104" s="159">
        <v>13.24</v>
      </c>
      <c r="BM104" s="159">
        <v>14.54</v>
      </c>
      <c r="BN104" s="159">
        <v>15.26</v>
      </c>
    </row>
    <row r="105" spans="1:66">
      <c r="A105" s="157" t="s">
        <v>1100</v>
      </c>
      <c r="B105" s="492" t="s">
        <v>1101</v>
      </c>
      <c r="C105" s="492" t="s">
        <v>1102</v>
      </c>
      <c r="E105" s="160">
        <v>172.4</v>
      </c>
      <c r="F105" s="160">
        <v>198.5</v>
      </c>
      <c r="G105" s="160">
        <v>282.10000000000002</v>
      </c>
      <c r="H105" s="160">
        <v>315.60000000000002</v>
      </c>
      <c r="I105" s="160">
        <v>365.5</v>
      </c>
      <c r="J105" s="160">
        <v>372.2</v>
      </c>
      <c r="K105" s="160">
        <v>388.4</v>
      </c>
      <c r="L105" s="160">
        <v>354.2</v>
      </c>
      <c r="M105" s="160">
        <v>292.8</v>
      </c>
      <c r="N105" s="160">
        <v>233.1</v>
      </c>
      <c r="O105" s="160">
        <v>178.5</v>
      </c>
      <c r="P105" s="160">
        <v>156.19999999999999</v>
      </c>
      <c r="R105" s="161">
        <v>76</v>
      </c>
      <c r="S105" s="161">
        <v>93.8</v>
      </c>
      <c r="T105" s="161">
        <v>151.9</v>
      </c>
      <c r="U105" s="161">
        <v>187.5</v>
      </c>
      <c r="V105" s="161">
        <v>237.2</v>
      </c>
      <c r="W105" s="161">
        <v>250.5</v>
      </c>
      <c r="X105" s="161">
        <v>265.10000000000002</v>
      </c>
      <c r="Y105" s="161">
        <v>231</v>
      </c>
      <c r="Z105" s="161">
        <v>169.5</v>
      </c>
      <c r="AA105" s="161">
        <v>122.5</v>
      </c>
      <c r="AB105" s="161">
        <v>79.5</v>
      </c>
      <c r="AC105" s="161">
        <v>65.099999999999994</v>
      </c>
      <c r="BC105" s="159">
        <v>14.35</v>
      </c>
      <c r="BD105" s="159">
        <v>13.24</v>
      </c>
      <c r="BE105" s="159">
        <v>12.01</v>
      </c>
      <c r="BF105" s="159">
        <v>10.38</v>
      </c>
      <c r="BG105" s="159">
        <v>9.25</v>
      </c>
      <c r="BH105" s="159">
        <v>8.5399999999999991</v>
      </c>
      <c r="BI105" s="159">
        <v>9.1199999999999992</v>
      </c>
      <c r="BJ105" s="159">
        <v>10.210000000000001</v>
      </c>
      <c r="BK105" s="159">
        <v>11.46</v>
      </c>
      <c r="BL105" s="159">
        <v>13.14</v>
      </c>
      <c r="BM105" s="159">
        <v>14.32</v>
      </c>
      <c r="BN105" s="159">
        <v>14.58</v>
      </c>
    </row>
    <row r="106" spans="1:66">
      <c r="A106" s="157" t="s">
        <v>1103</v>
      </c>
      <c r="B106" s="492" t="s">
        <v>1104</v>
      </c>
      <c r="C106" s="492" t="s">
        <v>1105</v>
      </c>
      <c r="E106" s="160">
        <v>184.5</v>
      </c>
      <c r="F106" s="160">
        <v>212.4</v>
      </c>
      <c r="G106" s="160">
        <v>298.60000000000002</v>
      </c>
      <c r="H106" s="160">
        <v>335.4</v>
      </c>
      <c r="I106" s="160">
        <v>388.2</v>
      </c>
      <c r="J106" s="160">
        <v>392.5</v>
      </c>
      <c r="K106" s="160">
        <v>408.6</v>
      </c>
      <c r="L106" s="160">
        <v>378.4</v>
      </c>
      <c r="M106" s="160">
        <v>318.5</v>
      </c>
      <c r="N106" s="160">
        <v>258.2</v>
      </c>
      <c r="O106" s="160">
        <v>194.1</v>
      </c>
      <c r="P106" s="160">
        <v>172.5</v>
      </c>
      <c r="R106" s="161">
        <v>64.5</v>
      </c>
      <c r="S106" s="161">
        <v>82.4</v>
      </c>
      <c r="T106" s="161">
        <v>131.19999999999999</v>
      </c>
      <c r="U106" s="161">
        <v>168.5</v>
      </c>
      <c r="V106" s="161">
        <v>208.4</v>
      </c>
      <c r="W106" s="161">
        <v>225.6</v>
      </c>
      <c r="X106" s="161">
        <v>238.4</v>
      </c>
      <c r="Y106" s="161">
        <v>212.5</v>
      </c>
      <c r="Z106" s="161">
        <v>158.4</v>
      </c>
      <c r="AA106" s="161">
        <v>112.6</v>
      </c>
      <c r="AB106" s="161">
        <v>74.5</v>
      </c>
      <c r="AC106" s="161">
        <v>58.2</v>
      </c>
      <c r="BC106" s="159">
        <v>14.24</v>
      </c>
      <c r="BD106" s="159">
        <v>13.26</v>
      </c>
      <c r="BE106" s="159">
        <v>12.02</v>
      </c>
      <c r="BF106" s="159">
        <v>10.41</v>
      </c>
      <c r="BG106" s="159">
        <v>9.34</v>
      </c>
      <c r="BH106" s="159">
        <v>9.0299999999999994</v>
      </c>
      <c r="BI106" s="159">
        <v>9.17</v>
      </c>
      <c r="BJ106" s="159">
        <v>10.19</v>
      </c>
      <c r="BK106" s="159">
        <v>11.46</v>
      </c>
      <c r="BL106" s="159">
        <v>13.11</v>
      </c>
      <c r="BM106" s="159">
        <v>14.18</v>
      </c>
      <c r="BN106" s="159">
        <v>14.46</v>
      </c>
    </row>
    <row r="107" spans="1:66">
      <c r="A107" s="157" t="s">
        <v>1005</v>
      </c>
      <c r="B107" s="492" t="s">
        <v>1006</v>
      </c>
      <c r="C107" s="492" t="s">
        <v>1007</v>
      </c>
      <c r="E107" s="160">
        <v>138.5</v>
      </c>
      <c r="F107" s="160">
        <v>145.19999999999999</v>
      </c>
      <c r="G107" s="160">
        <v>152.4</v>
      </c>
      <c r="H107" s="160">
        <v>142.6</v>
      </c>
      <c r="I107" s="160">
        <v>132.5</v>
      </c>
      <c r="J107" s="160">
        <v>115.4</v>
      </c>
      <c r="K107" s="160">
        <v>108.6</v>
      </c>
      <c r="L107" s="160">
        <v>112.4</v>
      </c>
      <c r="M107" s="160">
        <v>118.5</v>
      </c>
      <c r="N107" s="160">
        <v>135.4</v>
      </c>
      <c r="O107" s="160">
        <v>142.6</v>
      </c>
      <c r="P107" s="160">
        <v>140.5</v>
      </c>
      <c r="R107" s="161">
        <v>162.4</v>
      </c>
      <c r="S107" s="161">
        <v>168.5</v>
      </c>
      <c r="T107" s="161">
        <v>175.6</v>
      </c>
      <c r="U107" s="161">
        <v>165.4</v>
      </c>
      <c r="V107" s="161">
        <v>152.4</v>
      </c>
      <c r="W107" s="161">
        <v>128.6</v>
      </c>
      <c r="X107" s="161">
        <v>122.1</v>
      </c>
      <c r="Y107" s="161">
        <v>128.4</v>
      </c>
      <c r="Z107" s="161">
        <v>135.19999999999999</v>
      </c>
      <c r="AA107" s="161">
        <v>158.4</v>
      </c>
      <c r="AB107" s="161">
        <v>165.2</v>
      </c>
      <c r="AC107" s="161">
        <v>162.4</v>
      </c>
      <c r="BC107" s="159">
        <v>12.12</v>
      </c>
      <c r="BD107" s="159">
        <v>12.05</v>
      </c>
      <c r="BE107" s="159">
        <v>11.58</v>
      </c>
      <c r="BF107" s="159">
        <v>11.51</v>
      </c>
      <c r="BG107" s="159">
        <v>11.46</v>
      </c>
      <c r="BH107" s="159">
        <v>11.44</v>
      </c>
      <c r="BI107" s="159">
        <v>11.45</v>
      </c>
      <c r="BJ107" s="159">
        <v>11.48</v>
      </c>
      <c r="BK107" s="159">
        <v>11.53</v>
      </c>
      <c r="BL107" s="159">
        <v>12.02</v>
      </c>
      <c r="BM107" s="159">
        <v>12.1</v>
      </c>
      <c r="BN107" s="159">
        <v>12.15</v>
      </c>
    </row>
    <row r="108" spans="1:66">
      <c r="A108" s="157" t="s">
        <v>1008</v>
      </c>
      <c r="B108" s="492" t="s">
        <v>1009</v>
      </c>
      <c r="C108" s="492" t="s">
        <v>1010</v>
      </c>
      <c r="E108" s="160">
        <v>235.4</v>
      </c>
      <c r="F108" s="160">
        <v>252.1</v>
      </c>
      <c r="G108" s="160">
        <v>298.39999999999998</v>
      </c>
      <c r="H108" s="160">
        <v>315.60000000000002</v>
      </c>
      <c r="I108" s="160">
        <v>342.8</v>
      </c>
      <c r="J108" s="160">
        <v>352.4</v>
      </c>
      <c r="K108" s="160">
        <v>345.6</v>
      </c>
      <c r="L108" s="160">
        <v>338.4</v>
      </c>
      <c r="M108" s="160">
        <v>312.10000000000002</v>
      </c>
      <c r="N108" s="160">
        <v>285.39999999999998</v>
      </c>
      <c r="O108" s="160">
        <v>248.5</v>
      </c>
      <c r="P108" s="160">
        <v>225.6</v>
      </c>
      <c r="R108" s="161">
        <v>145.19999999999999</v>
      </c>
      <c r="S108" s="161">
        <v>158.4</v>
      </c>
      <c r="T108" s="161">
        <v>185.6</v>
      </c>
      <c r="U108" s="161">
        <v>210.4</v>
      </c>
      <c r="V108" s="161">
        <v>235.2</v>
      </c>
      <c r="W108" s="161">
        <v>245.6</v>
      </c>
      <c r="X108" s="161">
        <v>238.4</v>
      </c>
      <c r="Y108" s="161">
        <v>232.1</v>
      </c>
      <c r="Z108" s="161">
        <v>215.4</v>
      </c>
      <c r="AA108" s="161">
        <v>188.4</v>
      </c>
      <c r="AB108" s="161">
        <v>155.19999999999999</v>
      </c>
      <c r="AC108" s="161">
        <v>140.5</v>
      </c>
      <c r="BC108" s="159">
        <v>13.18</v>
      </c>
      <c r="BD108" s="159">
        <v>12.38</v>
      </c>
      <c r="BE108" s="159">
        <v>12.02</v>
      </c>
      <c r="BF108" s="159">
        <v>11.24</v>
      </c>
      <c r="BG108" s="159">
        <v>10.54</v>
      </c>
      <c r="BH108" s="159">
        <v>10.38</v>
      </c>
      <c r="BI108" s="159">
        <v>10.46</v>
      </c>
      <c r="BJ108" s="159">
        <v>11.12</v>
      </c>
      <c r="BK108" s="159">
        <v>11.52</v>
      </c>
      <c r="BL108" s="159">
        <v>12.3</v>
      </c>
      <c r="BM108" s="159">
        <v>13.08</v>
      </c>
      <c r="BN108" s="159">
        <v>13.3</v>
      </c>
    </row>
    <row r="109" spans="1:66">
      <c r="A109" s="157" t="s">
        <v>1011</v>
      </c>
      <c r="B109" s="492" t="s">
        <v>1012</v>
      </c>
      <c r="C109" s="492" t="s">
        <v>1013</v>
      </c>
      <c r="E109" s="160">
        <v>265.39999999999998</v>
      </c>
      <c r="F109" s="160">
        <v>282.10000000000002</v>
      </c>
      <c r="G109" s="160">
        <v>332.4</v>
      </c>
      <c r="H109" s="160">
        <v>340.5</v>
      </c>
      <c r="I109" s="160">
        <v>372.4</v>
      </c>
      <c r="J109" s="160">
        <v>380.2</v>
      </c>
      <c r="K109" s="160">
        <v>370.5</v>
      </c>
      <c r="L109" s="160">
        <v>362.4</v>
      </c>
      <c r="M109" s="160">
        <v>350.2</v>
      </c>
      <c r="N109" s="160">
        <v>335.4</v>
      </c>
      <c r="O109" s="160">
        <v>280.10000000000002</v>
      </c>
      <c r="P109" s="160">
        <v>255.4</v>
      </c>
      <c r="R109" s="161">
        <v>115.2</v>
      </c>
      <c r="S109" s="161">
        <v>131.5</v>
      </c>
      <c r="T109" s="161">
        <v>172.4</v>
      </c>
      <c r="U109" s="161">
        <v>202.5</v>
      </c>
      <c r="V109" s="161">
        <v>238.6</v>
      </c>
      <c r="W109" s="161">
        <v>248.5</v>
      </c>
      <c r="X109" s="161">
        <v>235.4</v>
      </c>
      <c r="Y109" s="161">
        <v>222.4</v>
      </c>
      <c r="Z109" s="161">
        <v>200.1</v>
      </c>
      <c r="AA109" s="161">
        <v>170.5</v>
      </c>
      <c r="AB109" s="161">
        <v>128.4</v>
      </c>
      <c r="AC109" s="161">
        <v>105.4</v>
      </c>
      <c r="BC109" s="159">
        <v>13.26</v>
      </c>
      <c r="BD109" s="159">
        <v>12.44</v>
      </c>
      <c r="BE109" s="159">
        <v>12.02</v>
      </c>
      <c r="BF109" s="159">
        <v>11.16</v>
      </c>
      <c r="BG109" s="159">
        <v>10.4</v>
      </c>
      <c r="BH109" s="159">
        <v>10.220000000000001</v>
      </c>
      <c r="BI109" s="159">
        <v>10.32</v>
      </c>
      <c r="BJ109" s="159">
        <v>11.02</v>
      </c>
      <c r="BK109" s="159">
        <v>11.46</v>
      </c>
      <c r="BL109" s="159">
        <v>12.34</v>
      </c>
      <c r="BM109" s="159">
        <v>13.14</v>
      </c>
      <c r="BN109" s="159">
        <v>13.4</v>
      </c>
    </row>
    <row r="110" spans="1:66">
      <c r="A110" s="157" t="s">
        <v>1014</v>
      </c>
      <c r="B110" s="492" t="s">
        <v>1015</v>
      </c>
      <c r="C110" s="492" t="s">
        <v>1016</v>
      </c>
      <c r="E110" s="160">
        <v>248.5</v>
      </c>
      <c r="F110" s="160">
        <v>272.39999999999998</v>
      </c>
      <c r="G110" s="160">
        <v>338.4</v>
      </c>
      <c r="H110" s="160">
        <v>365.2</v>
      </c>
      <c r="I110" s="160">
        <v>405.1</v>
      </c>
      <c r="J110" s="160">
        <v>412.4</v>
      </c>
      <c r="K110" s="160">
        <v>408.5</v>
      </c>
      <c r="L110" s="160">
        <v>395.2</v>
      </c>
      <c r="M110" s="160">
        <v>362.1</v>
      </c>
      <c r="N110" s="160">
        <v>312.39999999999998</v>
      </c>
      <c r="O110" s="160">
        <v>265.39999999999998</v>
      </c>
      <c r="P110" s="160">
        <v>235.1</v>
      </c>
      <c r="R110" s="161">
        <v>85.4</v>
      </c>
      <c r="S110" s="161">
        <v>108.5</v>
      </c>
      <c r="T110" s="161">
        <v>148.19999999999999</v>
      </c>
      <c r="U110" s="161">
        <v>178.4</v>
      </c>
      <c r="V110" s="161">
        <v>212.5</v>
      </c>
      <c r="W110" s="161">
        <v>228.4</v>
      </c>
      <c r="X110" s="161">
        <v>225.4</v>
      </c>
      <c r="Y110" s="161">
        <v>210.2</v>
      </c>
      <c r="Z110" s="161">
        <v>182.4</v>
      </c>
      <c r="AA110" s="161">
        <v>142.5</v>
      </c>
      <c r="AB110" s="161">
        <v>105.4</v>
      </c>
      <c r="AC110" s="161">
        <v>82.4</v>
      </c>
      <c r="BC110" s="159">
        <v>13.5</v>
      </c>
      <c r="BD110" s="159">
        <v>13.06</v>
      </c>
      <c r="BE110" s="159">
        <v>12.02</v>
      </c>
      <c r="BF110" s="159">
        <v>10.58</v>
      </c>
      <c r="BG110" s="159">
        <v>10.08</v>
      </c>
      <c r="BH110" s="159">
        <v>9.4600000000000009</v>
      </c>
      <c r="BI110" s="159">
        <v>9.58</v>
      </c>
      <c r="BJ110" s="159">
        <v>10.44</v>
      </c>
      <c r="BK110" s="159">
        <v>11.47</v>
      </c>
      <c r="BL110" s="159">
        <v>12.54</v>
      </c>
      <c r="BM110" s="159">
        <v>13.42</v>
      </c>
      <c r="BN110" s="159">
        <v>14.06</v>
      </c>
    </row>
    <row r="111" spans="1:66">
      <c r="A111" s="157" t="s">
        <v>1017</v>
      </c>
      <c r="B111" s="492" t="s">
        <v>1018</v>
      </c>
      <c r="C111" s="492" t="s">
        <v>1019</v>
      </c>
      <c r="E111" s="160">
        <v>242.1</v>
      </c>
      <c r="F111" s="160">
        <v>265.39999999999998</v>
      </c>
      <c r="G111" s="160">
        <v>330.5</v>
      </c>
      <c r="H111" s="160">
        <v>358.4</v>
      </c>
      <c r="I111" s="160">
        <v>398.5</v>
      </c>
      <c r="J111" s="160">
        <v>405.2</v>
      </c>
      <c r="K111" s="160">
        <v>400.1</v>
      </c>
      <c r="L111" s="160">
        <v>388.4</v>
      </c>
      <c r="M111" s="160">
        <v>355.2</v>
      </c>
      <c r="N111" s="160">
        <v>305.39999999999998</v>
      </c>
      <c r="O111" s="160">
        <v>258.39999999999998</v>
      </c>
      <c r="P111" s="160">
        <v>228.5</v>
      </c>
      <c r="R111" s="161">
        <v>92.1</v>
      </c>
      <c r="S111" s="161">
        <v>115.4</v>
      </c>
      <c r="T111" s="161">
        <v>155.19999999999999</v>
      </c>
      <c r="U111" s="161">
        <v>185.4</v>
      </c>
      <c r="V111" s="161">
        <v>220.1</v>
      </c>
      <c r="W111" s="161">
        <v>235.2</v>
      </c>
      <c r="X111" s="161">
        <v>230.4</v>
      </c>
      <c r="Y111" s="161">
        <v>215.4</v>
      </c>
      <c r="Z111" s="161">
        <v>188.4</v>
      </c>
      <c r="AA111" s="161">
        <v>150.5</v>
      </c>
      <c r="AB111" s="161">
        <v>112.5</v>
      </c>
      <c r="AC111" s="161">
        <v>88.4</v>
      </c>
      <c r="BC111" s="159">
        <v>13.45</v>
      </c>
      <c r="BD111" s="159">
        <v>13.01</v>
      </c>
      <c r="BE111" s="159">
        <v>12.02</v>
      </c>
      <c r="BF111" s="159">
        <v>11.02</v>
      </c>
      <c r="BG111" s="159">
        <v>10.14</v>
      </c>
      <c r="BH111" s="159">
        <v>9.5299999999999994</v>
      </c>
      <c r="BI111" s="159">
        <v>10.039999999999999</v>
      </c>
      <c r="BJ111" s="159">
        <v>10.48</v>
      </c>
      <c r="BK111" s="159">
        <v>11.47</v>
      </c>
      <c r="BL111" s="159">
        <v>12.5</v>
      </c>
      <c r="BM111" s="159">
        <v>13.36</v>
      </c>
      <c r="BN111" s="159">
        <v>13.58</v>
      </c>
    </row>
    <row r="112" spans="1:66">
      <c r="A112" s="157" t="s">
        <v>1020</v>
      </c>
      <c r="B112" s="492" t="s">
        <v>1021</v>
      </c>
      <c r="C112" s="492" t="s">
        <v>1022</v>
      </c>
      <c r="E112" s="160">
        <v>268.5</v>
      </c>
      <c r="F112" s="160">
        <v>284.60000000000002</v>
      </c>
      <c r="G112" s="160">
        <v>335.2</v>
      </c>
      <c r="H112" s="160">
        <v>342.8</v>
      </c>
      <c r="I112" s="160">
        <v>374.5</v>
      </c>
      <c r="J112" s="160">
        <v>382.1</v>
      </c>
      <c r="K112" s="160">
        <v>372.4</v>
      </c>
      <c r="L112" s="160">
        <v>365.8</v>
      </c>
      <c r="M112" s="160">
        <v>352.6</v>
      </c>
      <c r="N112" s="160">
        <v>338.4</v>
      </c>
      <c r="O112" s="160">
        <v>282.10000000000002</v>
      </c>
      <c r="P112" s="160">
        <v>258.39999999999998</v>
      </c>
      <c r="R112" s="161">
        <v>118.4</v>
      </c>
      <c r="S112" s="161">
        <v>134.19999999999999</v>
      </c>
      <c r="T112" s="161">
        <v>175.6</v>
      </c>
      <c r="U112" s="161">
        <v>205.4</v>
      </c>
      <c r="V112" s="161">
        <v>242.1</v>
      </c>
      <c r="W112" s="161">
        <v>252.6</v>
      </c>
      <c r="X112" s="161">
        <v>238.5</v>
      </c>
      <c r="Y112" s="161">
        <v>225.4</v>
      </c>
      <c r="Z112" s="161">
        <v>202.1</v>
      </c>
      <c r="AA112" s="161">
        <v>172.5</v>
      </c>
      <c r="AB112" s="161">
        <v>130.4</v>
      </c>
      <c r="AC112" s="161">
        <v>108.2</v>
      </c>
      <c r="BC112" s="159">
        <v>13.24</v>
      </c>
      <c r="BD112" s="159">
        <v>12.42</v>
      </c>
      <c r="BE112" s="159">
        <v>12.01</v>
      </c>
      <c r="BF112" s="159">
        <v>11.18</v>
      </c>
      <c r="BG112" s="159">
        <v>10.42</v>
      </c>
      <c r="BH112" s="159">
        <v>10.24</v>
      </c>
      <c r="BI112" s="159">
        <v>10.34</v>
      </c>
      <c r="BJ112" s="159">
        <v>11.04</v>
      </c>
      <c r="BK112" s="159">
        <v>11.48</v>
      </c>
      <c r="BL112" s="159">
        <v>12.32</v>
      </c>
      <c r="BM112" s="159">
        <v>13.12</v>
      </c>
      <c r="BN112" s="159">
        <v>13.38</v>
      </c>
    </row>
    <row r="113" spans="1:66">
      <c r="A113" s="157" t="s">
        <v>1023</v>
      </c>
      <c r="B113" s="492" t="s">
        <v>1024</v>
      </c>
      <c r="C113" s="492" t="s">
        <v>1025</v>
      </c>
      <c r="E113" s="160">
        <v>238.5</v>
      </c>
      <c r="F113" s="160">
        <v>262.39999999999998</v>
      </c>
      <c r="G113" s="160">
        <v>328.5</v>
      </c>
      <c r="H113" s="160">
        <v>355.2</v>
      </c>
      <c r="I113" s="160">
        <v>395.4</v>
      </c>
      <c r="J113" s="160">
        <v>402.1</v>
      </c>
      <c r="K113" s="160">
        <v>398.4</v>
      </c>
      <c r="L113" s="160">
        <v>385.6</v>
      </c>
      <c r="M113" s="160">
        <v>352.4</v>
      </c>
      <c r="N113" s="160">
        <v>302.10000000000002</v>
      </c>
      <c r="O113" s="160">
        <v>255.4</v>
      </c>
      <c r="P113" s="160">
        <v>225.1</v>
      </c>
      <c r="R113" s="161">
        <v>88.5</v>
      </c>
      <c r="S113" s="161">
        <v>112.4</v>
      </c>
      <c r="T113" s="161">
        <v>152.1</v>
      </c>
      <c r="U113" s="161">
        <v>182.4</v>
      </c>
      <c r="V113" s="161">
        <v>218.4</v>
      </c>
      <c r="W113" s="161">
        <v>232.4</v>
      </c>
      <c r="X113" s="161">
        <v>228.5</v>
      </c>
      <c r="Y113" s="161">
        <v>212.4</v>
      </c>
      <c r="Z113" s="161">
        <v>185.2</v>
      </c>
      <c r="AA113" s="161">
        <v>148.4</v>
      </c>
      <c r="AB113" s="161">
        <v>108.5</v>
      </c>
      <c r="AC113" s="161">
        <v>85.4</v>
      </c>
      <c r="BC113" s="159">
        <v>13.43</v>
      </c>
      <c r="BD113" s="159">
        <v>13</v>
      </c>
      <c r="BE113" s="159">
        <v>12.02</v>
      </c>
      <c r="BF113" s="159">
        <v>11.04</v>
      </c>
      <c r="BG113" s="159">
        <v>10.16</v>
      </c>
      <c r="BH113" s="159">
        <v>9.5500000000000007</v>
      </c>
      <c r="BI113" s="159">
        <v>10.06</v>
      </c>
      <c r="BJ113" s="159">
        <v>10.5</v>
      </c>
      <c r="BK113" s="159">
        <v>11.47</v>
      </c>
      <c r="BL113" s="159">
        <v>12.48</v>
      </c>
      <c r="BM113" s="159">
        <v>13.34</v>
      </c>
      <c r="BN113" s="159">
        <v>13.56</v>
      </c>
    </row>
    <row r="114" spans="1:66">
      <c r="A114" s="477" t="s">
        <v>1026</v>
      </c>
      <c r="B114" s="492" t="s">
        <v>1027</v>
      </c>
      <c r="C114" s="745" t="s">
        <v>1106</v>
      </c>
      <c r="E114" s="160">
        <v>228.4</v>
      </c>
      <c r="F114" s="160">
        <v>252.1</v>
      </c>
      <c r="G114" s="160">
        <v>322.39999999999998</v>
      </c>
      <c r="H114" s="160">
        <v>355.4</v>
      </c>
      <c r="I114" s="160">
        <v>392.1</v>
      </c>
      <c r="J114" s="160">
        <v>402.5</v>
      </c>
      <c r="K114" s="160">
        <v>398.4</v>
      </c>
      <c r="L114" s="160">
        <v>385.2</v>
      </c>
      <c r="M114" s="160">
        <v>352.4</v>
      </c>
      <c r="N114" s="160">
        <v>302.10000000000002</v>
      </c>
      <c r="O114" s="160">
        <v>255.2</v>
      </c>
      <c r="P114" s="160">
        <v>222.4</v>
      </c>
      <c r="R114" s="161">
        <v>75.400000000000006</v>
      </c>
      <c r="S114" s="161">
        <v>98.5</v>
      </c>
      <c r="T114" s="161">
        <v>138.4</v>
      </c>
      <c r="U114" s="161">
        <v>168.2</v>
      </c>
      <c r="V114" s="161">
        <v>205.4</v>
      </c>
      <c r="W114" s="161">
        <v>220.1</v>
      </c>
      <c r="X114" s="161">
        <v>218.5</v>
      </c>
      <c r="Y114" s="161">
        <v>202.4</v>
      </c>
      <c r="Z114" s="161">
        <v>175.4</v>
      </c>
      <c r="AA114" s="161">
        <v>135.19999999999999</v>
      </c>
      <c r="AB114" s="161">
        <v>98.4</v>
      </c>
      <c r="AC114" s="161">
        <v>72.400000000000006</v>
      </c>
      <c r="BC114" s="159">
        <v>14.04</v>
      </c>
      <c r="BD114" s="159">
        <v>13.18</v>
      </c>
      <c r="BE114" s="159">
        <v>12.02</v>
      </c>
      <c r="BF114" s="159">
        <v>10.48</v>
      </c>
      <c r="BG114" s="159">
        <v>9.52</v>
      </c>
      <c r="BH114" s="159">
        <v>9.24</v>
      </c>
      <c r="BI114" s="159">
        <v>9.3800000000000008</v>
      </c>
      <c r="BJ114" s="159">
        <v>10.34</v>
      </c>
      <c r="BK114" s="159">
        <v>11.48</v>
      </c>
      <c r="BL114" s="159">
        <v>13.02</v>
      </c>
      <c r="BM114" s="159">
        <v>13.54</v>
      </c>
      <c r="BN114" s="159">
        <v>14.16</v>
      </c>
    </row>
    <row r="115" spans="1:66">
      <c r="A115" s="157" t="s">
        <v>1029</v>
      </c>
      <c r="B115" s="492" t="s">
        <v>1030</v>
      </c>
      <c r="C115" s="492" t="s">
        <v>1031</v>
      </c>
      <c r="E115" s="160">
        <v>130.1</v>
      </c>
      <c r="F115" s="160">
        <v>128.4</v>
      </c>
      <c r="G115" s="160">
        <v>132.5</v>
      </c>
      <c r="H115" s="160">
        <v>125.4</v>
      </c>
      <c r="I115" s="160">
        <v>118.5</v>
      </c>
      <c r="J115" s="160">
        <v>105.4</v>
      </c>
      <c r="K115" s="160">
        <v>98.4</v>
      </c>
      <c r="L115" s="160">
        <v>102.1</v>
      </c>
      <c r="M115" s="160">
        <v>105.4</v>
      </c>
      <c r="N115" s="160">
        <v>115.2</v>
      </c>
      <c r="O115" s="160">
        <v>125.4</v>
      </c>
      <c r="P115" s="160">
        <v>128.19999999999999</v>
      </c>
      <c r="R115" s="161">
        <v>148.80000000000001</v>
      </c>
      <c r="S115" s="161">
        <v>145.6</v>
      </c>
      <c r="T115" s="161">
        <v>151.9</v>
      </c>
      <c r="U115" s="161">
        <v>144</v>
      </c>
      <c r="V115" s="161">
        <v>133.30000000000001</v>
      </c>
      <c r="W115" s="161">
        <v>111</v>
      </c>
      <c r="X115" s="161">
        <v>102.3</v>
      </c>
      <c r="Y115" s="161">
        <v>105.4</v>
      </c>
      <c r="Z115" s="161">
        <v>108</v>
      </c>
      <c r="AA115" s="161">
        <v>127.1</v>
      </c>
      <c r="AB115" s="161">
        <v>141</v>
      </c>
      <c r="AC115" s="161">
        <v>142.6</v>
      </c>
      <c r="BC115" s="159">
        <v>12.18</v>
      </c>
      <c r="BD115" s="159">
        <v>12.08</v>
      </c>
      <c r="BE115" s="159">
        <v>11.58</v>
      </c>
      <c r="BF115" s="159">
        <v>11.48</v>
      </c>
      <c r="BG115" s="159">
        <v>11.4</v>
      </c>
      <c r="BH115" s="159">
        <v>11.38</v>
      </c>
      <c r="BI115" s="159">
        <v>11.42</v>
      </c>
      <c r="BJ115" s="159">
        <v>11.5</v>
      </c>
      <c r="BK115" s="159">
        <v>11.58</v>
      </c>
      <c r="BL115" s="159">
        <v>12.08</v>
      </c>
      <c r="BM115" s="159">
        <v>12.16</v>
      </c>
      <c r="BN115" s="159">
        <v>12.22</v>
      </c>
    </row>
    <row r="116" spans="1:66">
      <c r="A116" s="157" t="s">
        <v>1032</v>
      </c>
      <c r="B116" s="492" t="s">
        <v>1033</v>
      </c>
      <c r="C116" s="492" t="s">
        <v>1034</v>
      </c>
      <c r="E116" s="160">
        <v>145.19999999999999</v>
      </c>
      <c r="F116" s="160">
        <v>148.4</v>
      </c>
      <c r="G116" s="160">
        <v>155.6</v>
      </c>
      <c r="H116" s="160">
        <v>140.5</v>
      </c>
      <c r="I116" s="160">
        <v>130.4</v>
      </c>
      <c r="J116" s="160">
        <v>108.5</v>
      </c>
      <c r="K116" s="160">
        <v>102.1</v>
      </c>
      <c r="L116" s="160">
        <v>105.4</v>
      </c>
      <c r="M116" s="160">
        <v>112.5</v>
      </c>
      <c r="N116" s="160">
        <v>132.4</v>
      </c>
      <c r="O116" s="160">
        <v>145.19999999999999</v>
      </c>
      <c r="P116" s="160">
        <v>142.4</v>
      </c>
      <c r="R116" s="161">
        <v>168.4</v>
      </c>
      <c r="S116" s="161">
        <v>172.5</v>
      </c>
      <c r="T116" s="161">
        <v>185.4</v>
      </c>
      <c r="U116" s="161">
        <v>162.4</v>
      </c>
      <c r="V116" s="161">
        <v>148.1</v>
      </c>
      <c r="W116" s="161">
        <v>125.4</v>
      </c>
      <c r="X116" s="161">
        <v>118.5</v>
      </c>
      <c r="Y116" s="161">
        <v>122.4</v>
      </c>
      <c r="Z116" s="161">
        <v>131.5</v>
      </c>
      <c r="AA116" s="161">
        <v>155.19999999999999</v>
      </c>
      <c r="AB116" s="161">
        <v>168.4</v>
      </c>
      <c r="AC116" s="161">
        <v>165.1</v>
      </c>
      <c r="BC116" s="159">
        <v>12.16</v>
      </c>
      <c r="BD116" s="159">
        <v>12.07</v>
      </c>
      <c r="BE116" s="159">
        <v>11.58</v>
      </c>
      <c r="BF116" s="159">
        <v>11.49</v>
      </c>
      <c r="BG116" s="159">
        <v>11.42</v>
      </c>
      <c r="BH116" s="159">
        <v>11.4</v>
      </c>
      <c r="BI116" s="159">
        <v>11.44</v>
      </c>
      <c r="BJ116" s="159">
        <v>11.51</v>
      </c>
      <c r="BK116" s="159">
        <v>11.58</v>
      </c>
      <c r="BL116" s="159">
        <v>12.07</v>
      </c>
      <c r="BM116" s="159">
        <v>12.15</v>
      </c>
      <c r="BN116" s="159">
        <v>12.2</v>
      </c>
    </row>
    <row r="117" spans="1:66">
      <c r="A117" s="157" t="s">
        <v>1035</v>
      </c>
      <c r="B117" s="492" t="s">
        <v>1036</v>
      </c>
      <c r="C117" s="492" t="s">
        <v>1037</v>
      </c>
      <c r="E117" s="160">
        <v>225.4</v>
      </c>
      <c r="F117" s="160">
        <v>250.2</v>
      </c>
      <c r="G117" s="160">
        <v>318.5</v>
      </c>
      <c r="H117" s="160">
        <v>352.4</v>
      </c>
      <c r="I117" s="160">
        <v>388.4</v>
      </c>
      <c r="J117" s="160">
        <v>398.5</v>
      </c>
      <c r="K117" s="160">
        <v>395.1</v>
      </c>
      <c r="L117" s="160">
        <v>382.4</v>
      </c>
      <c r="M117" s="160">
        <v>348.7</v>
      </c>
      <c r="N117" s="160">
        <v>298.39999999999998</v>
      </c>
      <c r="O117" s="160">
        <v>248.5</v>
      </c>
      <c r="P117" s="160">
        <v>218.6</v>
      </c>
      <c r="R117" s="161">
        <v>72.5</v>
      </c>
      <c r="S117" s="161">
        <v>95.2</v>
      </c>
      <c r="T117" s="161">
        <v>135.4</v>
      </c>
      <c r="U117" s="161">
        <v>165.2</v>
      </c>
      <c r="V117" s="161">
        <v>200.4</v>
      </c>
      <c r="W117" s="161">
        <v>215.8</v>
      </c>
      <c r="X117" s="161">
        <v>212.4</v>
      </c>
      <c r="Y117" s="161">
        <v>198.1</v>
      </c>
      <c r="Z117" s="161">
        <v>172.4</v>
      </c>
      <c r="AA117" s="161">
        <v>132.4</v>
      </c>
      <c r="AB117" s="161">
        <v>95</v>
      </c>
      <c r="AC117" s="161">
        <v>68.5</v>
      </c>
      <c r="BC117" s="159">
        <v>14.02</v>
      </c>
      <c r="BD117" s="159">
        <v>13.16</v>
      </c>
      <c r="BE117" s="159">
        <v>12.02</v>
      </c>
      <c r="BF117" s="159">
        <v>10.5</v>
      </c>
      <c r="BG117" s="159">
        <v>9.56</v>
      </c>
      <c r="BH117" s="159">
        <v>9.2799999999999994</v>
      </c>
      <c r="BI117" s="159">
        <v>9.42</v>
      </c>
      <c r="BJ117" s="159">
        <v>10.38</v>
      </c>
      <c r="BK117" s="159">
        <v>11.48</v>
      </c>
      <c r="BL117" s="159">
        <v>13</v>
      </c>
      <c r="BM117" s="159">
        <v>13.52</v>
      </c>
      <c r="BN117" s="159">
        <v>14.14</v>
      </c>
    </row>
    <row r="118" spans="1:66">
      <c r="A118" s="477" t="s">
        <v>1038</v>
      </c>
      <c r="B118" s="745" t="s">
        <v>1107</v>
      </c>
      <c r="C118" s="745" t="s">
        <v>1108</v>
      </c>
      <c r="E118" s="160">
        <v>92.4</v>
      </c>
      <c r="F118" s="160">
        <v>122.1</v>
      </c>
      <c r="G118" s="160">
        <v>188.4</v>
      </c>
      <c r="H118" s="160">
        <v>248.5</v>
      </c>
      <c r="I118" s="160">
        <v>312.39999999999998</v>
      </c>
      <c r="J118" s="160">
        <v>345.6</v>
      </c>
      <c r="K118" s="160">
        <v>338.4</v>
      </c>
      <c r="L118" s="160">
        <v>298.39999999999998</v>
      </c>
      <c r="M118" s="160">
        <v>235.5</v>
      </c>
      <c r="N118" s="160">
        <v>175.4</v>
      </c>
      <c r="O118" s="160">
        <v>125.4</v>
      </c>
      <c r="P118" s="160">
        <v>102.1</v>
      </c>
      <c r="R118" s="161">
        <v>224.2</v>
      </c>
      <c r="S118" s="161">
        <v>210.5</v>
      </c>
      <c r="T118" s="161">
        <v>188.4</v>
      </c>
      <c r="U118" s="161">
        <v>161.19999999999999</v>
      </c>
      <c r="V118" s="161">
        <v>145.19999999999999</v>
      </c>
      <c r="W118" s="161">
        <v>134.19999999999999</v>
      </c>
      <c r="X118" s="161">
        <v>138.5</v>
      </c>
      <c r="Y118" s="161">
        <v>155.19999999999999</v>
      </c>
      <c r="Z118" s="161">
        <v>178.5</v>
      </c>
      <c r="AA118" s="161">
        <v>208.4</v>
      </c>
      <c r="AB118" s="161">
        <v>230.1</v>
      </c>
      <c r="AC118" s="161">
        <v>225.1</v>
      </c>
      <c r="BC118" s="159">
        <v>9.52</v>
      </c>
      <c r="BD118" s="159">
        <v>10.48</v>
      </c>
      <c r="BE118" s="159">
        <v>11.48</v>
      </c>
      <c r="BF118" s="159">
        <v>13.02</v>
      </c>
      <c r="BG118" s="159">
        <v>13.54</v>
      </c>
      <c r="BH118" s="159">
        <v>14.16</v>
      </c>
      <c r="BI118" s="159">
        <v>14.04</v>
      </c>
      <c r="BJ118" s="159">
        <v>13.18</v>
      </c>
      <c r="BK118" s="159">
        <v>12.02</v>
      </c>
      <c r="BL118" s="159">
        <v>10.5</v>
      </c>
      <c r="BM118" s="159">
        <v>10.02</v>
      </c>
      <c r="BN118" s="159">
        <v>9.44</v>
      </c>
    </row>
    <row r="119" spans="1:66">
      <c r="A119" s="477" t="s">
        <v>1002</v>
      </c>
      <c r="B119" s="492" t="s">
        <v>1003</v>
      </c>
      <c r="C119" s="492" t="s">
        <v>1004</v>
      </c>
      <c r="E119" s="160">
        <v>102.4</v>
      </c>
      <c r="F119" s="160">
        <v>105.6</v>
      </c>
      <c r="G119" s="160">
        <v>112.8</v>
      </c>
      <c r="H119" s="160">
        <v>108.4</v>
      </c>
      <c r="I119" s="160">
        <v>102.5</v>
      </c>
      <c r="J119" s="160">
        <v>95.4</v>
      </c>
      <c r="K119" s="160">
        <v>92.1</v>
      </c>
      <c r="L119" s="160">
        <v>98.4</v>
      </c>
      <c r="M119" s="160">
        <v>105.2</v>
      </c>
      <c r="N119" s="160">
        <v>108.6</v>
      </c>
      <c r="O119" s="160">
        <v>105.4</v>
      </c>
      <c r="P119" s="160">
        <v>102.5</v>
      </c>
      <c r="R119" s="161">
        <v>125.4</v>
      </c>
      <c r="S119" s="161">
        <v>128.6</v>
      </c>
      <c r="T119" s="161">
        <v>135.4</v>
      </c>
      <c r="U119" s="161">
        <v>132.4</v>
      </c>
      <c r="V119" s="161">
        <v>128.6</v>
      </c>
      <c r="W119" s="161">
        <v>115.4</v>
      </c>
      <c r="X119" s="161">
        <v>110.2</v>
      </c>
      <c r="Y119" s="161">
        <v>118.4</v>
      </c>
      <c r="Z119" s="161">
        <v>125.2</v>
      </c>
      <c r="AA119" s="161">
        <v>132.4</v>
      </c>
      <c r="AB119" s="161">
        <v>128.5</v>
      </c>
      <c r="AC119" s="161">
        <v>125.4</v>
      </c>
      <c r="BC119" s="159">
        <v>11.58</v>
      </c>
      <c r="BD119" s="159">
        <v>11.56</v>
      </c>
      <c r="BE119" s="159">
        <v>11.54</v>
      </c>
      <c r="BF119" s="159">
        <v>11.52</v>
      </c>
      <c r="BG119" s="159">
        <v>11.5</v>
      </c>
      <c r="BH119" s="159">
        <v>11.48</v>
      </c>
      <c r="BI119" s="159">
        <v>11.49</v>
      </c>
      <c r="BJ119" s="159">
        <v>11.51</v>
      </c>
      <c r="BK119" s="159">
        <v>11.53</v>
      </c>
      <c r="BL119" s="159">
        <v>11.55</v>
      </c>
      <c r="BM119" s="159">
        <v>11.57</v>
      </c>
      <c r="BN119" s="159">
        <v>11.59</v>
      </c>
    </row>
  </sheetData>
  <autoFilter ref="A11:FX11" xr:uid="{00000000-0009-0000-0000-000009000000}"/>
  <mergeCells count="10">
    <mergeCell ref="E7:P7"/>
    <mergeCell ref="AD7:AO7"/>
    <mergeCell ref="BC4:BN4"/>
    <mergeCell ref="E4:P6"/>
    <mergeCell ref="BC6:BN7"/>
    <mergeCell ref="AQ6:BB7"/>
    <mergeCell ref="AD4:AO6"/>
    <mergeCell ref="R4:AC6"/>
    <mergeCell ref="AQ4:BB4"/>
    <mergeCell ref="R7:AC7"/>
  </mergeCells>
  <pageMargins left="0.7" right="0.7" top="0.75" bottom="0.75" header="0.3" footer="0.3"/>
  <pageSetup paperSize="9" orientation="portrait" horizontalDpi="4294967293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5"/>
  <dimension ref="A1"/>
  <sheetViews>
    <sheetView topLeftCell="A2" zoomScale="73" zoomScaleNormal="73" workbookViewId="0">
      <selection activeCell="E73" sqref="E73"/>
    </sheetView>
  </sheetViews>
  <sheetFormatPr defaultRowHeight="12.75"/>
  <cols>
    <col min="1" max="1" width="7.42578125" customWidth="1"/>
  </cols>
  <sheetData/>
  <sheetProtection algorithmName="SHA-512" hashValue="WRATHuKJnUxMwtBudVGg8+MzVvWZpZ3LuOLWYv/ZJ2+r0v9WY5iJVWFgAc0stl7SzQ0JMrPSMr3BQ15nz0GC3w==" saltValue="QInqVP64cqUEJ/CaqQ3pSQ==" spinCount="100000" sheet="1" objects="1" scenarios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6"/>
  <dimension ref="B3:D19"/>
  <sheetViews>
    <sheetView zoomScale="89" zoomScaleNormal="89" workbookViewId="0">
      <selection activeCell="B8" sqref="B8:D19"/>
    </sheetView>
  </sheetViews>
  <sheetFormatPr defaultRowHeight="12.75"/>
  <cols>
    <col min="2" max="2" width="77.28515625" customWidth="1"/>
    <col min="3" max="3" width="3" customWidth="1"/>
    <col min="4" max="4" width="81.140625" customWidth="1"/>
  </cols>
  <sheetData>
    <row r="3" spans="2:4" ht="48" customHeight="1">
      <c r="B3" s="11" t="s">
        <v>1109</v>
      </c>
      <c r="C3" s="11"/>
      <c r="D3" s="11" t="s">
        <v>1110</v>
      </c>
    </row>
    <row r="4" spans="2:4" ht="207" customHeight="1">
      <c r="B4" s="12" t="s">
        <v>1111</v>
      </c>
      <c r="C4" s="12"/>
      <c r="D4" s="12" t="s">
        <v>1112</v>
      </c>
    </row>
    <row r="8" spans="2:4">
      <c r="B8" s="995" t="s">
        <v>1113</v>
      </c>
      <c r="C8" s="918"/>
      <c r="D8" s="918"/>
    </row>
    <row r="9" spans="2:4">
      <c r="B9" s="918"/>
      <c r="C9" s="918"/>
      <c r="D9" s="918"/>
    </row>
    <row r="10" spans="2:4">
      <c r="B10" s="918"/>
      <c r="C10" s="918"/>
      <c r="D10" s="918"/>
    </row>
    <row r="11" spans="2:4">
      <c r="B11" s="918"/>
      <c r="C11" s="918"/>
      <c r="D11" s="918"/>
    </row>
    <row r="12" spans="2:4">
      <c r="B12" s="918"/>
      <c r="C12" s="918"/>
      <c r="D12" s="918"/>
    </row>
    <row r="13" spans="2:4">
      <c r="B13" s="918"/>
      <c r="C13" s="918"/>
      <c r="D13" s="918"/>
    </row>
    <row r="14" spans="2:4">
      <c r="B14" s="918"/>
      <c r="C14" s="918"/>
      <c r="D14" s="918"/>
    </row>
    <row r="15" spans="2:4">
      <c r="B15" s="918"/>
      <c r="C15" s="918"/>
      <c r="D15" s="918"/>
    </row>
    <row r="16" spans="2:4">
      <c r="B16" s="918"/>
      <c r="C16" s="918"/>
      <c r="D16" s="918"/>
    </row>
    <row r="17" spans="2:4">
      <c r="B17" s="918"/>
      <c r="C17" s="918"/>
      <c r="D17" s="918"/>
    </row>
    <row r="18" spans="2:4">
      <c r="B18" s="918"/>
      <c r="C18" s="918"/>
      <c r="D18" s="918"/>
    </row>
    <row r="19" spans="2:4">
      <c r="B19" s="918"/>
      <c r="C19" s="918"/>
      <c r="D19" s="918"/>
    </row>
  </sheetData>
  <sheetProtection algorithmName="SHA-512" hashValue="Cg45FmLPxdJ48NVAdpr2YOesFZqYP5IgaVQFz7L0nrSy80DuujTFKrqm74gqbd1KFnCwavlOMtYf6rlmYe9fxA==" saltValue="kbT+pGhv8hEzAfaXt6c3lQ==" spinCount="100000" sheet="1"/>
  <mergeCells count="1">
    <mergeCell ref="B8:D19"/>
  </mergeCells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9"/>
  <dimension ref="A1:M23"/>
  <sheetViews>
    <sheetView workbookViewId="0">
      <selection activeCell="H18" sqref="H18"/>
    </sheetView>
  </sheetViews>
  <sheetFormatPr defaultRowHeight="12.75"/>
  <cols>
    <col min="6" max="6" width="26.140625" customWidth="1"/>
    <col min="262" max="262" width="26.140625" customWidth="1"/>
    <col min="518" max="518" width="26.140625" customWidth="1"/>
    <col min="774" max="774" width="26.140625" customWidth="1"/>
    <col min="1030" max="1030" width="26.140625" customWidth="1"/>
    <col min="1286" max="1286" width="26.140625" customWidth="1"/>
    <col min="1542" max="1542" width="26.140625" customWidth="1"/>
    <col min="1798" max="1798" width="26.140625" customWidth="1"/>
    <col min="2054" max="2054" width="26.140625" customWidth="1"/>
    <col min="2310" max="2310" width="26.140625" customWidth="1"/>
    <col min="2566" max="2566" width="26.140625" customWidth="1"/>
    <col min="2822" max="2822" width="26.140625" customWidth="1"/>
    <col min="3078" max="3078" width="26.140625" customWidth="1"/>
    <col min="3334" max="3334" width="26.140625" customWidth="1"/>
    <col min="3590" max="3590" width="26.140625" customWidth="1"/>
    <col min="3846" max="3846" width="26.140625" customWidth="1"/>
    <col min="4102" max="4102" width="26.140625" customWidth="1"/>
    <col min="4358" max="4358" width="26.140625" customWidth="1"/>
    <col min="4614" max="4614" width="26.140625" customWidth="1"/>
    <col min="4870" max="4870" width="26.140625" customWidth="1"/>
    <col min="5126" max="5126" width="26.140625" customWidth="1"/>
    <col min="5382" max="5382" width="26.140625" customWidth="1"/>
    <col min="5638" max="5638" width="26.140625" customWidth="1"/>
    <col min="5894" max="5894" width="26.140625" customWidth="1"/>
    <col min="6150" max="6150" width="26.140625" customWidth="1"/>
    <col min="6406" max="6406" width="26.140625" customWidth="1"/>
    <col min="6662" max="6662" width="26.140625" customWidth="1"/>
    <col min="6918" max="6918" width="26.140625" customWidth="1"/>
    <col min="7174" max="7174" width="26.140625" customWidth="1"/>
    <col min="7430" max="7430" width="26.140625" customWidth="1"/>
    <col min="7686" max="7686" width="26.140625" customWidth="1"/>
    <col min="7942" max="7942" width="26.140625" customWidth="1"/>
    <col min="8198" max="8198" width="26.140625" customWidth="1"/>
    <col min="8454" max="8454" width="26.140625" customWidth="1"/>
    <col min="8710" max="8710" width="26.140625" customWidth="1"/>
    <col min="8966" max="8966" width="26.140625" customWidth="1"/>
    <col min="9222" max="9222" width="26.140625" customWidth="1"/>
    <col min="9478" max="9478" width="26.140625" customWidth="1"/>
    <col min="9734" max="9734" width="26.140625" customWidth="1"/>
    <col min="9990" max="9990" width="26.140625" customWidth="1"/>
    <col min="10246" max="10246" width="26.140625" customWidth="1"/>
    <col min="10502" max="10502" width="26.140625" customWidth="1"/>
    <col min="10758" max="10758" width="26.140625" customWidth="1"/>
    <col min="11014" max="11014" width="26.140625" customWidth="1"/>
    <col min="11270" max="11270" width="26.140625" customWidth="1"/>
    <col min="11526" max="11526" width="26.140625" customWidth="1"/>
    <col min="11782" max="11782" width="26.140625" customWidth="1"/>
    <col min="12038" max="12038" width="26.140625" customWidth="1"/>
    <col min="12294" max="12294" width="26.140625" customWidth="1"/>
    <col min="12550" max="12550" width="26.140625" customWidth="1"/>
    <col min="12806" max="12806" width="26.140625" customWidth="1"/>
    <col min="13062" max="13062" width="26.140625" customWidth="1"/>
    <col min="13318" max="13318" width="26.140625" customWidth="1"/>
    <col min="13574" max="13574" width="26.140625" customWidth="1"/>
    <col min="13830" max="13830" width="26.140625" customWidth="1"/>
    <col min="14086" max="14086" width="26.140625" customWidth="1"/>
    <col min="14342" max="14342" width="26.140625" customWidth="1"/>
    <col min="14598" max="14598" width="26.140625" customWidth="1"/>
    <col min="14854" max="14854" width="26.140625" customWidth="1"/>
    <col min="15110" max="15110" width="26.140625" customWidth="1"/>
    <col min="15366" max="15366" width="26.140625" customWidth="1"/>
    <col min="15622" max="15622" width="26.140625" customWidth="1"/>
    <col min="15878" max="15878" width="26.140625" customWidth="1"/>
    <col min="16134" max="16134" width="26.140625" customWidth="1"/>
  </cols>
  <sheetData>
    <row r="1" spans="1:13">
      <c r="A1" s="126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8"/>
    </row>
    <row r="2" spans="1:13">
      <c r="A2" s="129"/>
      <c r="B2" s="996" t="s">
        <v>1114</v>
      </c>
      <c r="C2" s="918"/>
      <c r="D2" s="918"/>
      <c r="E2" s="918"/>
      <c r="F2" s="918"/>
      <c r="G2" s="918"/>
      <c r="H2" s="918"/>
      <c r="I2" s="918"/>
      <c r="J2" s="918"/>
      <c r="K2" s="918"/>
      <c r="L2" s="918"/>
      <c r="M2" s="130"/>
    </row>
    <row r="3" spans="1:13">
      <c r="A3" s="129"/>
      <c r="D3" s="997" t="s">
        <v>1115</v>
      </c>
      <c r="E3" s="918"/>
      <c r="F3" s="918"/>
      <c r="G3" s="918"/>
      <c r="H3" s="918"/>
      <c r="I3" s="918"/>
      <c r="J3" s="918"/>
      <c r="M3" s="130"/>
    </row>
    <row r="4" spans="1:13" ht="19.5" customHeight="1">
      <c r="E4" s="47"/>
      <c r="F4" s="2" t="s">
        <v>1116</v>
      </c>
      <c r="M4" s="130"/>
    </row>
    <row r="5" spans="1:13" ht="15.75" customHeight="1">
      <c r="D5" s="131"/>
      <c r="E5" s="132" t="s">
        <v>1117</v>
      </c>
      <c r="F5" s="123">
        <f>Foglio1!K2</f>
        <v>0</v>
      </c>
      <c r="M5" s="130"/>
    </row>
    <row r="6" spans="1:13" ht="15.75" customHeight="1">
      <c r="E6" s="47" t="s">
        <v>1118</v>
      </c>
      <c r="F6" s="124">
        <f>Foglio1!K3</f>
        <v>0</v>
      </c>
      <c r="G6" s="133" t="s">
        <v>1119</v>
      </c>
      <c r="H6" s="134" t="s">
        <v>1120</v>
      </c>
      <c r="I6" s="135"/>
      <c r="M6" s="130"/>
    </row>
    <row r="7" spans="1:13" ht="12.75" customHeight="1">
      <c r="D7" s="9"/>
      <c r="M7" s="130"/>
    </row>
    <row r="8" spans="1:13" ht="13.5" customHeight="1" thickBot="1"/>
    <row r="9" spans="1:13">
      <c r="E9" s="998" t="s">
        <v>1121</v>
      </c>
      <c r="F9" s="922"/>
    </row>
    <row r="10" spans="1:13" ht="13.5" customHeight="1" thickBot="1">
      <c r="E10" s="963"/>
      <c r="F10" s="964"/>
    </row>
    <row r="11" spans="1:13">
      <c r="E11" s="968" t="s">
        <v>732</v>
      </c>
      <c r="F11" s="907"/>
    </row>
    <row r="12" spans="1:13" ht="15" customHeight="1">
      <c r="E12" s="50" t="s">
        <v>69</v>
      </c>
      <c r="F12" s="136">
        <f>gen!F45</f>
        <v>11.880993437403456</v>
      </c>
    </row>
    <row r="13" spans="1:13" ht="15" customHeight="1">
      <c r="E13" s="50" t="s">
        <v>70</v>
      </c>
      <c r="F13" s="136">
        <f>feb!F45</f>
        <v>11.886143506002783</v>
      </c>
    </row>
    <row r="14" spans="1:13" ht="15" customHeight="1">
      <c r="E14" s="50" t="s">
        <v>71</v>
      </c>
      <c r="F14" s="136">
        <f>mar!F45</f>
        <v>11.888846731492613</v>
      </c>
    </row>
    <row r="15" spans="1:13" ht="15" customHeight="1">
      <c r="E15" s="50" t="s">
        <v>72</v>
      </c>
      <c r="F15" s="136">
        <f>apr!F45</f>
        <v>11.887241525923248</v>
      </c>
    </row>
    <row r="16" spans="1:13" ht="15" customHeight="1">
      <c r="E16" s="50" t="s">
        <v>73</v>
      </c>
      <c r="F16" s="136">
        <f>mag!F45</f>
        <v>11.882570026452477</v>
      </c>
    </row>
    <row r="17" spans="5:6" ht="15" customHeight="1">
      <c r="E17" s="50" t="s">
        <v>74</v>
      </c>
      <c r="F17" s="136">
        <f>giu!F45</f>
        <v>11.879020358501492</v>
      </c>
    </row>
    <row r="18" spans="5:6" ht="15" customHeight="1">
      <c r="E18" s="50" t="s">
        <v>75</v>
      </c>
      <c r="F18" s="136">
        <f>lug!F45</f>
        <v>11.880606626265184</v>
      </c>
    </row>
    <row r="19" spans="5:6" ht="15" customHeight="1">
      <c r="E19" s="50" t="s">
        <v>76</v>
      </c>
      <c r="F19" s="136">
        <f>ago!F45</f>
        <v>11.885540527833033</v>
      </c>
    </row>
    <row r="20" spans="5:6" ht="15" customHeight="1">
      <c r="E20" s="50" t="s">
        <v>77</v>
      </c>
      <c r="F20" s="136">
        <f>set!F45</f>
        <v>11.888771766142698</v>
      </c>
    </row>
    <row r="21" spans="5:6" ht="15" customHeight="1">
      <c r="E21" s="50" t="s">
        <v>78</v>
      </c>
      <c r="F21" s="136">
        <f>ott!F45</f>
        <v>11.887647714555529</v>
      </c>
    </row>
    <row r="22" spans="5:6" ht="15" customHeight="1">
      <c r="E22" s="50" t="s">
        <v>79</v>
      </c>
      <c r="F22" s="136">
        <f>nov!F45</f>
        <v>11.882808977070816</v>
      </c>
    </row>
    <row r="23" spans="5:6" ht="13.5" customHeight="1" thickBot="1">
      <c r="E23" s="51" t="s">
        <v>80</v>
      </c>
      <c r="F23" s="136">
        <f>dic!F45</f>
        <v>11.879159900258408</v>
      </c>
    </row>
  </sheetData>
  <sheetProtection algorithmName="SHA-512" hashValue="TEF2+bMivsZiCTM7DJvZeEAuTdUTHou0oin7IC8LOZLm7pOBgyWf1qoqiIuq0ABK2QufD0BQFFIBsiIhAfN02A==" saltValue="sdsQUPh4f51h8aZaHfsxiw==" spinCount="100000" sheet="1" objects="1" scenarios="1"/>
  <mergeCells count="4">
    <mergeCell ref="B2:L2"/>
    <mergeCell ref="D3:J3"/>
    <mergeCell ref="E9:F10"/>
    <mergeCell ref="E11:F11"/>
  </mergeCells>
  <pageMargins left="0.7" right="0.7" top="0.75" bottom="0.75" header="0.3" footer="0.3"/>
  <pageSetup paperSize="9" orientation="portrait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7"/>
  <dimension ref="A1:AH91"/>
  <sheetViews>
    <sheetView showGridLines="0" tabSelected="1" topLeftCell="D2" zoomScale="84" zoomScaleNormal="84" workbookViewId="0">
      <selection activeCell="AC5" sqref="AC5"/>
    </sheetView>
  </sheetViews>
  <sheetFormatPr defaultColWidth="9.140625" defaultRowHeight="12.75"/>
  <cols>
    <col min="1" max="1" width="3.5703125" style="74" customWidth="1"/>
    <col min="2" max="2" width="6.28515625" style="74" customWidth="1"/>
    <col min="3" max="3" width="3.42578125" style="74" customWidth="1"/>
    <col min="4" max="4" width="14.5703125" style="74" customWidth="1"/>
    <col min="5" max="5" width="3.85546875" style="74" customWidth="1"/>
    <col min="6" max="6" width="16.7109375" style="74" customWidth="1"/>
    <col min="7" max="7" width="14.42578125" style="74" customWidth="1"/>
    <col min="8" max="8" width="9.5703125" style="74" customWidth="1"/>
    <col min="9" max="9" width="17.85546875" style="74" customWidth="1"/>
    <col min="10" max="10" width="10.28515625" style="74" customWidth="1"/>
    <col min="11" max="11" width="11.5703125" style="74" hidden="1" customWidth="1"/>
    <col min="12" max="16" width="9.140625" style="74" hidden="1" customWidth="1"/>
    <col min="17" max="17" width="8.85546875" style="74" hidden="1" customWidth="1"/>
    <col min="18" max="18" width="12.5703125" style="74" hidden="1" customWidth="1"/>
    <col min="19" max="19" width="24.42578125" style="248" hidden="1" customWidth="1"/>
    <col min="20" max="21" width="9.140625" style="74" hidden="1" customWidth="1"/>
    <col min="22" max="22" width="8.85546875" style="74" hidden="1" customWidth="1"/>
    <col min="23" max="24" width="9.140625" style="74" hidden="1" customWidth="1"/>
    <col min="25" max="25" width="11.85546875" style="74" hidden="1" customWidth="1"/>
    <col min="26" max="26" width="10.140625" style="74" hidden="1" customWidth="1"/>
    <col min="27" max="27" width="51.42578125" style="74" hidden="1" customWidth="1"/>
    <col min="28" max="28" width="65" style="74" customWidth="1"/>
    <col min="29" max="30" width="8.85546875" style="74" customWidth="1"/>
    <col min="31" max="32" width="8.85546875" style="74" hidden="1" customWidth="1"/>
    <col min="33" max="33" width="12.28515625" style="74" hidden="1" customWidth="1"/>
    <col min="34" max="34" width="8.85546875" style="74" hidden="1" customWidth="1"/>
    <col min="35" max="35" width="8.85546875" style="74" customWidth="1"/>
    <col min="36" max="63" width="9.140625" style="74" customWidth="1"/>
    <col min="64" max="16384" width="9.140625" style="74"/>
  </cols>
  <sheetData>
    <row r="1" spans="1:33" ht="23.45" hidden="1" customHeight="1"/>
    <row r="2" spans="1:33" ht="21.6" customHeight="1">
      <c r="A2" s="74" t="str">
        <f>AA9</f>
        <v>asq2_Italia_Ancona_CL_302_ LUCE Rossa_3_MN_carat_0,5 - 0,8 = P.  1,3 sec.</v>
      </c>
      <c r="F2" s="693"/>
      <c r="G2" s="693"/>
      <c r="H2" s="693"/>
      <c r="I2" s="693"/>
      <c r="J2" s="693"/>
      <c r="K2" s="693"/>
    </row>
    <row r="3" spans="1:33" ht="12.75" customHeight="1">
      <c r="F3" s="865" t="s">
        <v>0</v>
      </c>
      <c r="G3" s="846"/>
      <c r="H3" s="846"/>
      <c r="I3" s="846"/>
      <c r="J3" s="693"/>
      <c r="K3" s="693"/>
    </row>
    <row r="4" spans="1:33" ht="12.75" customHeight="1">
      <c r="F4" s="846"/>
      <c r="G4" s="846"/>
      <c r="H4" s="846"/>
      <c r="I4" s="846"/>
      <c r="J4" s="693"/>
      <c r="K4" s="693"/>
      <c r="AB4" s="74" t="e">
        <f>IF(D65=AC4,AC4," ")</f>
        <v>#N/A</v>
      </c>
    </row>
    <row r="5" spans="1:33" ht="24.75" customHeight="1">
      <c r="F5" s="845" t="str">
        <f>'INSER. DATI'!C4</f>
        <v>CL_302</v>
      </c>
      <c r="G5" s="846"/>
      <c r="H5" s="846"/>
      <c r="I5" s="846"/>
      <c r="J5" s="243"/>
      <c r="R5" s="304"/>
      <c r="S5" s="683"/>
      <c r="AB5" s="750" t="str">
        <f>IF('INSER. DATI'!C13="no dati","ERRORE provare a cambiare FANALE o Portata Luminosa","")</f>
        <v/>
      </c>
      <c r="AG5" s="244" t="s">
        <v>1</v>
      </c>
    </row>
    <row r="6" spans="1:33" ht="12.75" customHeight="1">
      <c r="B6" s="301" t="s">
        <v>2</v>
      </c>
      <c r="C6" s="301"/>
      <c r="D6" s="301" t="str">
        <f>F5</f>
        <v>CL_302</v>
      </c>
      <c r="R6" s="303"/>
      <c r="S6" s="684"/>
    </row>
    <row r="7" spans="1:33" ht="12.75" customHeight="1">
      <c r="B7" s="850" t="str">
        <f>VLOOKUP(F5,P17:Q26,2,FALSE)</f>
        <v xml:space="preserve">
Lanterna marina con portata nominale  fino 6 NM. 
Composta da 4 LED ad alta intensità. 
Divergenza  (FWHM) &gt;8°.
Corpo  in materiale plastico specifico per uso marino</v>
      </c>
      <c r="C7" s="846"/>
      <c r="D7" s="846"/>
      <c r="E7" s="306"/>
      <c r="F7" s="868" t="s">
        <v>3</v>
      </c>
      <c r="G7" s="846"/>
      <c r="H7" s="846"/>
      <c r="I7" s="846"/>
      <c r="J7" s="846"/>
      <c r="R7" s="303"/>
      <c r="S7" s="684"/>
    </row>
    <row r="8" spans="1:33" ht="10.15" customHeight="1">
      <c r="B8" s="846"/>
      <c r="C8" s="846"/>
      <c r="D8" s="846"/>
      <c r="E8" s="306"/>
      <c r="F8" s="245"/>
      <c r="G8" s="853" t="str">
        <f>'INSER. DATI'!C5</f>
        <v>Italia_Ancona</v>
      </c>
      <c r="H8" s="846"/>
      <c r="I8" s="846"/>
      <c r="J8" s="246"/>
      <c r="R8" s="303"/>
      <c r="S8" s="684"/>
    </row>
    <row r="9" spans="1:33" ht="18" customHeight="1">
      <c r="B9" s="846"/>
      <c r="C9" s="846"/>
      <c r="D9" s="846"/>
      <c r="E9" s="306"/>
      <c r="F9" s="245"/>
      <c r="G9" s="846"/>
      <c r="H9" s="846"/>
      <c r="I9" s="846"/>
      <c r="R9" s="303"/>
      <c r="S9" s="684"/>
      <c r="AA9" s="74" t="str">
        <f>_xlfn.CONCAT(D91,"_",G8,"_",F5,"_ LUCE ",I23,"_",I22,"_",H22,"_carat_",F19)</f>
        <v>asq2_Italia_Ancona_CL_302_ LUCE Rossa_3_MN_carat_0,5 - 0,8 = P.  1,3 sec.</v>
      </c>
      <c r="AB9" s="689"/>
    </row>
    <row r="10" spans="1:33" ht="18" customHeight="1">
      <c r="B10" s="846"/>
      <c r="C10" s="846"/>
      <c r="D10" s="846"/>
      <c r="E10" s="306"/>
      <c r="F10" s="872" t="s">
        <v>4</v>
      </c>
      <c r="G10" s="846"/>
      <c r="H10" s="300" t="s">
        <v>5</v>
      </c>
      <c r="I10" s="307" t="str">
        <f>VLOOKUP(G8,radiazione!A12:C379,2,FALSE)</f>
        <v>43° 37' 00'' N</v>
      </c>
      <c r="J10" s="248"/>
      <c r="K10" s="248"/>
      <c r="R10" s="303"/>
      <c r="S10" s="684"/>
    </row>
    <row r="11" spans="1:33" ht="18" customHeight="1">
      <c r="B11" s="846"/>
      <c r="C11" s="846"/>
      <c r="D11" s="846"/>
      <c r="E11" s="306"/>
      <c r="F11" s="857" t="s">
        <v>6</v>
      </c>
      <c r="G11" s="846"/>
      <c r="H11" s="100" t="s">
        <v>7</v>
      </c>
      <c r="I11" s="368" t="str">
        <f>VLOOKUP(G8,radiazione!A12:C379,3,FALSE)</f>
        <v>13° 31' 00'' E</v>
      </c>
      <c r="J11" s="248"/>
      <c r="K11" s="248"/>
      <c r="R11" s="303"/>
      <c r="S11" s="684"/>
    </row>
    <row r="12" spans="1:33" ht="6.75" customHeight="1">
      <c r="B12" s="846"/>
      <c r="C12" s="846"/>
      <c r="D12" s="846"/>
      <c r="E12" s="306"/>
      <c r="F12" s="100"/>
      <c r="G12" s="100"/>
      <c r="H12" s="301"/>
      <c r="I12" s="276"/>
      <c r="J12" s="248"/>
      <c r="K12" s="248"/>
      <c r="R12" s="303"/>
      <c r="S12" s="684"/>
    </row>
    <row r="13" spans="1:33" ht="18" customHeight="1">
      <c r="B13" s="846"/>
      <c r="C13" s="846"/>
      <c r="D13" s="846"/>
      <c r="E13" s="306"/>
      <c r="F13" s="300" t="s">
        <v>8</v>
      </c>
      <c r="G13" s="300"/>
      <c r="H13" s="302" t="s">
        <v>9</v>
      </c>
      <c r="I13" s="307">
        <v>0.75</v>
      </c>
      <c r="J13" s="248"/>
      <c r="K13" s="248"/>
      <c r="R13" s="303"/>
      <c r="S13" s="684"/>
    </row>
    <row r="14" spans="1:33" ht="12" customHeight="1">
      <c r="B14" s="846"/>
      <c r="C14" s="846"/>
      <c r="D14" s="846"/>
      <c r="E14" s="306"/>
      <c r="F14" s="274"/>
      <c r="G14" s="274"/>
      <c r="H14" s="276"/>
      <c r="I14" s="276"/>
      <c r="J14" s="248"/>
      <c r="K14" s="248"/>
      <c r="R14" s="303"/>
      <c r="S14" s="684"/>
    </row>
    <row r="15" spans="1:33" ht="18" customHeight="1">
      <c r="B15" s="846"/>
      <c r="C15" s="846"/>
      <c r="D15" s="846"/>
      <c r="E15" s="306"/>
      <c r="F15" s="870" t="s">
        <v>10</v>
      </c>
      <c r="G15" s="846"/>
      <c r="H15" s="846"/>
      <c r="I15" s="846"/>
      <c r="J15" s="846"/>
      <c r="K15" s="846"/>
      <c r="R15" s="303"/>
      <c r="S15" s="684"/>
    </row>
    <row r="16" spans="1:33" ht="4.5" customHeight="1">
      <c r="B16" s="846"/>
      <c r="C16" s="846"/>
      <c r="D16" s="846"/>
      <c r="E16" s="306"/>
      <c r="F16" s="248"/>
      <c r="G16" s="278"/>
      <c r="H16" s="856"/>
      <c r="I16" s="846"/>
      <c r="J16" s="248"/>
      <c r="K16" s="248"/>
      <c r="R16" s="303"/>
      <c r="S16" s="684"/>
    </row>
    <row r="17" spans="2:31" ht="18" customHeight="1">
      <c r="B17" s="846"/>
      <c r="C17" s="846"/>
      <c r="D17" s="846"/>
      <c r="E17" s="306"/>
      <c r="F17" s="854" t="str">
        <f>IF('INSER. DATI'!C11=100," ","Somma lampi")</f>
        <v>Somma lampi</v>
      </c>
      <c r="G17" s="846"/>
      <c r="H17" s="319" t="str">
        <f>IF('INSER. DATI'!C11=100," ","Sec")</f>
        <v>Sec</v>
      </c>
      <c r="I17" s="321">
        <f>IF('INSER. DATI'!C11=100," ",  'INSER. DATI'!C9 )</f>
        <v>0.5</v>
      </c>
      <c r="J17" s="280"/>
      <c r="K17" s="248"/>
      <c r="P17" s="74" t="s">
        <v>11</v>
      </c>
      <c r="Q17" s="367" t="s">
        <v>12</v>
      </c>
      <c r="R17" s="303"/>
      <c r="S17" s="684" t="s">
        <v>13</v>
      </c>
      <c r="X17" s="857"/>
      <c r="Y17" s="846"/>
      <c r="Z17" s="81"/>
      <c r="AA17" s="690"/>
      <c r="AB17" s="247"/>
    </row>
    <row r="18" spans="2:31" ht="18" customHeight="1">
      <c r="B18" s="846"/>
      <c r="C18" s="846"/>
      <c r="D18" s="846"/>
      <c r="E18" s="306"/>
      <c r="F18" s="873" t="str">
        <f>IF('INSER. DATI'!C11=100,"FANALE ","Somma eclissi")</f>
        <v>Somma eclissi</v>
      </c>
      <c r="G18" s="846"/>
      <c r="H18" s="235" t="str">
        <f>IF('INSER. DATI'!C10=0,"LUCE ","Sec")</f>
        <v>Sec</v>
      </c>
      <c r="I18" s="317">
        <f>IF('INSER. DATI'!C11=100,"FISSA ",  'INSER. DATI'!C10)</f>
        <v>0.8</v>
      </c>
      <c r="J18" s="280"/>
      <c r="K18" s="248"/>
      <c r="P18" s="239" t="s">
        <v>14</v>
      </c>
      <c r="Q18" s="367" t="s">
        <v>15</v>
      </c>
      <c r="R18" s="303"/>
      <c r="S18" s="684" t="s">
        <v>16</v>
      </c>
      <c r="X18" s="857"/>
      <c r="Y18" s="846"/>
      <c r="Z18" s="81"/>
      <c r="AA18" s="100"/>
      <c r="AB18" s="247"/>
    </row>
    <row r="19" spans="2:31" ht="18" customHeight="1">
      <c r="B19" s="846"/>
      <c r="C19" s="846"/>
      <c r="D19" s="846"/>
      <c r="E19" s="306"/>
      <c r="F19" s="863" t="str">
        <f>'INSER. DATI'!C8</f>
        <v>0,5 - 0,8 = P.  1,3 sec.</v>
      </c>
      <c r="G19" s="846"/>
      <c r="H19" s="846"/>
      <c r="I19" s="846"/>
      <c r="J19" s="281"/>
      <c r="K19" s="248"/>
      <c r="P19" s="239" t="s">
        <v>17</v>
      </c>
      <c r="Q19" s="367" t="s">
        <v>18</v>
      </c>
      <c r="S19" s="684" t="s">
        <v>19</v>
      </c>
    </row>
    <row r="20" spans="2:31" ht="18" customHeight="1">
      <c r="B20" s="846"/>
      <c r="C20" s="846"/>
      <c r="D20" s="846"/>
      <c r="E20" s="306"/>
      <c r="F20" s="869" t="s">
        <v>20</v>
      </c>
      <c r="G20" s="846"/>
      <c r="H20" s="314" t="s">
        <v>21</v>
      </c>
      <c r="I20" s="509" t="str">
        <f>VLOOKUP(F19,CARATTERISTICHE!E5:F262,2,FALSE)</f>
        <v>001</v>
      </c>
      <c r="J20" s="280"/>
      <c r="K20" s="248"/>
      <c r="P20" s="74" t="s">
        <v>22</v>
      </c>
      <c r="Q20" s="367" t="s">
        <v>15</v>
      </c>
      <c r="S20" s="684" t="s">
        <v>23</v>
      </c>
    </row>
    <row r="21" spans="2:31" ht="18" customHeight="1">
      <c r="B21" s="846"/>
      <c r="C21" s="846"/>
      <c r="D21" s="846"/>
      <c r="E21" s="306"/>
      <c r="F21" s="867" t="s">
        <v>24</v>
      </c>
      <c r="G21" s="846"/>
      <c r="H21" s="321" t="str">
        <f>IF('INSER. DATI'!C11=100," ","%")</f>
        <v>%</v>
      </c>
      <c r="I21" s="312">
        <f>'INSER. DATI'!C11/100</f>
        <v>0.38461538461538458</v>
      </c>
      <c r="J21" s="248"/>
      <c r="K21" s="248"/>
      <c r="P21" s="239" t="s">
        <v>25</v>
      </c>
      <c r="Q21" s="367" t="s">
        <v>26</v>
      </c>
      <c r="S21" s="684" t="s">
        <v>27</v>
      </c>
    </row>
    <row r="22" spans="2:31" ht="24" customHeight="1">
      <c r="B22" s="846"/>
      <c r="C22" s="846"/>
      <c r="D22" s="846"/>
      <c r="E22" s="306"/>
      <c r="F22" s="861" t="s">
        <v>28</v>
      </c>
      <c r="G22" s="846"/>
      <c r="H22" s="309" t="s">
        <v>29</v>
      </c>
      <c r="I22" s="299">
        <f>'INSER. DATI'!C12</f>
        <v>3</v>
      </c>
      <c r="J22" s="248"/>
      <c r="K22" s="248"/>
      <c r="L22" s="239" t="s">
        <v>30</v>
      </c>
      <c r="N22" s="308" t="str">
        <f>'INSER. DATI'!C6</f>
        <v>Rossa</v>
      </c>
      <c r="P22" s="239" t="s">
        <v>31</v>
      </c>
      <c r="Q22" s="367" t="s">
        <v>18</v>
      </c>
      <c r="S22" s="684" t="s">
        <v>32</v>
      </c>
      <c r="AE22" s="74" t="e">
        <f>'INSER. DATI'!#REF!</f>
        <v>#REF!</v>
      </c>
    </row>
    <row r="23" spans="2:31" ht="18" customHeight="1">
      <c r="F23" s="860" t="s">
        <v>30</v>
      </c>
      <c r="G23" s="846"/>
      <c r="H23" s="318"/>
      <c r="I23" s="313" t="str">
        <f>'INSER. DATI'!C6</f>
        <v>Rossa</v>
      </c>
      <c r="J23" s="248"/>
      <c r="K23" s="248"/>
      <c r="L23" s="239" t="s">
        <v>33</v>
      </c>
      <c r="P23" s="239" t="s">
        <v>34</v>
      </c>
      <c r="Q23" s="367" t="s">
        <v>35</v>
      </c>
      <c r="S23" s="684" t="s">
        <v>36</v>
      </c>
    </row>
    <row r="24" spans="2:31" ht="18" customHeight="1">
      <c r="B24" s="866"/>
      <c r="C24" s="846"/>
      <c r="D24" s="846"/>
      <c r="E24" s="846"/>
      <c r="F24" s="869" t="s">
        <v>37</v>
      </c>
      <c r="G24" s="846"/>
      <c r="H24" s="314" t="s">
        <v>38</v>
      </c>
      <c r="I24" s="413" t="str">
        <f>IFERROR(VLOOKUP(I22,'x inserimento dati fissi'!B43:V63,DATI!C6,FALSE),"")</f>
        <v/>
      </c>
      <c r="J24" s="248"/>
      <c r="K24" s="248"/>
      <c r="S24" s="684"/>
    </row>
    <row r="25" spans="2:31" ht="18" customHeight="1">
      <c r="F25" s="854" t="s">
        <v>39</v>
      </c>
      <c r="G25" s="846"/>
      <c r="H25" s="319" t="s">
        <v>40</v>
      </c>
      <c r="I25" s="315">
        <f>IFERROR(VLOOKUP(I22,'X OK'!S7:T23,2,FALSE),"")</f>
        <v>15</v>
      </c>
      <c r="J25" s="286"/>
      <c r="K25" s="248"/>
      <c r="L25" s="239" t="s">
        <v>39</v>
      </c>
      <c r="P25" s="239" t="s">
        <v>95</v>
      </c>
      <c r="Q25" s="367" t="s">
        <v>1188</v>
      </c>
      <c r="S25" s="684" t="s">
        <v>1189</v>
      </c>
    </row>
    <row r="26" spans="2:31" ht="18" customHeight="1">
      <c r="F26" s="311" t="s">
        <v>44</v>
      </c>
      <c r="G26" s="311"/>
      <c r="H26" s="235" t="s">
        <v>45</v>
      </c>
      <c r="I26" s="645" t="str">
        <f>'INSER. DATI'!C16</f>
        <v>NON COMPRESO</v>
      </c>
      <c r="J26" s="248"/>
      <c r="K26" s="248"/>
      <c r="P26" s="239" t="s">
        <v>46</v>
      </c>
      <c r="Q26" s="367" t="s">
        <v>1188</v>
      </c>
      <c r="S26" s="684" t="s">
        <v>47</v>
      </c>
    </row>
    <row r="27" spans="2:31" ht="18" customHeight="1">
      <c r="B27" s="249"/>
      <c r="C27" s="250"/>
      <c r="D27" s="251"/>
      <c r="E27" s="251"/>
      <c r="F27" s="847" t="s">
        <v>48</v>
      </c>
      <c r="G27" s="846"/>
      <c r="H27" s="320" t="s">
        <v>45</v>
      </c>
      <c r="I27" s="316" t="str">
        <f>'INSER. DATI'!C17</f>
        <v>NON COMPRESO</v>
      </c>
      <c r="J27" s="249"/>
      <c r="K27" s="249"/>
    </row>
    <row r="28" spans="2:31" ht="18.75" customHeight="1">
      <c r="B28" s="249"/>
      <c r="C28" s="250"/>
      <c r="D28" s="871"/>
      <c r="E28" s="846"/>
      <c r="F28" s="846"/>
      <c r="G28" s="846"/>
      <c r="H28" s="846"/>
      <c r="I28" s="846"/>
      <c r="J28" s="846"/>
      <c r="K28" s="249"/>
    </row>
    <row r="29" spans="2:31" ht="11.25" hidden="1" customHeight="1">
      <c r="B29" s="249"/>
      <c r="C29" s="248"/>
      <c r="D29" s="248"/>
      <c r="E29" s="248"/>
      <c r="F29" s="248"/>
      <c r="G29" s="248"/>
      <c r="H29" s="249"/>
      <c r="I29" s="249"/>
      <c r="J29" s="249"/>
      <c r="K29" s="249"/>
    </row>
    <row r="30" spans="2:31" ht="10.9" hidden="1" customHeight="1">
      <c r="B30" s="249"/>
      <c r="C30" s="276" t="s">
        <v>49</v>
      </c>
      <c r="D30" s="248"/>
      <c r="E30" s="248"/>
      <c r="F30" s="248"/>
      <c r="G30" s="248"/>
      <c r="H30" s="248"/>
      <c r="I30" s="248"/>
      <c r="J30" s="249"/>
      <c r="K30" s="249"/>
    </row>
    <row r="31" spans="2:31" ht="10.9" hidden="1" customHeight="1">
      <c r="B31" s="249"/>
      <c r="C31" s="287" t="s">
        <v>50</v>
      </c>
      <c r="D31" s="287"/>
      <c r="E31" s="287"/>
      <c r="F31" s="287"/>
      <c r="G31" s="287"/>
      <c r="H31" s="272" t="s">
        <v>51</v>
      </c>
      <c r="I31" s="284" t="e">
        <f>'x inserimento dati fissi'!AD9</f>
        <v>#N/A</v>
      </c>
      <c r="J31" s="252"/>
      <c r="K31" s="249"/>
    </row>
    <row r="32" spans="2:31" ht="10.9" hidden="1" customHeight="1">
      <c r="B32" s="249"/>
      <c r="C32" s="248" t="s">
        <v>52</v>
      </c>
      <c r="D32" s="248"/>
      <c r="E32" s="248"/>
      <c r="F32" s="248"/>
      <c r="G32" s="248"/>
      <c r="H32" s="274" t="s">
        <v>53</v>
      </c>
      <c r="I32" s="289" t="e">
        <f>'x inserimento dati fissi'!AD4</f>
        <v>#N/A</v>
      </c>
      <c r="J32" s="252"/>
      <c r="K32" s="249"/>
    </row>
    <row r="33" spans="2:29" ht="10.9" hidden="1" customHeight="1">
      <c r="B33" s="249"/>
      <c r="C33" s="287" t="s">
        <v>54</v>
      </c>
      <c r="D33" s="287"/>
      <c r="E33" s="287"/>
      <c r="F33" s="287"/>
      <c r="G33" s="287"/>
      <c r="H33" s="287" t="s">
        <v>55</v>
      </c>
      <c r="I33" s="284">
        <f>IF('INSER. DATI'!C4="CL_101",1,IF('INSER. DATI'!C4="CL_201",1,4))</f>
        <v>4</v>
      </c>
      <c r="J33" s="252"/>
      <c r="K33" s="249"/>
    </row>
    <row r="34" spans="2:29" ht="10.9" hidden="1" customHeight="1">
      <c r="B34" s="249"/>
      <c r="C34" s="248"/>
      <c r="D34" s="248"/>
      <c r="E34" s="248"/>
      <c r="F34" s="248"/>
      <c r="G34" s="248"/>
      <c r="H34" s="274"/>
      <c r="I34" s="274"/>
      <c r="J34" s="252"/>
      <c r="K34" s="249"/>
    </row>
    <row r="35" spans="2:29" ht="10.9" hidden="1" customHeight="1">
      <c r="B35" s="249"/>
      <c r="C35" s="276" t="s">
        <v>56</v>
      </c>
      <c r="D35" s="248"/>
      <c r="E35" s="248"/>
      <c r="F35" s="248"/>
      <c r="G35" s="248"/>
      <c r="H35" s="274"/>
      <c r="I35" s="274"/>
      <c r="J35" s="252"/>
      <c r="K35" s="249"/>
    </row>
    <row r="36" spans="2:29" ht="10.9" hidden="1" customHeight="1">
      <c r="B36" s="249"/>
      <c r="C36" s="287" t="s">
        <v>57</v>
      </c>
      <c r="D36" s="287"/>
      <c r="E36" s="287"/>
      <c r="F36" s="287"/>
      <c r="G36" s="287"/>
      <c r="H36" s="272" t="s">
        <v>51</v>
      </c>
      <c r="I36" s="284" t="e">
        <f>'x inserimento dati fissi'!AD9</f>
        <v>#N/A</v>
      </c>
      <c r="J36" s="252"/>
      <c r="K36" s="249"/>
    </row>
    <row r="37" spans="2:29" ht="10.9" hidden="1" customHeight="1">
      <c r="B37" s="249"/>
      <c r="C37" s="248" t="s">
        <v>58</v>
      </c>
      <c r="D37" s="248"/>
      <c r="E37" s="248"/>
      <c r="F37" s="248"/>
      <c r="G37" s="248"/>
      <c r="H37" s="274" t="s">
        <v>53</v>
      </c>
      <c r="I37" s="290">
        <f>'INSER. DATI'!C15</f>
        <v>0</v>
      </c>
      <c r="J37" s="252"/>
      <c r="K37" s="249"/>
      <c r="M37" s="74">
        <f>I37*I38</f>
        <v>0</v>
      </c>
    </row>
    <row r="38" spans="2:29" ht="10.9" hidden="1" customHeight="1">
      <c r="B38" s="249"/>
      <c r="C38" s="287" t="s">
        <v>59</v>
      </c>
      <c r="D38" s="287"/>
      <c r="E38" s="287"/>
      <c r="F38" s="287"/>
      <c r="G38" s="287"/>
      <c r="H38" s="287" t="s">
        <v>55</v>
      </c>
      <c r="I38" s="291">
        <f>'INSER. DATI'!C14</f>
        <v>1</v>
      </c>
      <c r="J38" s="252"/>
      <c r="K38" s="249"/>
    </row>
    <row r="39" spans="2:29" ht="12" hidden="1" customHeight="1">
      <c r="B39" s="249"/>
      <c r="C39" s="249"/>
      <c r="D39" s="249"/>
      <c r="E39" s="249"/>
      <c r="F39" s="249"/>
      <c r="G39" s="249"/>
      <c r="H39" s="249"/>
      <c r="I39" s="249"/>
      <c r="J39" s="252"/>
      <c r="K39" s="249"/>
    </row>
    <row r="40" spans="2:29" s="249" customFormat="1" ht="12" hidden="1" customHeight="1">
      <c r="C40" s="249" t="str">
        <f>IF('INSER. DATI'!C4="CL_101","Pannello montato orizzontalmente in testa al fanale",IF('INSER. DATI'!C4="CL_201",  "  Pannello montato orizzontalmente in testa al fanale","I PANNELLI VERRANNO MONTATI SUI 4 LATI DEL FANALE"    ))</f>
        <v>I PANNELLI VERRANNO MONTATI SUI 4 LATI DEL FANALE</v>
      </c>
      <c r="S40" s="248"/>
    </row>
    <row r="41" spans="2:29" ht="13.5" hidden="1" customHeight="1">
      <c r="C41" s="249" t="s">
        <v>60</v>
      </c>
      <c r="E41" s="239"/>
      <c r="F41" s="239"/>
      <c r="G41" s="239"/>
      <c r="H41" s="239"/>
      <c r="I41" s="239"/>
      <c r="J41" s="239"/>
      <c r="K41" s="239"/>
    </row>
    <row r="42" spans="2:29" ht="6" hidden="1" customHeight="1">
      <c r="C42" s="239"/>
      <c r="D42" s="239"/>
      <c r="E42" s="239"/>
      <c r="F42" s="239"/>
      <c r="G42" s="239"/>
      <c r="H42" s="239"/>
      <c r="I42" s="239"/>
      <c r="J42" s="239"/>
      <c r="K42" s="239"/>
    </row>
    <row r="43" spans="2:29" ht="9.9499999999999993" hidden="1" customHeight="1">
      <c r="B43" s="256"/>
      <c r="C43" s="256"/>
      <c r="D43" s="256"/>
      <c r="E43" s="257" t="s">
        <v>53</v>
      </c>
      <c r="F43" s="849" t="s">
        <v>61</v>
      </c>
      <c r="G43" s="846"/>
      <c r="H43" s="849" t="s">
        <v>21</v>
      </c>
      <c r="I43" s="846"/>
      <c r="J43" s="862" t="s">
        <v>62</v>
      </c>
      <c r="K43" s="846"/>
      <c r="L43" s="258" t="s">
        <v>63</v>
      </c>
      <c r="M43" s="258" t="s">
        <v>64</v>
      </c>
      <c r="N43" s="258"/>
      <c r="Z43" s="248" t="s">
        <v>65</v>
      </c>
      <c r="AA43" s="248" t="s">
        <v>66</v>
      </c>
      <c r="AB43" s="248" t="s">
        <v>67</v>
      </c>
      <c r="AC43" s="248" t="s">
        <v>68</v>
      </c>
    </row>
    <row r="44" spans="2:29" ht="9.9499999999999993" hidden="1" customHeight="1">
      <c r="B44" s="256"/>
      <c r="C44" s="259" t="s">
        <v>69</v>
      </c>
      <c r="D44" s="259"/>
      <c r="E44" s="260" t="e">
        <f>'INSER. DATI'!#REF!</f>
        <v>#REF!</v>
      </c>
      <c r="F44" s="848" t="e">
        <f>'INSER. DATI'!#REF!</f>
        <v>#REF!</v>
      </c>
      <c r="G44" s="846"/>
      <c r="H44" s="851" t="e">
        <f>'INSER. DATI'!#REF!</f>
        <v>#REF!</v>
      </c>
      <c r="I44" s="846"/>
      <c r="J44" s="261" t="e">
        <f>100/'x inserimento dati fissi'!$AD$3*(N44)/100</f>
        <v>#DIV/0!</v>
      </c>
      <c r="K44" s="262"/>
      <c r="L44" s="258" t="e">
        <f t="shared" ref="L44:L55" si="0">H44-F44</f>
        <v>#REF!</v>
      </c>
      <c r="M44" s="258" t="e">
        <f>N55-L44</f>
        <v>#REF!</v>
      </c>
      <c r="N44" s="258" t="e">
        <f>IF(M44&gt;$M$37,'x inserimento dati fissi'!$AD$3,M44)</f>
        <v>#REF!</v>
      </c>
      <c r="P44" s="237" t="e">
        <f>12+F44-H44</f>
        <v>#REF!</v>
      </c>
      <c r="Y44" s="260" t="str">
        <f t="shared" ref="Y44:Y55" si="1">C44</f>
        <v>Gennaio</v>
      </c>
      <c r="Z44" s="260">
        <f>'INSER. DATI'!C15</f>
        <v>0</v>
      </c>
      <c r="AA44" s="260" t="e">
        <f t="shared" ref="AA44:AA55" si="2">F44</f>
        <v>#REF!</v>
      </c>
      <c r="AB44" s="260" t="e">
        <f t="shared" ref="AB44:AB55" si="3">H44</f>
        <v>#REF!</v>
      </c>
      <c r="AC44" s="260" t="e">
        <f t="shared" ref="AC44:AC55" si="4">AA44-AB44</f>
        <v>#REF!</v>
      </c>
    </row>
    <row r="45" spans="2:29" ht="9.9499999999999993" hidden="1" customHeight="1">
      <c r="B45" s="256"/>
      <c r="C45" s="256" t="s">
        <v>70</v>
      </c>
      <c r="D45" s="256"/>
      <c r="E45" s="263" t="e">
        <f>'INSER. DATI'!#REF!</f>
        <v>#REF!</v>
      </c>
      <c r="F45" s="852" t="e">
        <f>'INSER. DATI'!#REF!</f>
        <v>#REF!</v>
      </c>
      <c r="G45" s="846"/>
      <c r="H45" s="858" t="e">
        <f>'INSER. DATI'!#REF!</f>
        <v>#REF!</v>
      </c>
      <c r="I45" s="846"/>
      <c r="J45" s="264" t="e">
        <f>100/'x inserimento dati fissi'!$AD$3*(N45)/100</f>
        <v>#DIV/0!</v>
      </c>
      <c r="K45" s="264"/>
      <c r="L45" s="258" t="e">
        <f t="shared" si="0"/>
        <v>#REF!</v>
      </c>
      <c r="M45" s="258" t="e">
        <f>N44-L45</f>
        <v>#REF!</v>
      </c>
      <c r="N45" s="258" t="e">
        <f>IF(M45&gt;$M$37,'x inserimento dati fissi'!$AD$3,M45)</f>
        <v>#REF!</v>
      </c>
      <c r="P45" s="237" t="e">
        <f>P44+F45-H45</f>
        <v>#REF!</v>
      </c>
      <c r="Y45" s="263" t="str">
        <f t="shared" si="1"/>
        <v>Febbraio</v>
      </c>
      <c r="Z45" s="263">
        <f t="shared" ref="Z45:Z55" si="5">Z44</f>
        <v>0</v>
      </c>
      <c r="AA45" s="263" t="e">
        <f t="shared" si="2"/>
        <v>#REF!</v>
      </c>
      <c r="AB45" s="263" t="e">
        <f t="shared" si="3"/>
        <v>#REF!</v>
      </c>
      <c r="AC45" s="263" t="e">
        <f t="shared" si="4"/>
        <v>#REF!</v>
      </c>
    </row>
    <row r="46" spans="2:29" ht="9.9499999999999993" hidden="1" customHeight="1">
      <c r="B46" s="256"/>
      <c r="C46" s="259" t="s">
        <v>71</v>
      </c>
      <c r="D46" s="259"/>
      <c r="E46" s="260" t="e">
        <f>'INSER. DATI'!#REF!</f>
        <v>#REF!</v>
      </c>
      <c r="F46" s="848" t="e">
        <f>'INSER. DATI'!#REF!</f>
        <v>#REF!</v>
      </c>
      <c r="G46" s="846"/>
      <c r="H46" s="851" t="e">
        <f>'INSER. DATI'!#REF!</f>
        <v>#REF!</v>
      </c>
      <c r="I46" s="846"/>
      <c r="J46" s="261" t="e">
        <f>100/'x inserimento dati fissi'!$AD$3*(N46)/100</f>
        <v>#DIV/0!</v>
      </c>
      <c r="K46" s="265"/>
      <c r="L46" s="258" t="e">
        <f t="shared" si="0"/>
        <v>#REF!</v>
      </c>
      <c r="M46" s="258" t="e">
        <f>N45-L46</f>
        <v>#REF!</v>
      </c>
      <c r="N46" s="258" t="e">
        <f>IF(M46&gt;$M$37,'x inserimento dati fissi'!$AD$3,M46)</f>
        <v>#REF!</v>
      </c>
      <c r="Y46" s="260" t="str">
        <f t="shared" si="1"/>
        <v>Marzo</v>
      </c>
      <c r="Z46" s="260">
        <f t="shared" si="5"/>
        <v>0</v>
      </c>
      <c r="AA46" s="260" t="e">
        <f t="shared" si="2"/>
        <v>#REF!</v>
      </c>
      <c r="AB46" s="260" t="e">
        <f t="shared" si="3"/>
        <v>#REF!</v>
      </c>
      <c r="AC46" s="260" t="e">
        <f t="shared" si="4"/>
        <v>#REF!</v>
      </c>
    </row>
    <row r="47" spans="2:29" ht="9.9499999999999993" hidden="1" customHeight="1">
      <c r="B47" s="256"/>
      <c r="C47" s="256" t="s">
        <v>72</v>
      </c>
      <c r="D47" s="256"/>
      <c r="E47" s="263" t="e">
        <f>'INSER. DATI'!#REF!</f>
        <v>#REF!</v>
      </c>
      <c r="F47" s="852" t="e">
        <f>'INSER. DATI'!#REF!</f>
        <v>#REF!</v>
      </c>
      <c r="G47" s="846"/>
      <c r="H47" s="858" t="e">
        <f>'INSER. DATI'!#REF!</f>
        <v>#REF!</v>
      </c>
      <c r="I47" s="846"/>
      <c r="J47" s="264" t="e">
        <f>100/'x inserimento dati fissi'!$AD$3*(N47)/100</f>
        <v>#DIV/0!</v>
      </c>
      <c r="K47" s="264"/>
      <c r="L47" s="258" t="e">
        <f t="shared" si="0"/>
        <v>#REF!</v>
      </c>
      <c r="M47" s="258" t="e">
        <f>N46-L47</f>
        <v>#REF!</v>
      </c>
      <c r="N47" s="258" t="e">
        <f>IF(M47&gt;$M$37,'x inserimento dati fissi'!$AD$3,M47)</f>
        <v>#REF!</v>
      </c>
      <c r="Y47" s="263" t="str">
        <f t="shared" si="1"/>
        <v>Aprile</v>
      </c>
      <c r="Z47" s="263">
        <f t="shared" si="5"/>
        <v>0</v>
      </c>
      <c r="AA47" s="263" t="e">
        <f t="shared" si="2"/>
        <v>#REF!</v>
      </c>
      <c r="AB47" s="263" t="e">
        <f t="shared" si="3"/>
        <v>#REF!</v>
      </c>
      <c r="AC47" s="263" t="e">
        <f t="shared" si="4"/>
        <v>#REF!</v>
      </c>
    </row>
    <row r="48" spans="2:29" ht="9.9499999999999993" hidden="1" customHeight="1">
      <c r="B48" s="256"/>
      <c r="C48" s="259" t="s">
        <v>73</v>
      </c>
      <c r="D48" s="259"/>
      <c r="E48" s="260" t="e">
        <f>'INSER. DATI'!#REF!</f>
        <v>#REF!</v>
      </c>
      <c r="F48" s="848" t="e">
        <f>'INSER. DATI'!#REF!</f>
        <v>#REF!</v>
      </c>
      <c r="G48" s="846"/>
      <c r="H48" s="851" t="e">
        <f>'INSER. DATI'!#REF!</f>
        <v>#REF!</v>
      </c>
      <c r="I48" s="846"/>
      <c r="J48" s="261" t="e">
        <f>100/'x inserimento dati fissi'!$AD$3*(N48)/100</f>
        <v>#DIV/0!</v>
      </c>
      <c r="K48" s="265"/>
      <c r="L48" s="258" t="e">
        <f t="shared" si="0"/>
        <v>#REF!</v>
      </c>
      <c r="M48" s="258" t="e">
        <f>N47-L48</f>
        <v>#REF!</v>
      </c>
      <c r="N48" s="258" t="e">
        <f>IF(M48&gt;$M$37,'x inserimento dati fissi'!$AD$3,M48)</f>
        <v>#REF!</v>
      </c>
      <c r="Y48" s="260" t="str">
        <f t="shared" si="1"/>
        <v>Maggio</v>
      </c>
      <c r="Z48" s="260">
        <f t="shared" si="5"/>
        <v>0</v>
      </c>
      <c r="AA48" s="260" t="e">
        <f t="shared" si="2"/>
        <v>#REF!</v>
      </c>
      <c r="AB48" s="260" t="e">
        <f t="shared" si="3"/>
        <v>#REF!</v>
      </c>
      <c r="AC48" s="260" t="e">
        <f t="shared" si="4"/>
        <v>#REF!</v>
      </c>
    </row>
    <row r="49" spans="2:29" ht="9.9499999999999993" hidden="1" customHeight="1">
      <c r="B49" s="256"/>
      <c r="C49" s="256" t="s">
        <v>74</v>
      </c>
      <c r="D49" s="256"/>
      <c r="E49" s="263" t="e">
        <f>'INSER. DATI'!#REF!</f>
        <v>#REF!</v>
      </c>
      <c r="F49" s="852" t="e">
        <f>'INSER. DATI'!#REF!</f>
        <v>#REF!</v>
      </c>
      <c r="G49" s="846"/>
      <c r="H49" s="858" t="e">
        <f>'INSER. DATI'!#REF!</f>
        <v>#REF!</v>
      </c>
      <c r="I49" s="846"/>
      <c r="J49" s="264" t="e">
        <f>100/'x inserimento dati fissi'!$AD$3*(N49)/100</f>
        <v>#DIV/0!</v>
      </c>
      <c r="K49" s="264"/>
      <c r="L49" s="266" t="e">
        <f t="shared" si="0"/>
        <v>#REF!</v>
      </c>
      <c r="M49" s="266" t="e">
        <f>I37*I38-L49</f>
        <v>#REF!</v>
      </c>
      <c r="N49" s="258" t="e">
        <f>IF(M49&gt;$M$37,'x inserimento dati fissi'!$AD$3,M49)</f>
        <v>#REF!</v>
      </c>
      <c r="O49" s="267"/>
      <c r="Y49" s="263" t="str">
        <f t="shared" si="1"/>
        <v>Giugno</v>
      </c>
      <c r="Z49" s="263">
        <f t="shared" si="5"/>
        <v>0</v>
      </c>
      <c r="AA49" s="263" t="e">
        <f t="shared" si="2"/>
        <v>#REF!</v>
      </c>
      <c r="AB49" s="263" t="e">
        <f t="shared" si="3"/>
        <v>#REF!</v>
      </c>
      <c r="AC49" s="263" t="e">
        <f t="shared" si="4"/>
        <v>#REF!</v>
      </c>
    </row>
    <row r="50" spans="2:29" ht="9.9499999999999993" hidden="1" customHeight="1">
      <c r="B50" s="256"/>
      <c r="C50" s="259" t="s">
        <v>75</v>
      </c>
      <c r="D50" s="259"/>
      <c r="E50" s="260" t="e">
        <f>'INSER. DATI'!#REF!</f>
        <v>#REF!</v>
      </c>
      <c r="F50" s="848" t="e">
        <f>'INSER. DATI'!#REF!</f>
        <v>#REF!</v>
      </c>
      <c r="G50" s="846"/>
      <c r="H50" s="851" t="e">
        <f>'INSER. DATI'!#REF!</f>
        <v>#REF!</v>
      </c>
      <c r="I50" s="846"/>
      <c r="J50" s="261" t="e">
        <f>100/'x inserimento dati fissi'!$AD$3*(N50)/100</f>
        <v>#DIV/0!</v>
      </c>
      <c r="K50" s="265"/>
      <c r="L50" s="258" t="e">
        <f t="shared" si="0"/>
        <v>#REF!</v>
      </c>
      <c r="M50" s="258" t="e">
        <f t="shared" ref="M50:M55" si="6">N49-L50</f>
        <v>#REF!</v>
      </c>
      <c r="N50" s="258" t="e">
        <f>IF(M50&gt;$M$37,'x inserimento dati fissi'!$AD$3,M50)</f>
        <v>#REF!</v>
      </c>
      <c r="Y50" s="260" t="str">
        <f t="shared" si="1"/>
        <v>Luglio</v>
      </c>
      <c r="Z50" s="260">
        <f t="shared" si="5"/>
        <v>0</v>
      </c>
      <c r="AA50" s="260" t="e">
        <f t="shared" si="2"/>
        <v>#REF!</v>
      </c>
      <c r="AB50" s="260" t="e">
        <f t="shared" si="3"/>
        <v>#REF!</v>
      </c>
      <c r="AC50" s="260" t="e">
        <f t="shared" si="4"/>
        <v>#REF!</v>
      </c>
    </row>
    <row r="51" spans="2:29" ht="9.9499999999999993" hidden="1" customHeight="1">
      <c r="B51" s="256"/>
      <c r="C51" s="256" t="s">
        <v>76</v>
      </c>
      <c r="D51" s="256"/>
      <c r="E51" s="263" t="e">
        <f>'INSER. DATI'!#REF!</f>
        <v>#REF!</v>
      </c>
      <c r="F51" s="852" t="e">
        <f>'INSER. DATI'!#REF!</f>
        <v>#REF!</v>
      </c>
      <c r="G51" s="846"/>
      <c r="H51" s="858" t="e">
        <f>'INSER. DATI'!#REF!</f>
        <v>#REF!</v>
      </c>
      <c r="I51" s="846"/>
      <c r="J51" s="264" t="e">
        <f>100/'x inserimento dati fissi'!$AD$3*(N51)/100</f>
        <v>#DIV/0!</v>
      </c>
      <c r="K51" s="264"/>
      <c r="L51" s="258" t="e">
        <f t="shared" si="0"/>
        <v>#REF!</v>
      </c>
      <c r="M51" s="258" t="e">
        <f t="shared" si="6"/>
        <v>#REF!</v>
      </c>
      <c r="N51" s="258" t="e">
        <f>IF(M51&gt;$M$37,'x inserimento dati fissi'!$AD$3,M51)</f>
        <v>#REF!</v>
      </c>
      <c r="Y51" s="263" t="str">
        <f t="shared" si="1"/>
        <v>Agosto</v>
      </c>
      <c r="Z51" s="263">
        <f t="shared" si="5"/>
        <v>0</v>
      </c>
      <c r="AA51" s="263" t="e">
        <f t="shared" si="2"/>
        <v>#REF!</v>
      </c>
      <c r="AB51" s="263" t="e">
        <f t="shared" si="3"/>
        <v>#REF!</v>
      </c>
      <c r="AC51" s="263" t="e">
        <f t="shared" si="4"/>
        <v>#REF!</v>
      </c>
    </row>
    <row r="52" spans="2:29" ht="9.9499999999999993" hidden="1" customHeight="1">
      <c r="B52" s="256"/>
      <c r="C52" s="259" t="s">
        <v>77</v>
      </c>
      <c r="D52" s="259"/>
      <c r="E52" s="260" t="e">
        <f>'INSER. DATI'!#REF!</f>
        <v>#REF!</v>
      </c>
      <c r="F52" s="848" t="e">
        <f>'INSER. DATI'!#REF!</f>
        <v>#REF!</v>
      </c>
      <c r="G52" s="846"/>
      <c r="H52" s="851" t="e">
        <f>'INSER. DATI'!#REF!</f>
        <v>#REF!</v>
      </c>
      <c r="I52" s="846"/>
      <c r="J52" s="261" t="e">
        <f>100/'x inserimento dati fissi'!$AD$3*(N52)/100</f>
        <v>#DIV/0!</v>
      </c>
      <c r="K52" s="265"/>
      <c r="L52" s="258" t="e">
        <f t="shared" si="0"/>
        <v>#REF!</v>
      </c>
      <c r="M52" s="258" t="e">
        <f t="shared" si="6"/>
        <v>#REF!</v>
      </c>
      <c r="N52" s="258" t="e">
        <f>IF(M52&gt;$M$37,'x inserimento dati fissi'!$AD$3,M52)</f>
        <v>#REF!</v>
      </c>
      <c r="Y52" s="260" t="str">
        <f t="shared" si="1"/>
        <v>Settembre</v>
      </c>
      <c r="Z52" s="260">
        <f t="shared" si="5"/>
        <v>0</v>
      </c>
      <c r="AA52" s="260" t="e">
        <f t="shared" si="2"/>
        <v>#REF!</v>
      </c>
      <c r="AB52" s="260" t="e">
        <f t="shared" si="3"/>
        <v>#REF!</v>
      </c>
      <c r="AC52" s="260" t="e">
        <f t="shared" si="4"/>
        <v>#REF!</v>
      </c>
    </row>
    <row r="53" spans="2:29" ht="9.9499999999999993" hidden="1" customHeight="1">
      <c r="B53" s="256"/>
      <c r="C53" s="256" t="s">
        <v>78</v>
      </c>
      <c r="D53" s="256"/>
      <c r="E53" s="263" t="e">
        <f>'INSER. DATI'!#REF!</f>
        <v>#REF!</v>
      </c>
      <c r="F53" s="852" t="e">
        <f>'INSER. DATI'!#REF!</f>
        <v>#REF!</v>
      </c>
      <c r="G53" s="846"/>
      <c r="H53" s="858" t="e">
        <f>'INSER. DATI'!#REF!</f>
        <v>#REF!</v>
      </c>
      <c r="I53" s="846"/>
      <c r="J53" s="264" t="e">
        <f>100/'x inserimento dati fissi'!$AD$3*(N53)/100</f>
        <v>#DIV/0!</v>
      </c>
      <c r="K53" s="264"/>
      <c r="L53" s="258" t="e">
        <f t="shared" si="0"/>
        <v>#REF!</v>
      </c>
      <c r="M53" s="258" t="e">
        <f t="shared" si="6"/>
        <v>#REF!</v>
      </c>
      <c r="N53" s="258" t="e">
        <f>IF(M53&gt;$M$37,'x inserimento dati fissi'!$AD$3,M53)</f>
        <v>#REF!</v>
      </c>
      <c r="Y53" s="263" t="str">
        <f t="shared" si="1"/>
        <v>Ottobre</v>
      </c>
      <c r="Z53" s="263">
        <f t="shared" si="5"/>
        <v>0</v>
      </c>
      <c r="AA53" s="263" t="e">
        <f t="shared" si="2"/>
        <v>#REF!</v>
      </c>
      <c r="AB53" s="263" t="e">
        <f t="shared" si="3"/>
        <v>#REF!</v>
      </c>
      <c r="AC53" s="263" t="e">
        <f t="shared" si="4"/>
        <v>#REF!</v>
      </c>
    </row>
    <row r="54" spans="2:29" ht="9.9499999999999993" hidden="1" customHeight="1">
      <c r="B54" s="256"/>
      <c r="C54" s="259" t="s">
        <v>79</v>
      </c>
      <c r="D54" s="259"/>
      <c r="E54" s="260" t="e">
        <f>'INSER. DATI'!#REF!</f>
        <v>#REF!</v>
      </c>
      <c r="F54" s="848" t="e">
        <f>'INSER. DATI'!#REF!</f>
        <v>#REF!</v>
      </c>
      <c r="G54" s="846"/>
      <c r="H54" s="851" t="e">
        <f>'INSER. DATI'!#REF!</f>
        <v>#REF!</v>
      </c>
      <c r="I54" s="846"/>
      <c r="J54" s="261" t="e">
        <f>100/'x inserimento dati fissi'!$AD$3*(N54)/100</f>
        <v>#DIV/0!</v>
      </c>
      <c r="K54" s="265"/>
      <c r="L54" s="258" t="e">
        <f t="shared" si="0"/>
        <v>#REF!</v>
      </c>
      <c r="M54" s="258" t="e">
        <f t="shared" si="6"/>
        <v>#REF!</v>
      </c>
      <c r="N54" s="258" t="e">
        <f>IF(M54&gt;$M$37,'x inserimento dati fissi'!$AD$3,M54)</f>
        <v>#REF!</v>
      </c>
      <c r="Y54" s="260" t="str">
        <f t="shared" si="1"/>
        <v>Novembre</v>
      </c>
      <c r="Z54" s="260">
        <f t="shared" si="5"/>
        <v>0</v>
      </c>
      <c r="AA54" s="260" t="e">
        <f t="shared" si="2"/>
        <v>#REF!</v>
      </c>
      <c r="AB54" s="260" t="e">
        <f t="shared" si="3"/>
        <v>#REF!</v>
      </c>
      <c r="AC54" s="260" t="e">
        <f t="shared" si="4"/>
        <v>#REF!</v>
      </c>
    </row>
    <row r="55" spans="2:29" ht="9.9499999999999993" hidden="1" customHeight="1">
      <c r="B55" s="256"/>
      <c r="C55" s="256" t="s">
        <v>80</v>
      </c>
      <c r="D55" s="256"/>
      <c r="E55" s="263" t="e">
        <f>'INSER. DATI'!#REF!</f>
        <v>#REF!</v>
      </c>
      <c r="F55" s="852" t="e">
        <f>'INSER. DATI'!#REF!</f>
        <v>#REF!</v>
      </c>
      <c r="G55" s="846"/>
      <c r="H55" s="858" t="e">
        <f>'INSER. DATI'!#REF!</f>
        <v>#REF!</v>
      </c>
      <c r="I55" s="846"/>
      <c r="J55" s="264" t="e">
        <f>100/'x inserimento dati fissi'!$AD$3*(N55)/100</f>
        <v>#DIV/0!</v>
      </c>
      <c r="K55" s="264"/>
      <c r="L55" s="258" t="e">
        <f t="shared" si="0"/>
        <v>#REF!</v>
      </c>
      <c r="M55" s="258" t="e">
        <f t="shared" si="6"/>
        <v>#REF!</v>
      </c>
      <c r="N55" s="258" t="e">
        <f>IF(M55&gt;$M$37,'x inserimento dati fissi'!$AD$3,M55)</f>
        <v>#REF!</v>
      </c>
      <c r="Y55" s="263" t="str">
        <f t="shared" si="1"/>
        <v>Dicembre</v>
      </c>
      <c r="Z55" s="263">
        <f t="shared" si="5"/>
        <v>0</v>
      </c>
      <c r="AA55" s="263" t="e">
        <f t="shared" si="2"/>
        <v>#REF!</v>
      </c>
      <c r="AB55" s="263" t="e">
        <f t="shared" si="3"/>
        <v>#REF!</v>
      </c>
      <c r="AC55" s="263" t="e">
        <f t="shared" si="4"/>
        <v>#REF!</v>
      </c>
    </row>
    <row r="56" spans="2:29" ht="6.75" hidden="1" customHeight="1">
      <c r="B56" s="249"/>
      <c r="C56" s="249"/>
      <c r="D56" s="249"/>
      <c r="E56" s="249"/>
      <c r="F56" s="249"/>
      <c r="G56" s="249"/>
      <c r="H56" s="249"/>
      <c r="I56" s="249"/>
      <c r="J56" s="249">
        <v>0</v>
      </c>
      <c r="K56" s="249"/>
    </row>
    <row r="57" spans="2:29" ht="12" hidden="1" customHeight="1">
      <c r="B57" s="249"/>
      <c r="C57" s="255" t="s">
        <v>81</v>
      </c>
      <c r="D57" s="254" t="e">
        <f>'INSER. DATI'!#REF!</f>
        <v>#REF!</v>
      </c>
      <c r="E57" s="254"/>
      <c r="F57" s="254"/>
      <c r="G57" s="254"/>
      <c r="H57" s="249"/>
      <c r="I57" s="249"/>
      <c r="J57" s="249"/>
      <c r="K57" s="249"/>
    </row>
    <row r="58" spans="2:29" ht="12" hidden="1" customHeight="1">
      <c r="B58" s="249"/>
      <c r="C58" s="251" t="s">
        <v>82</v>
      </c>
      <c r="D58" s="249" t="s">
        <v>83</v>
      </c>
      <c r="E58" s="249"/>
      <c r="F58" s="249"/>
      <c r="G58" s="249"/>
      <c r="H58" s="249"/>
      <c r="I58" s="249"/>
      <c r="J58" s="249"/>
      <c r="K58" s="249"/>
    </row>
    <row r="59" spans="2:29" ht="12" hidden="1" customHeight="1">
      <c r="B59" s="249"/>
      <c r="C59" s="255" t="s">
        <v>84</v>
      </c>
      <c r="D59" s="254" t="s">
        <v>85</v>
      </c>
      <c r="E59" s="254"/>
      <c r="F59" s="254"/>
      <c r="G59" s="254"/>
      <c r="H59" s="249"/>
      <c r="I59" s="249"/>
      <c r="J59" s="249"/>
      <c r="K59" s="249"/>
    </row>
    <row r="60" spans="2:29" ht="12" hidden="1" customHeight="1">
      <c r="B60" s="249"/>
      <c r="C60" s="251" t="s">
        <v>86</v>
      </c>
      <c r="D60" s="249" t="s">
        <v>87</v>
      </c>
      <c r="E60" s="249"/>
      <c r="F60" s="249"/>
      <c r="G60" s="249"/>
      <c r="H60" s="249"/>
      <c r="I60" s="249"/>
      <c r="J60" s="249"/>
      <c r="K60" s="249"/>
    </row>
    <row r="61" spans="2:29" ht="12" hidden="1" customHeight="1">
      <c r="B61" s="249"/>
      <c r="C61" s="249"/>
      <c r="D61" s="249"/>
      <c r="E61" s="249"/>
      <c r="F61" s="249"/>
      <c r="G61" s="249"/>
      <c r="H61" s="249"/>
      <c r="I61" s="249"/>
      <c r="J61" s="249"/>
      <c r="K61" s="249"/>
    </row>
    <row r="62" spans="2:29" ht="18.75" customHeight="1">
      <c r="B62" s="249"/>
      <c r="C62" s="301" t="s">
        <v>88</v>
      </c>
      <c r="D62" s="250"/>
      <c r="E62" s="250"/>
      <c r="F62" s="250"/>
      <c r="G62" s="250" t="s">
        <v>89</v>
      </c>
      <c r="H62" s="485" t="e">
        <f>VLOOKUP(DATI!R17,'X OK'!N7:P362,3)</f>
        <v>#N/A</v>
      </c>
      <c r="I62" s="859"/>
      <c r="J62" s="846"/>
      <c r="K62" s="249"/>
    </row>
    <row r="63" spans="2:29" ht="26.25" customHeight="1">
      <c r="B63" s="249"/>
      <c r="C63" s="301" t="s">
        <v>90</v>
      </c>
      <c r="D63" s="251"/>
      <c r="E63" s="251"/>
      <c r="F63" s="251"/>
      <c r="G63" s="250"/>
      <c r="H63" s="310" t="e">
        <f>VLOOKUP(DATI!S17,'X OK'!I5:K362,3,TRUE)</f>
        <v>#N/A</v>
      </c>
      <c r="I63" s="269"/>
      <c r="J63" s="270"/>
      <c r="K63" s="249"/>
    </row>
    <row r="65" spans="4:10">
      <c r="D65" s="864" t="e">
        <f>'X OK'!D20</f>
        <v>#N/A</v>
      </c>
      <c r="E65" s="846"/>
      <c r="F65" s="846"/>
      <c r="G65" s="846"/>
      <c r="H65" s="846"/>
      <c r="I65" s="846"/>
      <c r="J65" s="846"/>
    </row>
    <row r="66" spans="4:10">
      <c r="D66" s="846"/>
      <c r="E66" s="846"/>
      <c r="F66" s="846"/>
      <c r="G66" s="846"/>
      <c r="H66" s="846"/>
      <c r="I66" s="846"/>
      <c r="J66" s="846"/>
    </row>
    <row r="67" spans="4:10" hidden="1"/>
    <row r="68" spans="4:10" hidden="1"/>
    <row r="69" spans="4:10" hidden="1"/>
    <row r="91" spans="2:9">
      <c r="B91" s="74" t="s">
        <v>91</v>
      </c>
      <c r="D91" s="74" t="str">
        <f>'INSER. DATI'!B28</f>
        <v>asq2</v>
      </c>
      <c r="F91" s="75" t="s">
        <v>92</v>
      </c>
      <c r="G91" s="855" t="str">
        <f>'INSER. DATI'!C28</f>
        <v>aaa</v>
      </c>
      <c r="H91" s="846"/>
      <c r="I91" s="846"/>
    </row>
  </sheetData>
  <mergeCells count="53">
    <mergeCell ref="H53:I53"/>
    <mergeCell ref="D28:J28"/>
    <mergeCell ref="F11:G11"/>
    <mergeCell ref="F54:G54"/>
    <mergeCell ref="F10:G10"/>
    <mergeCell ref="H54:I54"/>
    <mergeCell ref="F18:G18"/>
    <mergeCell ref="H49:I49"/>
    <mergeCell ref="F45:G45"/>
    <mergeCell ref="H51:I51"/>
    <mergeCell ref="D65:J66"/>
    <mergeCell ref="F3:I4"/>
    <mergeCell ref="H43:I43"/>
    <mergeCell ref="F25:G25"/>
    <mergeCell ref="B24:E24"/>
    <mergeCell ref="H50:I50"/>
    <mergeCell ref="H55:I55"/>
    <mergeCell ref="H44:I44"/>
    <mergeCell ref="F21:G21"/>
    <mergeCell ref="F7:J7"/>
    <mergeCell ref="F55:G55"/>
    <mergeCell ref="F24:G24"/>
    <mergeCell ref="H46:I46"/>
    <mergeCell ref="F15:K15"/>
    <mergeCell ref="F51:G51"/>
    <mergeCell ref="F20:G20"/>
    <mergeCell ref="G91:I91"/>
    <mergeCell ref="F47:G47"/>
    <mergeCell ref="H16:I16"/>
    <mergeCell ref="X17:Y17"/>
    <mergeCell ref="H45:I45"/>
    <mergeCell ref="I62:J62"/>
    <mergeCell ref="F23:G23"/>
    <mergeCell ref="F46:G46"/>
    <mergeCell ref="F22:G22"/>
    <mergeCell ref="H47:I47"/>
    <mergeCell ref="J43:K43"/>
    <mergeCell ref="F53:G53"/>
    <mergeCell ref="F50:G50"/>
    <mergeCell ref="F19:I19"/>
    <mergeCell ref="H52:I52"/>
    <mergeCell ref="X18:Y18"/>
    <mergeCell ref="F5:I5"/>
    <mergeCell ref="F27:G27"/>
    <mergeCell ref="F52:G52"/>
    <mergeCell ref="F43:G43"/>
    <mergeCell ref="B7:D22"/>
    <mergeCell ref="F48:G48"/>
    <mergeCell ref="H48:I48"/>
    <mergeCell ref="F49:G49"/>
    <mergeCell ref="F44:G44"/>
    <mergeCell ref="G8:I9"/>
    <mergeCell ref="F17:G17"/>
  </mergeCells>
  <conditionalFormatting sqref="I63">
    <cfRule type="iconSet" priority="2">
      <iconSet iconSet="3Symbols2">
        <cfvo type="percent" val="0"/>
        <cfvo type="num" val="1"/>
        <cfvo type="num" val="1.1499999999999999"/>
      </iconSet>
    </cfRule>
  </conditionalFormatting>
  <pageMargins left="0" right="0.47244094488188981" top="0" bottom="0" header="0.11811023622047249" footer="0"/>
  <pageSetup paperSize="9" orientation="portrait" horizontalDpi="4294967293" r:id="rId1"/>
  <headerFooter>
    <oddFooter>&amp;L&amp;7 CAL_ SOL_  019-001-25  rev05 (27-11-25) &amp;C&amp;8        &amp;R&amp;7 &amp;D  _  MK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31"/>
  <dimension ref="A1:AN139"/>
  <sheetViews>
    <sheetView topLeftCell="A95" zoomScale="98" zoomScaleNormal="98" workbookViewId="0">
      <pane ySplit="1" topLeftCell="A105" activePane="bottomLeft" state="frozen"/>
      <selection activeCell="A95" sqref="A95"/>
      <selection pane="bottomLeft" activeCell="A96" sqref="A96:XFD139"/>
    </sheetView>
  </sheetViews>
  <sheetFormatPr defaultColWidth="9.140625" defaultRowHeight="12.75"/>
  <cols>
    <col min="1" max="1" width="3.5703125" style="74" customWidth="1"/>
    <col min="2" max="2" width="6.28515625" style="74" customWidth="1"/>
    <col min="3" max="3" width="3.42578125" style="74" customWidth="1"/>
    <col min="4" max="4" width="14.5703125" style="74" customWidth="1"/>
    <col min="5" max="5" width="3.85546875" style="74" customWidth="1"/>
    <col min="6" max="6" width="16.7109375" style="74" customWidth="1"/>
    <col min="7" max="7" width="14.42578125" style="74" customWidth="1"/>
    <col min="8" max="8" width="9.5703125" style="74" customWidth="1"/>
    <col min="9" max="9" width="17.85546875" style="74" customWidth="1"/>
    <col min="10" max="10" width="10.28515625" style="74" hidden="1" customWidth="1"/>
    <col min="11" max="11" width="11.5703125" style="74" hidden="1" customWidth="1"/>
    <col min="12" max="16" width="9.140625" style="74" hidden="1" customWidth="1"/>
    <col min="17" max="17" width="8.85546875" style="74" hidden="1" customWidth="1"/>
    <col min="18" max="18" width="12.5703125" style="74" hidden="1" customWidth="1"/>
    <col min="19" max="19" width="24.42578125" style="248" hidden="1" customWidth="1"/>
    <col min="20" max="23" width="9.140625" style="74" hidden="1" customWidth="1"/>
    <col min="24" max="24" width="8.85546875" style="74" hidden="1" customWidth="1"/>
    <col min="25" max="26" width="9.140625" style="74" hidden="1" customWidth="1"/>
    <col min="27" max="27" width="11.85546875" style="74" hidden="1" customWidth="1"/>
    <col min="28" max="28" width="10.140625" style="74" customWidth="1"/>
    <col min="29" max="29" width="51.42578125" style="74" hidden="1" customWidth="1"/>
    <col min="30" max="30" width="9.140625" style="74" customWidth="1"/>
    <col min="31" max="32" width="8.85546875" style="74" customWidth="1"/>
    <col min="33" max="34" width="8.85546875" style="74" hidden="1" customWidth="1"/>
    <col min="35" max="35" width="12.28515625" style="74" hidden="1" customWidth="1"/>
    <col min="36" max="36" width="8.85546875" style="74" hidden="1" customWidth="1"/>
    <col min="37" max="37" width="8.85546875" style="74" customWidth="1"/>
    <col min="38" max="65" width="9.140625" style="74" customWidth="1"/>
    <col min="66" max="16384" width="9.140625" style="74"/>
  </cols>
  <sheetData>
    <row r="1" spans="1:40" ht="23.45" hidden="1" customHeight="1"/>
    <row r="2" spans="1:40" ht="21.6" customHeight="1">
      <c r="A2" s="74" t="s">
        <v>1122</v>
      </c>
      <c r="F2" s="693"/>
      <c r="G2" s="693"/>
      <c r="H2" s="693"/>
      <c r="I2" s="693"/>
      <c r="J2" s="693"/>
      <c r="K2" s="693"/>
    </row>
    <row r="3" spans="1:40" ht="12.75" customHeight="1">
      <c r="F3" s="865" t="s">
        <v>0</v>
      </c>
      <c r="G3" s="846"/>
      <c r="H3" s="846"/>
      <c r="I3" s="846"/>
      <c r="J3" s="693"/>
      <c r="K3" s="693"/>
    </row>
    <row r="4" spans="1:40" ht="12.75" customHeight="1">
      <c r="F4" s="846"/>
      <c r="G4" s="846"/>
      <c r="H4" s="846"/>
      <c r="I4" s="846"/>
      <c r="J4" s="693"/>
      <c r="K4" s="693"/>
    </row>
    <row r="5" spans="1:40" ht="24.75" customHeight="1">
      <c r="F5" s="845" t="s">
        <v>22</v>
      </c>
      <c r="G5" s="846"/>
      <c r="H5" s="846"/>
      <c r="I5" s="846"/>
      <c r="J5" s="243"/>
      <c r="R5" s="304"/>
      <c r="S5" s="683"/>
      <c r="T5" s="303"/>
      <c r="U5" s="303"/>
      <c r="AI5" s="244" t="s">
        <v>1</v>
      </c>
    </row>
    <row r="6" spans="1:40" ht="12.75" customHeight="1">
      <c r="B6" s="301" t="s">
        <v>2</v>
      </c>
      <c r="C6" s="301"/>
      <c r="D6" s="301" t="s">
        <v>22</v>
      </c>
      <c r="R6" s="303"/>
      <c r="S6" s="684"/>
      <c r="T6" s="303"/>
      <c r="U6" s="303"/>
    </row>
    <row r="7" spans="1:40" ht="12.75" customHeight="1">
      <c r="B7" s="850" t="s">
        <v>15</v>
      </c>
      <c r="C7" s="846"/>
      <c r="D7" s="846"/>
      <c r="E7" s="306"/>
      <c r="F7" s="868" t="s">
        <v>3</v>
      </c>
      <c r="G7" s="846"/>
      <c r="H7" s="846"/>
      <c r="I7" s="846"/>
      <c r="J7" s="846"/>
      <c r="R7" s="303"/>
      <c r="S7" s="684"/>
      <c r="T7" s="303"/>
      <c r="U7" s="303"/>
    </row>
    <row r="8" spans="1:40" ht="10.15" customHeight="1">
      <c r="B8" s="846"/>
      <c r="C8" s="846"/>
      <c r="D8" s="846"/>
      <c r="E8" s="306"/>
      <c r="F8" s="245"/>
      <c r="G8" s="853" t="s">
        <v>1123</v>
      </c>
      <c r="H8" s="846"/>
      <c r="I8" s="846"/>
      <c r="J8" s="246"/>
      <c r="R8" s="303"/>
      <c r="S8" s="684"/>
      <c r="T8" s="303"/>
      <c r="U8" s="303"/>
    </row>
    <row r="9" spans="1:40" ht="18" customHeight="1">
      <c r="B9" s="846"/>
      <c r="C9" s="846"/>
      <c r="D9" s="846"/>
      <c r="E9" s="306"/>
      <c r="F9" s="245"/>
      <c r="G9" s="846"/>
      <c r="H9" s="846"/>
      <c r="I9" s="846"/>
      <c r="R9" s="303"/>
      <c r="S9" s="684"/>
      <c r="T9" s="303"/>
      <c r="U9" s="303"/>
      <c r="AC9" s="74" t="s">
        <v>1122</v>
      </c>
      <c r="AD9" s="689"/>
    </row>
    <row r="10" spans="1:40" ht="18" customHeight="1">
      <c r="B10" s="846"/>
      <c r="C10" s="846"/>
      <c r="D10" s="846"/>
      <c r="E10" s="306"/>
      <c r="F10" s="872" t="s">
        <v>4</v>
      </c>
      <c r="G10" s="846"/>
      <c r="H10" s="300" t="s">
        <v>5</v>
      </c>
      <c r="I10" s="307">
        <v>23.77</v>
      </c>
      <c r="J10" s="248"/>
      <c r="K10" s="248"/>
      <c r="R10" s="303"/>
      <c r="S10" s="684"/>
      <c r="T10" s="303"/>
      <c r="U10" s="303"/>
    </row>
    <row r="11" spans="1:40" ht="18" customHeight="1">
      <c r="B11" s="846"/>
      <c r="C11" s="846"/>
      <c r="D11" s="846"/>
      <c r="E11" s="306"/>
      <c r="F11" s="857" t="s">
        <v>6</v>
      </c>
      <c r="G11" s="846"/>
      <c r="H11" s="100" t="s">
        <v>7</v>
      </c>
      <c r="I11" s="368">
        <v>39.450000000000003</v>
      </c>
      <c r="J11" s="248"/>
      <c r="K11" s="248"/>
      <c r="R11" s="303"/>
      <c r="S11" s="684"/>
      <c r="T11" s="303"/>
      <c r="U11" s="303"/>
    </row>
    <row r="12" spans="1:40" ht="6.75" customHeight="1">
      <c r="B12" s="846"/>
      <c r="C12" s="846"/>
      <c r="D12" s="846"/>
      <c r="E12" s="306"/>
      <c r="F12" s="100"/>
      <c r="G12" s="100"/>
      <c r="H12" s="301"/>
      <c r="I12" s="276"/>
      <c r="J12" s="248"/>
      <c r="K12" s="248"/>
      <c r="R12" s="303"/>
      <c r="S12" s="684"/>
      <c r="T12" s="303"/>
      <c r="U12" s="303"/>
    </row>
    <row r="13" spans="1:40" ht="18" customHeight="1">
      <c r="B13" s="846"/>
      <c r="C13" s="846"/>
      <c r="D13" s="846"/>
      <c r="E13" s="306"/>
      <c r="F13" s="300" t="s">
        <v>8</v>
      </c>
      <c r="G13" s="300"/>
      <c r="H13" s="302" t="s">
        <v>9</v>
      </c>
      <c r="I13" s="307">
        <v>0.75</v>
      </c>
      <c r="J13" s="248"/>
      <c r="K13" s="248"/>
      <c r="R13" s="303"/>
      <c r="S13" s="684"/>
      <c r="T13" s="303"/>
      <c r="U13" s="303"/>
    </row>
    <row r="14" spans="1:40" ht="12" customHeight="1">
      <c r="B14" s="846"/>
      <c r="C14" s="846"/>
      <c r="D14" s="846"/>
      <c r="E14" s="306"/>
      <c r="F14" s="274"/>
      <c r="G14" s="274"/>
      <c r="H14" s="276"/>
      <c r="I14" s="276"/>
      <c r="J14" s="248"/>
      <c r="K14" s="248"/>
      <c r="R14" s="303"/>
      <c r="S14" s="684"/>
      <c r="T14" s="303"/>
      <c r="U14" s="303"/>
    </row>
    <row r="15" spans="1:40" ht="18" customHeight="1">
      <c r="B15" s="846"/>
      <c r="C15" s="846"/>
      <c r="D15" s="846"/>
      <c r="E15" s="306"/>
      <c r="F15" s="870" t="s">
        <v>10</v>
      </c>
      <c r="G15" s="846"/>
      <c r="H15" s="846"/>
      <c r="I15" s="846"/>
      <c r="J15" s="846"/>
      <c r="K15" s="846"/>
      <c r="R15" s="303"/>
      <c r="S15" s="684"/>
      <c r="T15" s="303"/>
      <c r="U15" s="303"/>
      <c r="AD15" s="1000" t="s">
        <v>1124</v>
      </c>
      <c r="AE15" s="846"/>
      <c r="AF15" s="846"/>
      <c r="AG15" s="846"/>
      <c r="AH15" s="846"/>
      <c r="AI15" s="846"/>
      <c r="AJ15" s="846"/>
      <c r="AK15" s="846"/>
      <c r="AL15" s="846"/>
      <c r="AM15" s="846"/>
      <c r="AN15" s="846"/>
    </row>
    <row r="16" spans="1:40" ht="4.5" customHeight="1">
      <c r="B16" s="846"/>
      <c r="C16" s="846"/>
      <c r="D16" s="846"/>
      <c r="E16" s="306"/>
      <c r="F16" s="248"/>
      <c r="G16" s="278"/>
      <c r="H16" s="856"/>
      <c r="I16" s="846"/>
      <c r="J16" s="248"/>
      <c r="K16" s="248"/>
      <c r="R16" s="303"/>
      <c r="S16" s="684"/>
      <c r="T16" s="303"/>
      <c r="U16" s="303"/>
    </row>
    <row r="17" spans="2:33" ht="18" customHeight="1">
      <c r="B17" s="846"/>
      <c r="C17" s="846"/>
      <c r="D17" s="846"/>
      <c r="E17" s="306"/>
      <c r="F17" s="854" t="s">
        <v>1125</v>
      </c>
      <c r="G17" s="846"/>
      <c r="H17" s="319" t="s">
        <v>1126</v>
      </c>
      <c r="I17" s="321">
        <v>0.3</v>
      </c>
      <c r="J17" s="280"/>
      <c r="K17" s="248"/>
      <c r="P17" s="74" t="s">
        <v>11</v>
      </c>
      <c r="Q17" s="367" t="s">
        <v>12</v>
      </c>
      <c r="R17" s="303"/>
      <c r="S17" s="684" t="s">
        <v>13</v>
      </c>
      <c r="T17" s="303"/>
      <c r="U17" s="303"/>
      <c r="Z17" s="857"/>
      <c r="AA17" s="846"/>
      <c r="AB17" s="81"/>
      <c r="AC17" s="690"/>
      <c r="AD17" s="247"/>
    </row>
    <row r="18" spans="2:33" ht="18" customHeight="1">
      <c r="B18" s="846"/>
      <c r="C18" s="846"/>
      <c r="D18" s="846"/>
      <c r="E18" s="306"/>
      <c r="F18" s="873" t="s">
        <v>1127</v>
      </c>
      <c r="G18" s="846"/>
      <c r="H18" s="235" t="s">
        <v>1126</v>
      </c>
      <c r="I18" s="317">
        <v>1.2</v>
      </c>
      <c r="J18" s="280"/>
      <c r="K18" s="248"/>
      <c r="P18" s="239" t="s">
        <v>14</v>
      </c>
      <c r="Q18" s="367" t="s">
        <v>15</v>
      </c>
      <c r="R18" s="303"/>
      <c r="S18" s="684" t="s">
        <v>16</v>
      </c>
      <c r="T18" s="303"/>
      <c r="U18" s="303"/>
      <c r="Z18" s="857"/>
      <c r="AA18" s="846"/>
      <c r="AB18" s="81"/>
      <c r="AC18" s="100"/>
      <c r="AD18" s="247"/>
    </row>
    <row r="19" spans="2:33" ht="18" customHeight="1">
      <c r="B19" s="846"/>
      <c r="C19" s="846"/>
      <c r="D19" s="846"/>
      <c r="E19" s="306"/>
      <c r="F19" s="863" t="s">
        <v>324</v>
      </c>
      <c r="G19" s="846"/>
      <c r="H19" s="846"/>
      <c r="I19" s="846"/>
      <c r="J19" s="281"/>
      <c r="K19" s="248"/>
      <c r="P19" s="239" t="s">
        <v>17</v>
      </c>
      <c r="Q19" s="367" t="s">
        <v>18</v>
      </c>
      <c r="S19" s="684" t="s">
        <v>19</v>
      </c>
    </row>
    <row r="20" spans="2:33" ht="18" customHeight="1">
      <c r="B20" s="846"/>
      <c r="C20" s="846"/>
      <c r="D20" s="846"/>
      <c r="E20" s="306"/>
      <c r="F20" s="869" t="s">
        <v>20</v>
      </c>
      <c r="G20" s="846"/>
      <c r="H20" s="314" t="s">
        <v>21</v>
      </c>
      <c r="I20" s="509" t="s">
        <v>323</v>
      </c>
      <c r="J20" s="280"/>
      <c r="K20" s="248"/>
      <c r="P20" s="74" t="s">
        <v>22</v>
      </c>
      <c r="Q20" s="367" t="s">
        <v>15</v>
      </c>
      <c r="S20" s="684" t="s">
        <v>23</v>
      </c>
    </row>
    <row r="21" spans="2:33" ht="18" customHeight="1">
      <c r="B21" s="846"/>
      <c r="C21" s="846"/>
      <c r="D21" s="846"/>
      <c r="E21" s="306"/>
      <c r="F21" s="867" t="s">
        <v>1128</v>
      </c>
      <c r="G21" s="846"/>
      <c r="H21" s="321" t="s">
        <v>1129</v>
      </c>
      <c r="I21" s="312">
        <v>0.2</v>
      </c>
      <c r="J21" s="248"/>
      <c r="K21" s="248"/>
      <c r="P21" s="239" t="s">
        <v>25</v>
      </c>
      <c r="Q21" s="367" t="s">
        <v>26</v>
      </c>
      <c r="S21" s="684" t="s">
        <v>27</v>
      </c>
    </row>
    <row r="22" spans="2:33" ht="24" customHeight="1">
      <c r="B22" s="846"/>
      <c r="C22" s="846"/>
      <c r="D22" s="846"/>
      <c r="E22" s="306"/>
      <c r="F22" s="861" t="s">
        <v>28</v>
      </c>
      <c r="G22" s="846"/>
      <c r="H22" s="309" t="s">
        <v>29</v>
      </c>
      <c r="I22" s="299">
        <v>1.8</v>
      </c>
      <c r="J22" s="248"/>
      <c r="K22" s="248"/>
      <c r="L22" s="239" t="s">
        <v>30</v>
      </c>
      <c r="N22" s="308" t="s">
        <v>159</v>
      </c>
      <c r="P22" s="239" t="s">
        <v>31</v>
      </c>
      <c r="Q22" s="367" t="s">
        <v>18</v>
      </c>
      <c r="S22" s="684" t="s">
        <v>32</v>
      </c>
      <c r="AG22" s="74" t="e">
        <v>#REF!</v>
      </c>
    </row>
    <row r="23" spans="2:33" ht="18" customHeight="1">
      <c r="F23" s="860" t="s">
        <v>30</v>
      </c>
      <c r="G23" s="846"/>
      <c r="H23" s="318"/>
      <c r="I23" s="313" t="s">
        <v>159</v>
      </c>
      <c r="J23" s="248"/>
      <c r="K23" s="248"/>
      <c r="L23" s="239" t="s">
        <v>33</v>
      </c>
      <c r="P23" s="239" t="s">
        <v>34</v>
      </c>
      <c r="Q23" s="367" t="s">
        <v>35</v>
      </c>
      <c r="S23" s="684" t="s">
        <v>36</v>
      </c>
    </row>
    <row r="24" spans="2:33" ht="18" customHeight="1">
      <c r="B24" s="866"/>
      <c r="C24" s="846"/>
      <c r="D24" s="846"/>
      <c r="E24" s="846"/>
      <c r="F24" s="869" t="s">
        <v>37</v>
      </c>
      <c r="G24" s="846"/>
      <c r="H24" s="314" t="s">
        <v>38</v>
      </c>
      <c r="I24" s="413">
        <v>6</v>
      </c>
      <c r="J24" s="248"/>
      <c r="K24" s="248"/>
      <c r="S24" s="684"/>
    </row>
    <row r="25" spans="2:33" ht="18" customHeight="1">
      <c r="F25" s="854" t="s">
        <v>39</v>
      </c>
      <c r="G25" s="846"/>
      <c r="H25" s="319" t="s">
        <v>40</v>
      </c>
      <c r="I25" s="315">
        <v>4</v>
      </c>
      <c r="J25" s="286"/>
      <c r="K25" s="248"/>
      <c r="L25" s="239" t="s">
        <v>39</v>
      </c>
      <c r="P25" s="239" t="s">
        <v>41</v>
      </c>
      <c r="Q25" s="367" t="s">
        <v>42</v>
      </c>
      <c r="S25" s="684" t="s">
        <v>43</v>
      </c>
    </row>
    <row r="26" spans="2:33" ht="18" customHeight="1">
      <c r="F26" s="311" t="s">
        <v>44</v>
      </c>
      <c r="G26" s="311"/>
      <c r="H26" s="235" t="s">
        <v>45</v>
      </c>
      <c r="I26" s="645" t="s">
        <v>110</v>
      </c>
      <c r="J26" s="248"/>
      <c r="K26" s="248"/>
      <c r="P26" s="239" t="s">
        <v>46</v>
      </c>
      <c r="Q26" s="367" t="s">
        <v>42</v>
      </c>
      <c r="S26" s="684" t="s">
        <v>47</v>
      </c>
    </row>
    <row r="27" spans="2:33" ht="18" customHeight="1">
      <c r="B27" s="249"/>
      <c r="C27" s="250"/>
      <c r="D27" s="251"/>
      <c r="E27" s="251"/>
      <c r="F27" s="847" t="s">
        <v>48</v>
      </c>
      <c r="G27" s="846"/>
      <c r="H27" s="320" t="s">
        <v>45</v>
      </c>
      <c r="I27" s="316" t="s">
        <v>110</v>
      </c>
      <c r="J27" s="249"/>
      <c r="K27" s="249"/>
    </row>
    <row r="28" spans="2:33" ht="18.75" customHeight="1">
      <c r="B28" s="249"/>
      <c r="C28" s="250"/>
      <c r="D28" s="871"/>
      <c r="E28" s="846"/>
      <c r="F28" s="846"/>
      <c r="G28" s="846"/>
      <c r="H28" s="846"/>
      <c r="I28" s="846"/>
      <c r="J28" s="846"/>
      <c r="K28" s="249"/>
    </row>
    <row r="29" spans="2:33" ht="11.25" hidden="1" customHeight="1">
      <c r="B29" s="249"/>
      <c r="C29" s="248"/>
      <c r="D29" s="248"/>
      <c r="E29" s="248"/>
      <c r="F29" s="248"/>
      <c r="G29" s="248"/>
      <c r="H29" s="249"/>
      <c r="I29" s="249"/>
      <c r="J29" s="249"/>
      <c r="K29" s="249"/>
    </row>
    <row r="30" spans="2:33" ht="10.9" hidden="1" customHeight="1">
      <c r="B30" s="249"/>
      <c r="C30" s="276" t="s">
        <v>49</v>
      </c>
      <c r="D30" s="248"/>
      <c r="E30" s="248"/>
      <c r="F30" s="248"/>
      <c r="G30" s="248"/>
      <c r="H30" s="248"/>
      <c r="I30" s="248"/>
      <c r="J30" s="249"/>
      <c r="K30" s="249"/>
    </row>
    <row r="31" spans="2:33" ht="10.9" hidden="1" customHeight="1">
      <c r="B31" s="249"/>
      <c r="C31" s="287" t="s">
        <v>50</v>
      </c>
      <c r="D31" s="287"/>
      <c r="E31" s="287"/>
      <c r="F31" s="287"/>
      <c r="G31" s="287"/>
      <c r="H31" s="272" t="s">
        <v>51</v>
      </c>
      <c r="I31" s="284">
        <v>12</v>
      </c>
      <c r="J31" s="252"/>
      <c r="K31" s="249"/>
    </row>
    <row r="32" spans="2:33" ht="10.9" hidden="1" customHeight="1">
      <c r="B32" s="249"/>
      <c r="C32" s="248" t="s">
        <v>52</v>
      </c>
      <c r="D32" s="248"/>
      <c r="E32" s="248"/>
      <c r="F32" s="248"/>
      <c r="G32" s="248"/>
      <c r="H32" s="274" t="s">
        <v>53</v>
      </c>
      <c r="I32" s="289">
        <v>0.33600000000000002</v>
      </c>
      <c r="J32" s="252"/>
      <c r="K32" s="249"/>
    </row>
    <row r="33" spans="2:31" ht="10.9" hidden="1" customHeight="1">
      <c r="B33" s="249"/>
      <c r="C33" s="287" t="s">
        <v>54</v>
      </c>
      <c r="D33" s="287"/>
      <c r="E33" s="287"/>
      <c r="F33" s="287"/>
      <c r="G33" s="287"/>
      <c r="H33" s="287" t="s">
        <v>55</v>
      </c>
      <c r="I33" s="284">
        <v>4</v>
      </c>
      <c r="J33" s="252"/>
      <c r="K33" s="249"/>
    </row>
    <row r="34" spans="2:31" ht="10.9" hidden="1" customHeight="1">
      <c r="B34" s="249"/>
      <c r="C34" s="248"/>
      <c r="D34" s="248"/>
      <c r="E34" s="248"/>
      <c r="F34" s="248"/>
      <c r="G34" s="248"/>
      <c r="H34" s="274"/>
      <c r="I34" s="274"/>
      <c r="J34" s="252"/>
      <c r="K34" s="249"/>
    </row>
    <row r="35" spans="2:31" ht="10.9" hidden="1" customHeight="1">
      <c r="B35" s="249"/>
      <c r="C35" s="276" t="s">
        <v>56</v>
      </c>
      <c r="D35" s="248"/>
      <c r="E35" s="248"/>
      <c r="F35" s="248"/>
      <c r="G35" s="248"/>
      <c r="H35" s="274"/>
      <c r="I35" s="274"/>
      <c r="J35" s="252"/>
      <c r="K35" s="249"/>
    </row>
    <row r="36" spans="2:31" ht="10.9" hidden="1" customHeight="1">
      <c r="B36" s="249"/>
      <c r="C36" s="287" t="s">
        <v>57</v>
      </c>
      <c r="D36" s="287"/>
      <c r="E36" s="287"/>
      <c r="F36" s="287"/>
      <c r="G36" s="287"/>
      <c r="H36" s="272" t="s">
        <v>51</v>
      </c>
      <c r="I36" s="284">
        <v>12</v>
      </c>
      <c r="J36" s="252"/>
      <c r="K36" s="249"/>
    </row>
    <row r="37" spans="2:31" ht="10.9" hidden="1" customHeight="1">
      <c r="B37" s="249"/>
      <c r="C37" s="248" t="s">
        <v>58</v>
      </c>
      <c r="D37" s="248"/>
      <c r="E37" s="248"/>
      <c r="F37" s="248"/>
      <c r="G37" s="248"/>
      <c r="H37" s="274" t="s">
        <v>53</v>
      </c>
      <c r="I37" s="290">
        <v>12</v>
      </c>
      <c r="J37" s="252"/>
      <c r="K37" s="249"/>
      <c r="M37" s="74">
        <v>12</v>
      </c>
    </row>
    <row r="38" spans="2:31" ht="10.9" hidden="1" customHeight="1">
      <c r="B38" s="249"/>
      <c r="C38" s="287" t="s">
        <v>59</v>
      </c>
      <c r="D38" s="287"/>
      <c r="E38" s="287"/>
      <c r="F38" s="287"/>
      <c r="G38" s="287"/>
      <c r="H38" s="287" t="s">
        <v>55</v>
      </c>
      <c r="I38" s="291">
        <v>1</v>
      </c>
      <c r="J38" s="252"/>
      <c r="K38" s="249"/>
    </row>
    <row r="39" spans="2:31" ht="12" hidden="1" customHeight="1">
      <c r="B39" s="249"/>
      <c r="C39" s="249"/>
      <c r="D39" s="249"/>
      <c r="E39" s="249"/>
      <c r="F39" s="249"/>
      <c r="G39" s="249"/>
      <c r="H39" s="249"/>
      <c r="I39" s="249"/>
      <c r="J39" s="252"/>
      <c r="K39" s="249"/>
    </row>
    <row r="40" spans="2:31" s="249" customFormat="1" ht="12" hidden="1" customHeight="1">
      <c r="C40" s="249" t="s">
        <v>1130</v>
      </c>
      <c r="S40" s="248"/>
    </row>
    <row r="41" spans="2:31" ht="13.5" hidden="1" customHeight="1">
      <c r="C41" s="249" t="s">
        <v>60</v>
      </c>
      <c r="E41" s="239"/>
      <c r="F41" s="239"/>
      <c r="G41" s="239"/>
      <c r="H41" s="239"/>
      <c r="I41" s="239"/>
      <c r="J41" s="239"/>
      <c r="K41" s="239"/>
    </row>
    <row r="42" spans="2:31" ht="6" hidden="1" customHeight="1">
      <c r="C42" s="239"/>
      <c r="D42" s="239"/>
      <c r="E42" s="239"/>
      <c r="F42" s="239"/>
      <c r="G42" s="239"/>
      <c r="H42" s="239"/>
      <c r="I42" s="239"/>
      <c r="J42" s="239"/>
      <c r="K42" s="239"/>
    </row>
    <row r="43" spans="2:31" ht="9.9499999999999993" hidden="1" customHeight="1">
      <c r="B43" s="256"/>
      <c r="C43" s="256"/>
      <c r="D43" s="256"/>
      <c r="E43" s="257" t="s">
        <v>53</v>
      </c>
      <c r="F43" s="849" t="s">
        <v>61</v>
      </c>
      <c r="G43" s="846"/>
      <c r="H43" s="849" t="s">
        <v>21</v>
      </c>
      <c r="I43" s="846"/>
      <c r="J43" s="862" t="s">
        <v>62</v>
      </c>
      <c r="K43" s="846"/>
      <c r="L43" s="258" t="s">
        <v>63</v>
      </c>
      <c r="M43" s="258" t="s">
        <v>64</v>
      </c>
      <c r="N43" s="258"/>
      <c r="AB43" s="248" t="s">
        <v>65</v>
      </c>
      <c r="AC43" s="248" t="s">
        <v>66</v>
      </c>
      <c r="AD43" s="248" t="s">
        <v>67</v>
      </c>
      <c r="AE43" s="248" t="s">
        <v>68</v>
      </c>
    </row>
    <row r="44" spans="2:31" ht="9.9499999999999993" hidden="1" customHeight="1">
      <c r="B44" s="256"/>
      <c r="C44" s="259" t="s">
        <v>69</v>
      </c>
      <c r="D44" s="259"/>
      <c r="E44" s="260" t="e">
        <v>#REF!</v>
      </c>
      <c r="F44" s="848" t="e">
        <v>#REF!</v>
      </c>
      <c r="G44" s="846"/>
      <c r="H44" s="851" t="e">
        <v>#REF!</v>
      </c>
      <c r="I44" s="846"/>
      <c r="J44" s="261" t="e">
        <v>#REF!</v>
      </c>
      <c r="K44" s="262"/>
      <c r="L44" s="258" t="e">
        <v>#REF!</v>
      </c>
      <c r="M44" s="258" t="e">
        <v>#REF!</v>
      </c>
      <c r="N44" s="258" t="e">
        <v>#REF!</v>
      </c>
      <c r="P44" s="237" t="e">
        <v>#REF!</v>
      </c>
      <c r="AA44" s="260" t="s">
        <v>69</v>
      </c>
      <c r="AB44" s="260">
        <v>12</v>
      </c>
      <c r="AC44" s="260" t="e">
        <v>#REF!</v>
      </c>
      <c r="AD44" s="260" t="e">
        <v>#REF!</v>
      </c>
      <c r="AE44" s="260" t="e">
        <v>#REF!</v>
      </c>
    </row>
    <row r="45" spans="2:31" ht="9.9499999999999993" hidden="1" customHeight="1">
      <c r="B45" s="256"/>
      <c r="C45" s="256" t="s">
        <v>70</v>
      </c>
      <c r="D45" s="256"/>
      <c r="E45" s="263" t="e">
        <v>#REF!</v>
      </c>
      <c r="F45" s="852" t="e">
        <v>#REF!</v>
      </c>
      <c r="G45" s="846"/>
      <c r="H45" s="858" t="e">
        <v>#REF!</v>
      </c>
      <c r="I45" s="846"/>
      <c r="J45" s="264" t="e">
        <v>#REF!</v>
      </c>
      <c r="K45" s="264"/>
      <c r="L45" s="258" t="e">
        <v>#REF!</v>
      </c>
      <c r="M45" s="258" t="e">
        <v>#REF!</v>
      </c>
      <c r="N45" s="258" t="e">
        <v>#REF!</v>
      </c>
      <c r="P45" s="237" t="e">
        <v>#REF!</v>
      </c>
      <c r="AA45" s="263" t="s">
        <v>70</v>
      </c>
      <c r="AB45" s="263">
        <v>12</v>
      </c>
      <c r="AC45" s="263" t="e">
        <v>#REF!</v>
      </c>
      <c r="AD45" s="263" t="e">
        <v>#REF!</v>
      </c>
      <c r="AE45" s="263" t="e">
        <v>#REF!</v>
      </c>
    </row>
    <row r="46" spans="2:31" ht="9.9499999999999993" hidden="1" customHeight="1">
      <c r="B46" s="256"/>
      <c r="C46" s="259" t="s">
        <v>71</v>
      </c>
      <c r="D46" s="259"/>
      <c r="E46" s="260" t="e">
        <v>#REF!</v>
      </c>
      <c r="F46" s="848" t="e">
        <v>#REF!</v>
      </c>
      <c r="G46" s="846"/>
      <c r="H46" s="851" t="e">
        <v>#REF!</v>
      </c>
      <c r="I46" s="846"/>
      <c r="J46" s="261" t="e">
        <v>#REF!</v>
      </c>
      <c r="K46" s="265"/>
      <c r="L46" s="258" t="e">
        <v>#REF!</v>
      </c>
      <c r="M46" s="258" t="e">
        <v>#REF!</v>
      </c>
      <c r="N46" s="258" t="e">
        <v>#REF!</v>
      </c>
      <c r="AA46" s="260" t="s">
        <v>71</v>
      </c>
      <c r="AB46" s="260">
        <v>12</v>
      </c>
      <c r="AC46" s="260" t="e">
        <v>#REF!</v>
      </c>
      <c r="AD46" s="260" t="e">
        <v>#REF!</v>
      </c>
      <c r="AE46" s="260" t="e">
        <v>#REF!</v>
      </c>
    </row>
    <row r="47" spans="2:31" ht="9.9499999999999993" hidden="1" customHeight="1">
      <c r="B47" s="256"/>
      <c r="C47" s="256" t="s">
        <v>72</v>
      </c>
      <c r="D47" s="256"/>
      <c r="E47" s="263" t="e">
        <v>#REF!</v>
      </c>
      <c r="F47" s="852" t="e">
        <v>#REF!</v>
      </c>
      <c r="G47" s="846"/>
      <c r="H47" s="858" t="e">
        <v>#REF!</v>
      </c>
      <c r="I47" s="846"/>
      <c r="J47" s="264" t="e">
        <v>#REF!</v>
      </c>
      <c r="K47" s="264"/>
      <c r="L47" s="258" t="e">
        <v>#REF!</v>
      </c>
      <c r="M47" s="258" t="e">
        <v>#REF!</v>
      </c>
      <c r="N47" s="258" t="e">
        <v>#REF!</v>
      </c>
      <c r="AA47" s="263" t="s">
        <v>72</v>
      </c>
      <c r="AB47" s="263">
        <v>12</v>
      </c>
      <c r="AC47" s="263" t="e">
        <v>#REF!</v>
      </c>
      <c r="AD47" s="263" t="e">
        <v>#REF!</v>
      </c>
      <c r="AE47" s="263" t="e">
        <v>#REF!</v>
      </c>
    </row>
    <row r="48" spans="2:31" ht="9.9499999999999993" hidden="1" customHeight="1">
      <c r="B48" s="256"/>
      <c r="C48" s="259" t="s">
        <v>73</v>
      </c>
      <c r="D48" s="259"/>
      <c r="E48" s="260" t="e">
        <v>#REF!</v>
      </c>
      <c r="F48" s="848" t="e">
        <v>#REF!</v>
      </c>
      <c r="G48" s="846"/>
      <c r="H48" s="851" t="e">
        <v>#REF!</v>
      </c>
      <c r="I48" s="846"/>
      <c r="J48" s="261" t="e">
        <v>#REF!</v>
      </c>
      <c r="K48" s="265"/>
      <c r="L48" s="258" t="e">
        <v>#REF!</v>
      </c>
      <c r="M48" s="258" t="e">
        <v>#REF!</v>
      </c>
      <c r="N48" s="258" t="e">
        <v>#REF!</v>
      </c>
      <c r="AA48" s="260" t="s">
        <v>73</v>
      </c>
      <c r="AB48" s="260">
        <v>12</v>
      </c>
      <c r="AC48" s="260" t="e">
        <v>#REF!</v>
      </c>
      <c r="AD48" s="260" t="e">
        <v>#REF!</v>
      </c>
      <c r="AE48" s="260" t="e">
        <v>#REF!</v>
      </c>
    </row>
    <row r="49" spans="2:31" ht="9.9499999999999993" hidden="1" customHeight="1">
      <c r="B49" s="256"/>
      <c r="C49" s="256" t="s">
        <v>74</v>
      </c>
      <c r="D49" s="256"/>
      <c r="E49" s="263" t="e">
        <v>#REF!</v>
      </c>
      <c r="F49" s="852" t="e">
        <v>#REF!</v>
      </c>
      <c r="G49" s="846"/>
      <c r="H49" s="858" t="e">
        <v>#REF!</v>
      </c>
      <c r="I49" s="846"/>
      <c r="J49" s="264" t="e">
        <v>#REF!</v>
      </c>
      <c r="K49" s="264"/>
      <c r="L49" s="266" t="e">
        <v>#REF!</v>
      </c>
      <c r="M49" s="266" t="e">
        <v>#REF!</v>
      </c>
      <c r="N49" s="258" t="e">
        <v>#REF!</v>
      </c>
      <c r="O49" s="267"/>
      <c r="AA49" s="263" t="s">
        <v>74</v>
      </c>
      <c r="AB49" s="263">
        <v>12</v>
      </c>
      <c r="AC49" s="263" t="e">
        <v>#REF!</v>
      </c>
      <c r="AD49" s="263" t="e">
        <v>#REF!</v>
      </c>
      <c r="AE49" s="263" t="e">
        <v>#REF!</v>
      </c>
    </row>
    <row r="50" spans="2:31" ht="9.9499999999999993" hidden="1" customHeight="1">
      <c r="B50" s="256"/>
      <c r="C50" s="259" t="s">
        <v>75</v>
      </c>
      <c r="D50" s="259"/>
      <c r="E50" s="260" t="e">
        <v>#REF!</v>
      </c>
      <c r="F50" s="848" t="e">
        <v>#REF!</v>
      </c>
      <c r="G50" s="846"/>
      <c r="H50" s="851" t="e">
        <v>#REF!</v>
      </c>
      <c r="I50" s="846"/>
      <c r="J50" s="261" t="e">
        <v>#REF!</v>
      </c>
      <c r="K50" s="265"/>
      <c r="L50" s="258" t="e">
        <v>#REF!</v>
      </c>
      <c r="M50" s="258" t="e">
        <v>#REF!</v>
      </c>
      <c r="N50" s="258" t="e">
        <v>#REF!</v>
      </c>
      <c r="AA50" s="260" t="s">
        <v>75</v>
      </c>
      <c r="AB50" s="260">
        <v>12</v>
      </c>
      <c r="AC50" s="260" t="e">
        <v>#REF!</v>
      </c>
      <c r="AD50" s="260" t="e">
        <v>#REF!</v>
      </c>
      <c r="AE50" s="260" t="e">
        <v>#REF!</v>
      </c>
    </row>
    <row r="51" spans="2:31" ht="9.9499999999999993" hidden="1" customHeight="1">
      <c r="B51" s="256"/>
      <c r="C51" s="256" t="s">
        <v>76</v>
      </c>
      <c r="D51" s="256"/>
      <c r="E51" s="263" t="e">
        <v>#REF!</v>
      </c>
      <c r="F51" s="852" t="e">
        <v>#REF!</v>
      </c>
      <c r="G51" s="846"/>
      <c r="H51" s="858" t="e">
        <v>#REF!</v>
      </c>
      <c r="I51" s="846"/>
      <c r="J51" s="264" t="e">
        <v>#REF!</v>
      </c>
      <c r="K51" s="264"/>
      <c r="L51" s="258" t="e">
        <v>#REF!</v>
      </c>
      <c r="M51" s="258" t="e">
        <v>#REF!</v>
      </c>
      <c r="N51" s="258" t="e">
        <v>#REF!</v>
      </c>
      <c r="AA51" s="263" t="s">
        <v>76</v>
      </c>
      <c r="AB51" s="263">
        <v>12</v>
      </c>
      <c r="AC51" s="263" t="e">
        <v>#REF!</v>
      </c>
      <c r="AD51" s="263" t="e">
        <v>#REF!</v>
      </c>
      <c r="AE51" s="263" t="e">
        <v>#REF!</v>
      </c>
    </row>
    <row r="52" spans="2:31" ht="9.9499999999999993" hidden="1" customHeight="1">
      <c r="B52" s="256"/>
      <c r="C52" s="259" t="s">
        <v>77</v>
      </c>
      <c r="D52" s="259"/>
      <c r="E52" s="260" t="e">
        <v>#REF!</v>
      </c>
      <c r="F52" s="848" t="e">
        <v>#REF!</v>
      </c>
      <c r="G52" s="846"/>
      <c r="H52" s="851" t="e">
        <v>#REF!</v>
      </c>
      <c r="I52" s="846"/>
      <c r="J52" s="261" t="e">
        <v>#REF!</v>
      </c>
      <c r="K52" s="265"/>
      <c r="L52" s="258" t="e">
        <v>#REF!</v>
      </c>
      <c r="M52" s="258" t="e">
        <v>#REF!</v>
      </c>
      <c r="N52" s="258" t="e">
        <v>#REF!</v>
      </c>
      <c r="AA52" s="260" t="s">
        <v>77</v>
      </c>
      <c r="AB52" s="260">
        <v>12</v>
      </c>
      <c r="AC52" s="260" t="e">
        <v>#REF!</v>
      </c>
      <c r="AD52" s="260" t="e">
        <v>#REF!</v>
      </c>
      <c r="AE52" s="260" t="e">
        <v>#REF!</v>
      </c>
    </row>
    <row r="53" spans="2:31" ht="9.9499999999999993" hidden="1" customHeight="1">
      <c r="B53" s="256"/>
      <c r="C53" s="256" t="s">
        <v>78</v>
      </c>
      <c r="D53" s="256"/>
      <c r="E53" s="263" t="e">
        <v>#REF!</v>
      </c>
      <c r="F53" s="852" t="e">
        <v>#REF!</v>
      </c>
      <c r="G53" s="846"/>
      <c r="H53" s="858" t="e">
        <v>#REF!</v>
      </c>
      <c r="I53" s="846"/>
      <c r="J53" s="264" t="e">
        <v>#REF!</v>
      </c>
      <c r="K53" s="264"/>
      <c r="L53" s="258" t="e">
        <v>#REF!</v>
      </c>
      <c r="M53" s="258" t="e">
        <v>#REF!</v>
      </c>
      <c r="N53" s="258" t="e">
        <v>#REF!</v>
      </c>
      <c r="AA53" s="263" t="s">
        <v>78</v>
      </c>
      <c r="AB53" s="263">
        <v>12</v>
      </c>
      <c r="AC53" s="263" t="e">
        <v>#REF!</v>
      </c>
      <c r="AD53" s="263" t="e">
        <v>#REF!</v>
      </c>
      <c r="AE53" s="263" t="e">
        <v>#REF!</v>
      </c>
    </row>
    <row r="54" spans="2:31" ht="9.9499999999999993" hidden="1" customHeight="1">
      <c r="B54" s="256"/>
      <c r="C54" s="259" t="s">
        <v>79</v>
      </c>
      <c r="D54" s="259"/>
      <c r="E54" s="260" t="e">
        <v>#REF!</v>
      </c>
      <c r="F54" s="848" t="e">
        <v>#REF!</v>
      </c>
      <c r="G54" s="846"/>
      <c r="H54" s="851" t="e">
        <v>#REF!</v>
      </c>
      <c r="I54" s="846"/>
      <c r="J54" s="261" t="e">
        <v>#REF!</v>
      </c>
      <c r="K54" s="265"/>
      <c r="L54" s="258" t="e">
        <v>#REF!</v>
      </c>
      <c r="M54" s="258" t="e">
        <v>#REF!</v>
      </c>
      <c r="N54" s="258" t="e">
        <v>#REF!</v>
      </c>
      <c r="AA54" s="260" t="s">
        <v>79</v>
      </c>
      <c r="AB54" s="260">
        <v>12</v>
      </c>
      <c r="AC54" s="260" t="e">
        <v>#REF!</v>
      </c>
      <c r="AD54" s="260" t="e">
        <v>#REF!</v>
      </c>
      <c r="AE54" s="260" t="e">
        <v>#REF!</v>
      </c>
    </row>
    <row r="55" spans="2:31" ht="9.9499999999999993" hidden="1" customHeight="1">
      <c r="B55" s="256"/>
      <c r="C55" s="256" t="s">
        <v>80</v>
      </c>
      <c r="D55" s="256"/>
      <c r="E55" s="263" t="e">
        <v>#REF!</v>
      </c>
      <c r="F55" s="852" t="e">
        <v>#REF!</v>
      </c>
      <c r="G55" s="846"/>
      <c r="H55" s="858" t="e">
        <v>#REF!</v>
      </c>
      <c r="I55" s="846"/>
      <c r="J55" s="264" t="e">
        <v>#REF!</v>
      </c>
      <c r="K55" s="264"/>
      <c r="L55" s="258" t="e">
        <v>#REF!</v>
      </c>
      <c r="M55" s="258" t="e">
        <v>#REF!</v>
      </c>
      <c r="N55" s="258" t="e">
        <v>#REF!</v>
      </c>
      <c r="AA55" s="263" t="s">
        <v>80</v>
      </c>
      <c r="AB55" s="263">
        <v>12</v>
      </c>
      <c r="AC55" s="263" t="e">
        <v>#REF!</v>
      </c>
      <c r="AD55" s="263" t="e">
        <v>#REF!</v>
      </c>
      <c r="AE55" s="263" t="e">
        <v>#REF!</v>
      </c>
    </row>
    <row r="56" spans="2:31" ht="6.75" hidden="1" customHeight="1">
      <c r="B56" s="249"/>
      <c r="C56" s="249"/>
      <c r="D56" s="249"/>
      <c r="E56" s="249"/>
      <c r="F56" s="249"/>
      <c r="G56" s="249"/>
      <c r="H56" s="249"/>
      <c r="I56" s="249"/>
      <c r="J56" s="249">
        <v>0</v>
      </c>
      <c r="K56" s="249"/>
    </row>
    <row r="57" spans="2:31" ht="12" hidden="1" customHeight="1">
      <c r="B57" s="249"/>
      <c r="C57" s="255" t="s">
        <v>81</v>
      </c>
      <c r="D57" s="254" t="e">
        <v>#REF!</v>
      </c>
      <c r="E57" s="254"/>
      <c r="F57" s="254"/>
      <c r="G57" s="254"/>
      <c r="H57" s="249"/>
      <c r="I57" s="249"/>
      <c r="J57" s="249"/>
      <c r="K57" s="249"/>
    </row>
    <row r="58" spans="2:31" ht="12" hidden="1" customHeight="1">
      <c r="B58" s="249"/>
      <c r="C58" s="251" t="s">
        <v>82</v>
      </c>
      <c r="D58" s="249" t="s">
        <v>83</v>
      </c>
      <c r="E58" s="249"/>
      <c r="F58" s="249"/>
      <c r="G58" s="249"/>
      <c r="H58" s="249"/>
      <c r="I58" s="249"/>
      <c r="J58" s="249"/>
      <c r="K58" s="249"/>
    </row>
    <row r="59" spans="2:31" ht="12" hidden="1" customHeight="1">
      <c r="B59" s="249"/>
      <c r="C59" s="255" t="s">
        <v>84</v>
      </c>
      <c r="D59" s="254" t="s">
        <v>85</v>
      </c>
      <c r="E59" s="254"/>
      <c r="F59" s="254"/>
      <c r="G59" s="254"/>
      <c r="H59" s="249"/>
      <c r="I59" s="249"/>
      <c r="J59" s="249"/>
      <c r="K59" s="249"/>
    </row>
    <row r="60" spans="2:31" ht="12" hidden="1" customHeight="1">
      <c r="B60" s="249"/>
      <c r="C60" s="251" t="s">
        <v>86</v>
      </c>
      <c r="D60" s="249" t="s">
        <v>87</v>
      </c>
      <c r="E60" s="249"/>
      <c r="F60" s="249"/>
      <c r="G60" s="249"/>
      <c r="H60" s="249"/>
      <c r="I60" s="249"/>
      <c r="J60" s="249"/>
      <c r="K60" s="249"/>
    </row>
    <row r="61" spans="2:31" ht="12" hidden="1" customHeight="1">
      <c r="B61" s="249"/>
      <c r="C61" s="249"/>
      <c r="D61" s="249"/>
      <c r="E61" s="249"/>
      <c r="F61" s="249"/>
      <c r="G61" s="249"/>
      <c r="H61" s="249"/>
      <c r="I61" s="249"/>
      <c r="J61" s="249"/>
      <c r="K61" s="249"/>
    </row>
    <row r="62" spans="2:31" ht="18.75" customHeight="1">
      <c r="B62" s="249"/>
      <c r="C62" s="301" t="s">
        <v>88</v>
      </c>
      <c r="D62" s="250"/>
      <c r="E62" s="250"/>
      <c r="F62" s="250"/>
      <c r="G62" s="250" t="s">
        <v>89</v>
      </c>
      <c r="H62" s="485">
        <v>60</v>
      </c>
      <c r="I62" s="859"/>
      <c r="J62" s="846"/>
      <c r="K62" s="249"/>
      <c r="U62" s="116" t="e">
        <v>#REF!</v>
      </c>
    </row>
    <row r="63" spans="2:31" ht="26.25" customHeight="1">
      <c r="B63" s="249"/>
      <c r="C63" s="301" t="s">
        <v>90</v>
      </c>
      <c r="D63" s="251"/>
      <c r="E63" s="251"/>
      <c r="F63" s="251"/>
      <c r="G63" s="250"/>
      <c r="H63" s="310">
        <v>3.100000000000001</v>
      </c>
      <c r="I63" s="269"/>
      <c r="J63" s="270"/>
      <c r="K63" s="249"/>
      <c r="U63" s="237" t="e">
        <v>#REF!</v>
      </c>
    </row>
    <row r="65" spans="4:10">
      <c r="D65" s="999" t="s">
        <v>1131</v>
      </c>
      <c r="E65" s="846"/>
      <c r="F65" s="846"/>
      <c r="G65" s="846"/>
      <c r="H65" s="846"/>
      <c r="I65" s="846"/>
      <c r="J65" s="846"/>
    </row>
    <row r="66" spans="4:10">
      <c r="D66" s="846"/>
      <c r="E66" s="846"/>
      <c r="F66" s="846"/>
      <c r="G66" s="846"/>
      <c r="H66" s="846"/>
      <c r="I66" s="846"/>
      <c r="J66" s="846"/>
    </row>
    <row r="67" spans="4:10" hidden="1"/>
    <row r="68" spans="4:10" hidden="1"/>
    <row r="69" spans="4:10" hidden="1"/>
    <row r="91" spans="2:19">
      <c r="B91" s="74" t="s">
        <v>91</v>
      </c>
      <c r="D91" s="74">
        <v>0</v>
      </c>
      <c r="F91" s="75" t="s">
        <v>92</v>
      </c>
      <c r="G91" s="855">
        <v>0</v>
      </c>
      <c r="H91" s="846"/>
      <c r="I91" s="846"/>
    </row>
    <row r="96" spans="2:19" s="754" customFormat="1">
      <c r="S96" s="762"/>
    </row>
    <row r="97" spans="19:19" s="754" customFormat="1">
      <c r="S97" s="762"/>
    </row>
    <row r="98" spans="19:19" s="754" customFormat="1">
      <c r="S98" s="762"/>
    </row>
    <row r="99" spans="19:19" s="754" customFormat="1">
      <c r="S99" s="762"/>
    </row>
    <row r="100" spans="19:19" s="754" customFormat="1">
      <c r="S100" s="762"/>
    </row>
    <row r="101" spans="19:19" s="754" customFormat="1">
      <c r="S101" s="762"/>
    </row>
    <row r="102" spans="19:19" s="754" customFormat="1">
      <c r="S102" s="762"/>
    </row>
    <row r="103" spans="19:19" s="754" customFormat="1">
      <c r="S103" s="762"/>
    </row>
    <row r="104" spans="19:19" s="754" customFormat="1">
      <c r="S104" s="762"/>
    </row>
    <row r="105" spans="19:19" s="754" customFormat="1">
      <c r="S105" s="762"/>
    </row>
    <row r="106" spans="19:19" s="754" customFormat="1">
      <c r="S106" s="762"/>
    </row>
    <row r="107" spans="19:19" s="754" customFormat="1">
      <c r="S107" s="762"/>
    </row>
    <row r="108" spans="19:19" s="754" customFormat="1">
      <c r="S108" s="762"/>
    </row>
    <row r="109" spans="19:19" s="754" customFormat="1">
      <c r="S109" s="762"/>
    </row>
    <row r="110" spans="19:19" s="754" customFormat="1">
      <c r="S110" s="762"/>
    </row>
    <row r="111" spans="19:19" s="754" customFormat="1">
      <c r="S111" s="762"/>
    </row>
    <row r="112" spans="19:19" s="754" customFormat="1">
      <c r="S112" s="762"/>
    </row>
    <row r="113" spans="19:19" s="754" customFormat="1">
      <c r="S113" s="762"/>
    </row>
    <row r="114" spans="19:19" s="754" customFormat="1">
      <c r="S114" s="762"/>
    </row>
    <row r="115" spans="19:19" s="754" customFormat="1">
      <c r="S115" s="762"/>
    </row>
    <row r="116" spans="19:19" s="754" customFormat="1">
      <c r="S116" s="762"/>
    </row>
    <row r="117" spans="19:19" s="754" customFormat="1">
      <c r="S117" s="762"/>
    </row>
    <row r="118" spans="19:19" s="754" customFormat="1">
      <c r="S118" s="762"/>
    </row>
    <row r="119" spans="19:19" s="754" customFormat="1">
      <c r="S119" s="762"/>
    </row>
    <row r="120" spans="19:19" s="754" customFormat="1">
      <c r="S120" s="762"/>
    </row>
    <row r="121" spans="19:19" s="754" customFormat="1">
      <c r="S121" s="762"/>
    </row>
    <row r="122" spans="19:19" s="754" customFormat="1">
      <c r="S122" s="762"/>
    </row>
    <row r="123" spans="19:19" s="754" customFormat="1">
      <c r="S123" s="762"/>
    </row>
    <row r="124" spans="19:19" s="754" customFormat="1">
      <c r="S124" s="762"/>
    </row>
    <row r="125" spans="19:19" s="754" customFormat="1">
      <c r="S125" s="762"/>
    </row>
    <row r="126" spans="19:19" s="754" customFormat="1">
      <c r="S126" s="762"/>
    </row>
    <row r="127" spans="19:19" s="754" customFormat="1">
      <c r="S127" s="762"/>
    </row>
    <row r="128" spans="19:19" s="754" customFormat="1">
      <c r="S128" s="762"/>
    </row>
    <row r="129" spans="19:19" s="754" customFormat="1">
      <c r="S129" s="762"/>
    </row>
    <row r="130" spans="19:19" s="754" customFormat="1">
      <c r="S130" s="762"/>
    </row>
    <row r="131" spans="19:19" s="754" customFormat="1">
      <c r="S131" s="762"/>
    </row>
    <row r="132" spans="19:19" s="754" customFormat="1">
      <c r="S132" s="762"/>
    </row>
    <row r="133" spans="19:19" s="754" customFormat="1">
      <c r="S133" s="762"/>
    </row>
    <row r="134" spans="19:19" s="754" customFormat="1">
      <c r="S134" s="762"/>
    </row>
    <row r="135" spans="19:19" s="754" customFormat="1">
      <c r="S135" s="762"/>
    </row>
    <row r="136" spans="19:19" s="754" customFormat="1">
      <c r="S136" s="762"/>
    </row>
    <row r="137" spans="19:19" s="754" customFormat="1">
      <c r="S137" s="762"/>
    </row>
    <row r="138" spans="19:19" s="754" customFormat="1">
      <c r="S138" s="762"/>
    </row>
    <row r="139" spans="19:19" s="754" customFormat="1">
      <c r="S139" s="762"/>
    </row>
  </sheetData>
  <mergeCells count="54">
    <mergeCell ref="F3:I4"/>
    <mergeCell ref="H55:I55"/>
    <mergeCell ref="H50:I50"/>
    <mergeCell ref="B24:E24"/>
    <mergeCell ref="H44:I44"/>
    <mergeCell ref="F21:G21"/>
    <mergeCell ref="F7:J7"/>
    <mergeCell ref="F55:G55"/>
    <mergeCell ref="F24:G24"/>
    <mergeCell ref="H46:I46"/>
    <mergeCell ref="F15:K15"/>
    <mergeCell ref="F51:G51"/>
    <mergeCell ref="F20:G20"/>
    <mergeCell ref="H53:I53"/>
    <mergeCell ref="D28:J28"/>
    <mergeCell ref="F11:G11"/>
    <mergeCell ref="AD15:AN15"/>
    <mergeCell ref="F19:I19"/>
    <mergeCell ref="H52:I52"/>
    <mergeCell ref="Z18:AA18"/>
    <mergeCell ref="F17:G17"/>
    <mergeCell ref="F25:G25"/>
    <mergeCell ref="H43:I43"/>
    <mergeCell ref="F18:G18"/>
    <mergeCell ref="H51:I51"/>
    <mergeCell ref="H49:I49"/>
    <mergeCell ref="F45:G45"/>
    <mergeCell ref="G91:I91"/>
    <mergeCell ref="F47:G47"/>
    <mergeCell ref="H16:I16"/>
    <mergeCell ref="Z17:AA17"/>
    <mergeCell ref="I62:J62"/>
    <mergeCell ref="H45:I45"/>
    <mergeCell ref="F23:G23"/>
    <mergeCell ref="F46:G46"/>
    <mergeCell ref="F22:G22"/>
    <mergeCell ref="H47:I47"/>
    <mergeCell ref="J43:K43"/>
    <mergeCell ref="F53:G53"/>
    <mergeCell ref="F50:G50"/>
    <mergeCell ref="D65:J66"/>
    <mergeCell ref="F54:G54"/>
    <mergeCell ref="H54:I54"/>
    <mergeCell ref="F5:I5"/>
    <mergeCell ref="F27:G27"/>
    <mergeCell ref="F52:G52"/>
    <mergeCell ref="F43:G43"/>
    <mergeCell ref="B7:D22"/>
    <mergeCell ref="F48:G48"/>
    <mergeCell ref="H48:I48"/>
    <mergeCell ref="F49:G49"/>
    <mergeCell ref="F44:G44"/>
    <mergeCell ref="G8:I9"/>
    <mergeCell ref="F10:G10"/>
  </mergeCells>
  <conditionalFormatting sqref="I63">
    <cfRule type="iconSet" priority="2">
      <iconSet iconSet="3Symbols2">
        <cfvo type="percent" val="0"/>
        <cfvo type="num" val="1"/>
        <cfvo type="num" val="1.1499999999999999"/>
      </iconSet>
    </cfRule>
  </conditionalFormatting>
  <pageMargins left="0" right="0.47244094488188981" top="0" bottom="0" header="0.11811023622047249" footer="0"/>
  <pageSetup paperSize="9" orientation="portrait" horizontalDpi="4294967293"/>
  <headerFooter>
    <oddFooter>&amp;L&amp;7 CAL_ SOL_  019-001-25  rev05 (27-11-25) &amp;C&amp;8        &amp;R&amp;7 &amp;D  _  MK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10"/>
  <dimension ref="A1:P69"/>
  <sheetViews>
    <sheetView topLeftCell="A2"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1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2024</v>
      </c>
      <c r="D14" s="88">
        <f>IF(D8&gt;2,D8,D8+12)</f>
        <v>13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2460690.5</v>
      </c>
      <c r="G14" s="1005"/>
      <c r="H14" s="88">
        <f>TRUNC(F14+1.5)-7*TRUNC((F14+1.5)/7)</f>
        <v>3</v>
      </c>
      <c r="I14" s="1013">
        <f>(F14-2451545)/36525</f>
        <v>0.25039014373716634</v>
      </c>
      <c r="J14" s="1005"/>
      <c r="K14" s="1004">
        <f>2400.051336907*I14+0.000025862*I14^2-0.000000002*I14^3</f>
        <v>600.94920084611442</v>
      </c>
      <c r="L14" s="1005"/>
      <c r="M14" s="89">
        <f>23.439291111-0.013004167*I14-0.000000164*I14^2+0.000000503*I14^3</f>
        <v>23.436034993369901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90.892549219474091</v>
      </c>
      <c r="D15" s="91">
        <f>ACOS((SIN(-6*PI()/180)-(SIN(G7*PI()/180)*SIN(F23*PI()/180)))/((COS(G7*PI()/180)*COS(F23*PI()/180))))*180/PI()</f>
        <v>96.429788725256927</v>
      </c>
      <c r="E15" s="91">
        <f>ACOS((SIN(-12*PI()/180)-(SIN(G7*PI()/180)*SIN(F23*PI()/180)))/((COS(G7*PI()/180)*COS(F23*PI()/180))))*180/PI()</f>
        <v>102.87026667595319</v>
      </c>
      <c r="F15" s="91">
        <f>ACOS((SIN(-18*PI()/180)-(SIN(G7*PI()/180)*SIN(F23*PI()/180)))/((COS(G7*PI()/180)*COS(F23*PI()/180))))*180/PI()</f>
        <v>109.33327501253919</v>
      </c>
      <c r="G15" s="92">
        <f>ABS(D15-C15)/15</f>
        <v>0.36914930038552235</v>
      </c>
      <c r="H15" s="92">
        <f>ABS(E15-C15)/15</f>
        <v>0.79851449709860656</v>
      </c>
      <c r="I15" s="92">
        <f>ABS(F15-C15)/15</f>
        <v>1.2293817195376733</v>
      </c>
      <c r="J15" s="93">
        <f>(D12-F38)*15</f>
        <v>-32.341478617067779</v>
      </c>
      <c r="K15" s="1004">
        <f>J22+((J20+G12)*1.00273790935)</f>
        <v>17.673954497614421</v>
      </c>
      <c r="L15" s="1005"/>
      <c r="M15" s="89">
        <f>6.697374558+(K14-(TRUNC(K14/24)*24))</f>
        <v>7.6465754041144223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96.429788725256927</v>
      </c>
      <c r="E16" s="91">
        <f>ACOS((SIN(-12*PI()/180)-(SIN(G7*PI()/180)*SIN(F23*PI()/180)))/((COS(G7*PI()/180)*COS(F23*PI()/180))))*180/PI()</f>
        <v>102.87026667595319</v>
      </c>
      <c r="F16" s="91">
        <f>ACOS((SIN(-18*PI()/180)-(SIN(G7*PI()/180)*SIN(F23*PI()/180)))/((COS(G7*PI()/180)*COS(F23*PI()/180))))*180/PI()</f>
        <v>109.33327501253919</v>
      </c>
      <c r="G16" s="92">
        <f>ABS(D16-C16)/15</f>
        <v>0.42865258168379511</v>
      </c>
      <c r="H16" s="92">
        <f>ABS(E16-C16)/15</f>
        <v>0.85801777839687932</v>
      </c>
      <c r="I16" s="92">
        <f>ABS(F16-C16)/15</f>
        <v>1.288885000835946</v>
      </c>
      <c r="J16" s="93">
        <f>(D12-F38)*15</f>
        <v>-32.341478617067779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15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mercoledì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7.6465754041144223</v>
      </c>
      <c r="K22" s="96" t="s">
        <v>1154</v>
      </c>
      <c r="L22" s="98">
        <f t="shared" si="0"/>
        <v>7</v>
      </c>
      <c r="M22" s="98">
        <f t="shared" si="1"/>
        <v>38</v>
      </c>
      <c r="N22" s="102">
        <f t="shared" si="2"/>
        <v>47.671454811920171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-21.027237634038908</v>
      </c>
      <c r="G23" s="74" t="s">
        <v>1135</v>
      </c>
      <c r="I23" s="101" t="s">
        <v>1160</v>
      </c>
      <c r="J23" s="97">
        <f>IF(K15&gt;24,K15-24,K15)</f>
        <v>17.673954497614421</v>
      </c>
      <c r="K23" s="96" t="s">
        <v>1154</v>
      </c>
      <c r="L23" s="98">
        <f t="shared" si="0"/>
        <v>17</v>
      </c>
      <c r="M23" s="98">
        <f t="shared" si="1"/>
        <v>40</v>
      </c>
      <c r="N23" s="102">
        <f t="shared" si="2"/>
        <v>26.236191411915399</v>
      </c>
      <c r="O23" s="73"/>
    </row>
    <row r="24" spans="1:15" ht="14.25" customHeight="1">
      <c r="B24" s="72"/>
      <c r="I24" s="101" t="s">
        <v>1161</v>
      </c>
      <c r="J24" s="97">
        <f>J23+(G8*4/60)</f>
        <v>17.673954497614421</v>
      </c>
      <c r="K24" s="96" t="s">
        <v>1154</v>
      </c>
      <c r="L24" s="98">
        <f t="shared" si="0"/>
        <v>17</v>
      </c>
      <c r="M24" s="98">
        <f t="shared" si="1"/>
        <v>40</v>
      </c>
      <c r="N24" s="102">
        <f t="shared" si="2"/>
        <v>26.236191411915399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-9.365914468271141</v>
      </c>
      <c r="G25" s="85" t="s">
        <v>1163</v>
      </c>
      <c r="H25" s="104"/>
      <c r="I25" s="76" t="s">
        <v>1164</v>
      </c>
      <c r="J25" s="105">
        <f>J20-(F25/60)</f>
        <v>10.156098574471185</v>
      </c>
      <c r="K25" s="96" t="s">
        <v>1154</v>
      </c>
      <c r="L25" s="98">
        <f t="shared" si="0"/>
        <v>10</v>
      </c>
      <c r="M25" s="98">
        <f t="shared" si="1"/>
        <v>9</v>
      </c>
      <c r="N25" s="102">
        <f t="shared" si="2"/>
        <v>21.95486809626729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52.056224720543845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68.972762365961088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66.563965006630099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113.4360349933699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4.8672135736352393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52</v>
      </c>
      <c r="J34" s="99">
        <f t="shared" ref="J34:J42" si="5">(((F34-H34)*60)-I34)*60</f>
        <v>1.9688650868613422</v>
      </c>
      <c r="M34" s="108">
        <f>F34+G12</f>
        <v>4.8672135736352393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5.2980807960743057</v>
      </c>
      <c r="G35" s="96" t="s">
        <v>1171</v>
      </c>
      <c r="H35" s="98">
        <f t="shared" si="3"/>
        <v>5</v>
      </c>
      <c r="I35" s="98">
        <f t="shared" si="4"/>
        <v>17</v>
      </c>
      <c r="J35" s="99">
        <f t="shared" si="5"/>
        <v>53.090865867500554</v>
      </c>
      <c r="M35" s="108">
        <f>F35+G12</f>
        <v>5.2980807960743057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5.7274459927873904</v>
      </c>
      <c r="G36" s="96" t="s">
        <v>1171</v>
      </c>
      <c r="H36" s="98">
        <f t="shared" si="3"/>
        <v>5</v>
      </c>
      <c r="I36" s="98">
        <f t="shared" si="4"/>
        <v>43</v>
      </c>
      <c r="J36" s="99">
        <f t="shared" si="5"/>
        <v>38.805574034605286</v>
      </c>
      <c r="M36" s="108">
        <f>F36+G12</f>
        <v>5.7274459927873904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6.0965952931729124</v>
      </c>
      <c r="G37" s="96" t="s">
        <v>1171</v>
      </c>
      <c r="H37" s="98">
        <f t="shared" si="3"/>
        <v>6</v>
      </c>
      <c r="I37" s="98">
        <f t="shared" si="4"/>
        <v>5</v>
      </c>
      <c r="J37" s="99">
        <f t="shared" si="5"/>
        <v>47.743055422484559</v>
      </c>
      <c r="M37" s="108">
        <f>F37+G12</f>
        <v>6.0965952931729124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12.156098574471185</v>
      </c>
      <c r="G38" s="96" t="s">
        <v>1171</v>
      </c>
      <c r="H38" s="98">
        <f t="shared" si="3"/>
        <v>12</v>
      </c>
      <c r="I38" s="98">
        <f t="shared" si="4"/>
        <v>9</v>
      </c>
      <c r="J38" s="99">
        <f t="shared" si="5"/>
        <v>21.95486809626729</v>
      </c>
      <c r="K38" s="109"/>
      <c r="L38" s="81"/>
      <c r="M38" s="108">
        <f>F38+G12</f>
        <v>12.156098574471185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18.215601855769457</v>
      </c>
      <c r="G39" s="96" t="s">
        <v>1171</v>
      </c>
      <c r="H39" s="98">
        <f t="shared" si="3"/>
        <v>18</v>
      </c>
      <c r="I39" s="98">
        <f t="shared" si="4"/>
        <v>12</v>
      </c>
      <c r="J39" s="99">
        <f t="shared" si="5"/>
        <v>56.166680770043627</v>
      </c>
      <c r="K39" s="109"/>
      <c r="L39" s="75"/>
      <c r="M39" s="108">
        <f>F39+G12</f>
        <v>18.215601855769457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18.584751156154979</v>
      </c>
      <c r="G40" s="96" t="s">
        <v>1171</v>
      </c>
      <c r="H40" s="98">
        <f t="shared" si="3"/>
        <v>18</v>
      </c>
      <c r="I40" s="98">
        <f t="shared" si="4"/>
        <v>35</v>
      </c>
      <c r="J40" s="99">
        <f t="shared" si="5"/>
        <v>5.1041621579258845</v>
      </c>
      <c r="K40" s="109"/>
      <c r="L40" s="111"/>
      <c r="M40" s="108">
        <f>F40+G12</f>
        <v>18.584751156154979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19.014116352868061</v>
      </c>
      <c r="G41" s="96" t="s">
        <v>1171</v>
      </c>
      <c r="H41" s="98">
        <f t="shared" si="3"/>
        <v>19</v>
      </c>
      <c r="I41" s="98">
        <f t="shared" si="4"/>
        <v>0</v>
      </c>
      <c r="J41" s="99">
        <f t="shared" si="5"/>
        <v>50.818870325021237</v>
      </c>
      <c r="K41" s="109"/>
      <c r="L41" s="111"/>
      <c r="M41" s="108">
        <f>F41+G12</f>
        <v>19.014116352868061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19.444983575307131</v>
      </c>
      <c r="G42" s="96" t="s">
        <v>1171</v>
      </c>
      <c r="H42" s="98">
        <f t="shared" si="3"/>
        <v>19</v>
      </c>
      <c r="I42" s="98">
        <f t="shared" si="4"/>
        <v>26</v>
      </c>
      <c r="J42" s="99">
        <f t="shared" si="5"/>
        <v>41.940871105669828</v>
      </c>
      <c r="K42" s="109"/>
      <c r="L42" s="81"/>
      <c r="M42" s="108">
        <f>F42+G12</f>
        <v>19.444983575307131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12.119006562596544</v>
      </c>
      <c r="G44" s="96" t="s">
        <v>1171</v>
      </c>
      <c r="H44" s="98">
        <f>TRUNC(F44)</f>
        <v>12</v>
      </c>
      <c r="I44" s="98">
        <f>TRUNC((F44-H44)*60)</f>
        <v>7</v>
      </c>
      <c r="J44" s="99">
        <f>(((F44-H44)*60)-I44)*60</f>
        <v>8.4236253475590672</v>
      </c>
      <c r="M44" s="108">
        <f>F44+G12</f>
        <v>12.119006562596544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11.880993437403456</v>
      </c>
      <c r="G45" s="96" t="s">
        <v>1171</v>
      </c>
      <c r="H45" s="98">
        <f>TRUNC(F45)</f>
        <v>11</v>
      </c>
      <c r="I45" s="98">
        <f>TRUNC((F45-H45)*60)</f>
        <v>52</v>
      </c>
      <c r="J45" s="99">
        <f>(((F45-H45)*60)-I45)*60</f>
        <v>51.576374652440933</v>
      </c>
      <c r="M45" s="108">
        <f>F45+G12</f>
        <v>11.880993437403456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12.857305163367588</v>
      </c>
      <c r="G46" s="96" t="s">
        <v>1171</v>
      </c>
      <c r="H46" s="98">
        <f>TRUNC(F46)</f>
        <v>12</v>
      </c>
      <c r="I46" s="98">
        <f>TRUNC((F46-H46)*60)</f>
        <v>51</v>
      </c>
      <c r="J46" s="99">
        <f>(((F46-H46)*60)-I46)*60</f>
        <v>26.298588123317188</v>
      </c>
      <c r="M46" s="108">
        <f>F46+G12</f>
        <v>12.857305163367588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9.4222299983281097</v>
      </c>
      <c r="G47" s="96" t="s">
        <v>1171</v>
      </c>
      <c r="H47" s="98">
        <f>TRUNC(F47)</f>
        <v>9</v>
      </c>
      <c r="I47" s="98">
        <f>TRUNC((F47-H47)*60)</f>
        <v>25</v>
      </c>
      <c r="J47" s="99">
        <f>(((F47-H47)*60)-I47)*60</f>
        <v>20.027993981194925</v>
      </c>
      <c r="M47" s="108">
        <f>F47+G12</f>
        <v>9.4222299983281097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4.8672135736352393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52</v>
      </c>
      <c r="J52" s="99">
        <f t="shared" ref="J52:J60" si="8">(((F52-H52)*60)-I52)*60</f>
        <v>1.9688650868613422</v>
      </c>
      <c r="M52" s="108">
        <f>F52+G12</f>
        <v>4.8672135736352393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5.2980807960743057</v>
      </c>
      <c r="G53" s="96" t="s">
        <v>1171</v>
      </c>
      <c r="H53" s="98">
        <f t="shared" si="6"/>
        <v>5</v>
      </c>
      <c r="I53" s="98">
        <f t="shared" si="7"/>
        <v>17</v>
      </c>
      <c r="J53" s="99">
        <f t="shared" si="8"/>
        <v>53.090865867500554</v>
      </c>
      <c r="M53" s="108">
        <f>F53+G12</f>
        <v>5.2980807960743057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5.7274459927873904</v>
      </c>
      <c r="G54" s="96" t="s">
        <v>1171</v>
      </c>
      <c r="H54" s="98">
        <f t="shared" si="6"/>
        <v>5</v>
      </c>
      <c r="I54" s="98">
        <f t="shared" si="7"/>
        <v>43</v>
      </c>
      <c r="J54" s="99">
        <f t="shared" si="8"/>
        <v>38.805574034605286</v>
      </c>
      <c r="M54" s="108">
        <f>F54+G12</f>
        <v>5.7274459927873904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6.1560985744711854</v>
      </c>
      <c r="G55" s="96" t="s">
        <v>1171</v>
      </c>
      <c r="H55" s="98">
        <f t="shared" si="6"/>
        <v>6</v>
      </c>
      <c r="I55" s="98">
        <f t="shared" si="7"/>
        <v>9</v>
      </c>
      <c r="J55" s="99">
        <f t="shared" si="8"/>
        <v>21.95486809626729</v>
      </c>
      <c r="M55" s="108">
        <f>F55+G12</f>
        <v>6.1560985744711854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12.156098574471185</v>
      </c>
      <c r="G56" s="96" t="s">
        <v>1171</v>
      </c>
      <c r="H56" s="98">
        <f t="shared" si="6"/>
        <v>12</v>
      </c>
      <c r="I56" s="98">
        <f t="shared" si="7"/>
        <v>9</v>
      </c>
      <c r="J56" s="99">
        <f t="shared" si="8"/>
        <v>21.95486809626729</v>
      </c>
      <c r="K56" s="109"/>
      <c r="L56" s="81"/>
      <c r="M56" s="108">
        <f>F56+G12</f>
        <v>12.156098574471185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18.156098574471187</v>
      </c>
      <c r="G57" s="96" t="s">
        <v>1171</v>
      </c>
      <c r="H57" s="98">
        <f t="shared" si="6"/>
        <v>18</v>
      </c>
      <c r="I57" s="98">
        <f t="shared" si="7"/>
        <v>9</v>
      </c>
      <c r="J57" s="99">
        <f t="shared" si="8"/>
        <v>21.954868096273685</v>
      </c>
      <c r="K57" s="109"/>
      <c r="L57" s="75"/>
      <c r="M57" s="108">
        <f>F57+G12</f>
        <v>18.156098574471187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18.584751156154983</v>
      </c>
      <c r="G58" s="96" t="s">
        <v>1171</v>
      </c>
      <c r="H58" s="98">
        <f t="shared" si="6"/>
        <v>18</v>
      </c>
      <c r="I58" s="98">
        <f t="shared" si="7"/>
        <v>35</v>
      </c>
      <c r="J58" s="99">
        <f t="shared" si="8"/>
        <v>5.1041621579386742</v>
      </c>
      <c r="K58" s="109"/>
      <c r="L58" s="111"/>
      <c r="M58" s="108">
        <f>F58+G12</f>
        <v>18.584751156154983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19.014116352868065</v>
      </c>
      <c r="G59" s="96" t="s">
        <v>1171</v>
      </c>
      <c r="H59" s="98">
        <f t="shared" si="6"/>
        <v>19</v>
      </c>
      <c r="I59" s="98">
        <f t="shared" si="7"/>
        <v>0</v>
      </c>
      <c r="J59" s="99">
        <f t="shared" si="8"/>
        <v>50.818870325034027</v>
      </c>
      <c r="K59" s="109"/>
      <c r="L59" s="111"/>
      <c r="M59" s="108">
        <f>F59+G12</f>
        <v>19.014116352868065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19.444983575307134</v>
      </c>
      <c r="G60" s="96" t="s">
        <v>1171</v>
      </c>
      <c r="H60" s="98">
        <f t="shared" si="6"/>
        <v>19</v>
      </c>
      <c r="I60" s="98">
        <f t="shared" si="7"/>
        <v>26</v>
      </c>
      <c r="J60" s="99">
        <f t="shared" si="8"/>
        <v>41.940871105682618</v>
      </c>
      <c r="K60" s="109"/>
      <c r="L60" s="81"/>
      <c r="M60" s="108">
        <f>F60+G12</f>
        <v>19.444983575307134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12.000000000000002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6.3948846218409017E-12</v>
      </c>
      <c r="M62" s="108">
        <f>F62+G12</f>
        <v>12.000000000000002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11.999999999999998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-6.3948846218409017E-12</v>
      </c>
      <c r="M63" s="108">
        <f>F63+G12</f>
        <v>11.999999999999998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12.857305163367592</v>
      </c>
      <c r="G64" s="96" t="s">
        <v>1171</v>
      </c>
      <c r="H64" s="98">
        <f>TRUNC(F64)</f>
        <v>12</v>
      </c>
      <c r="I64" s="98">
        <f>TRUNC((F64-H64)*60)</f>
        <v>51</v>
      </c>
      <c r="J64" s="99">
        <f>(((F64-H64)*60)-I64)*60</f>
        <v>26.298588123329978</v>
      </c>
      <c r="M64" s="108">
        <f>F64+G12</f>
        <v>12.857305163367592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9.4222299983281061</v>
      </c>
      <c r="G65" s="96" t="s">
        <v>1171</v>
      </c>
      <c r="H65" s="98">
        <f>TRUNC(F65)</f>
        <v>9</v>
      </c>
      <c r="I65" s="98">
        <f>TRUNC((F65-H65)*60)</f>
        <v>25</v>
      </c>
      <c r="J65" s="99">
        <f>(((F65-H65)*60)-I65)*60</f>
        <v>20.027993981182135</v>
      </c>
      <c r="M65" s="108">
        <f>F65+G12</f>
        <v>9.4222299983281061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XzjyQKoSebzF25KFdgH0PRLzwedR9j/SrOjytdbkgwuoqPUmRdEX4wbFUfHcQap/BqrBB2bsg2SNV9lLVlFmww==" saltValue="9dAJCCAouf0NEqtYUguGBw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1"/>
  <dimension ref="A1:P69"/>
  <sheetViews>
    <sheetView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2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2024</v>
      </c>
      <c r="D14" s="88">
        <f>IF(D8&gt;2,D8,D8+12)</f>
        <v>14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2460721.5</v>
      </c>
      <c r="G14" s="1005"/>
      <c r="H14" s="88">
        <f>TRUNC(F14+1.5)-7*TRUNC((F14+1.5)/7)</f>
        <v>6</v>
      </c>
      <c r="I14" s="1013">
        <f>(F14-2451545)/36525</f>
        <v>0.25123887748117729</v>
      </c>
      <c r="J14" s="1005"/>
      <c r="K14" s="1004">
        <f>2400.051336907*I14+0.000025862*I14^2-0.000000002*I14^3</f>
        <v>602.9862054141164</v>
      </c>
      <c r="L14" s="1005"/>
      <c r="M14" s="89">
        <f>23.439291111-0.013004167*I14-0.000000164*I14^2+0.000000503*I14^3</f>
        <v>23.436023956305299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90.853923704979138</v>
      </c>
      <c r="D15" s="91">
        <f>ACOS((SIN(-6*PI()/180)-(SIN(G7*PI()/180)*SIN(F23*PI()/180)))/((COS(G7*PI()/180)*COS(F23*PI()/180))))*180/PI()</f>
        <v>96.150459206116679</v>
      </c>
      <c r="E15" s="91">
        <f>ACOS((SIN(-12*PI()/180)-(SIN(G7*PI()/180)*SIN(F23*PI()/180)))/((COS(G7*PI()/180)*COS(F23*PI()/180))))*180/PI()</f>
        <v>102.30441073764904</v>
      </c>
      <c r="F15" s="91">
        <f>ACOS((SIN(-18*PI()/180)-(SIN(G7*PI()/180)*SIN(F23*PI()/180)))/((COS(G7*PI()/180)*COS(F23*PI()/180))))*180/PI()</f>
        <v>108.46568555959554</v>
      </c>
      <c r="G15" s="92">
        <f>ABS(D15-C15)/15</f>
        <v>0.35310236674250273</v>
      </c>
      <c r="H15" s="92">
        <f>ABS(E15-C15)/15</f>
        <v>0.76336580217799321</v>
      </c>
      <c r="I15" s="92">
        <f>ABS(F15-C15)/15</f>
        <v>1.1741174569744268</v>
      </c>
      <c r="J15" s="93">
        <f>(D12-F38)*15</f>
        <v>-33.538589222886614</v>
      </c>
      <c r="K15" s="1004">
        <f>J22+((J20+G12)*1.00273790935)</f>
        <v>19.710959065616397</v>
      </c>
      <c r="L15" s="1005"/>
      <c r="M15" s="89">
        <f>6.697374558+(K14-(TRUNC(K14/24)*24))</f>
        <v>9.683579972116398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96.150459206116679</v>
      </c>
      <c r="E16" s="91">
        <f>ACOS((SIN(-12*PI()/180)-(SIN(G7*PI()/180)*SIN(F23*PI()/180)))/((COS(G7*PI()/180)*COS(F23*PI()/180))))*180/PI()</f>
        <v>102.30441073764904</v>
      </c>
      <c r="F16" s="91">
        <f>ACOS((SIN(-18*PI()/180)-(SIN(G7*PI()/180)*SIN(F23*PI()/180)))/((COS(G7*PI()/180)*COS(F23*PI()/180))))*180/PI()</f>
        <v>108.46568555959554</v>
      </c>
      <c r="G16" s="92">
        <f>ABS(D16-C16)/15</f>
        <v>0.41003061374111194</v>
      </c>
      <c r="H16" s="92">
        <f>ABS(E16-C16)/15</f>
        <v>0.82029404917660242</v>
      </c>
      <c r="I16" s="92">
        <f>ABS(F16-C16)/15</f>
        <v>1.231045703973036</v>
      </c>
      <c r="J16" s="93">
        <f>(D12-F38)*15</f>
        <v>-33.538589222886614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46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sabato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9.683579972116398</v>
      </c>
      <c r="K22" s="96" t="s">
        <v>1154</v>
      </c>
      <c r="L22" s="98">
        <f t="shared" si="0"/>
        <v>9</v>
      </c>
      <c r="M22" s="98">
        <f t="shared" si="1"/>
        <v>41</v>
      </c>
      <c r="N22" s="102">
        <f t="shared" si="2"/>
        <v>0.88789961903273706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-12.675743161475509</v>
      </c>
      <c r="G23" s="74" t="s">
        <v>1135</v>
      </c>
      <c r="I23" s="101" t="s">
        <v>1160</v>
      </c>
      <c r="J23" s="97">
        <f>IF(K15&gt;24,K15-24,K15)</f>
        <v>19.710959065616397</v>
      </c>
      <c r="K23" s="96" t="s">
        <v>1154</v>
      </c>
      <c r="L23" s="98">
        <f t="shared" si="0"/>
        <v>19</v>
      </c>
      <c r="M23" s="98">
        <f t="shared" si="1"/>
        <v>42</v>
      </c>
      <c r="N23" s="102">
        <f t="shared" si="2"/>
        <v>39.452636219027966</v>
      </c>
      <c r="O23" s="73"/>
    </row>
    <row r="24" spans="1:15" ht="14.25" customHeight="1">
      <c r="B24" s="72"/>
      <c r="I24" s="101" t="s">
        <v>1161</v>
      </c>
      <c r="J24" s="97">
        <f>J23+(G8*4/60)</f>
        <v>19.710959065616397</v>
      </c>
      <c r="K24" s="96" t="s">
        <v>1154</v>
      </c>
      <c r="L24" s="98">
        <f t="shared" si="0"/>
        <v>19</v>
      </c>
      <c r="M24" s="98">
        <f t="shared" si="1"/>
        <v>42</v>
      </c>
      <c r="N24" s="102">
        <f t="shared" si="2"/>
        <v>39.452636219027966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-14.154356891546454</v>
      </c>
      <c r="G25" s="85" t="s">
        <v>1163</v>
      </c>
      <c r="H25" s="104"/>
      <c r="I25" s="76" t="s">
        <v>1164</v>
      </c>
      <c r="J25" s="105">
        <f>J20-(F25/60)</f>
        <v>10.235905948192441</v>
      </c>
      <c r="K25" s="96" t="s">
        <v>1154</v>
      </c>
      <c r="L25" s="98">
        <f t="shared" si="0"/>
        <v>10</v>
      </c>
      <c r="M25" s="98">
        <f t="shared" si="1"/>
        <v>14</v>
      </c>
      <c r="N25" s="102">
        <f t="shared" si="2"/>
        <v>9.2614134927869429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54.409680875557221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77.324256838524491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66.563976043694709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113.43602395630529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5.0048602442194046</v>
      </c>
      <c r="G34" s="96" t="s">
        <v>1171</v>
      </c>
      <c r="H34" s="98">
        <f t="shared" ref="H34:H42" si="3">TRUNC(F34)</f>
        <v>5</v>
      </c>
      <c r="I34" s="98">
        <f t="shared" ref="I34:I42" si="4">TRUNC((F34-H34)*60)</f>
        <v>0</v>
      </c>
      <c r="J34" s="99">
        <f t="shared" ref="J34:J42" si="5">(((F34-H34)*60)-I34)*60</f>
        <v>17.496879189856429</v>
      </c>
      <c r="M34" s="108">
        <f>F34+G12</f>
        <v>5.0048602442194046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5.4156118990158379</v>
      </c>
      <c r="G35" s="96" t="s">
        <v>1171</v>
      </c>
      <c r="H35" s="98">
        <f t="shared" si="3"/>
        <v>5</v>
      </c>
      <c r="I35" s="98">
        <f t="shared" si="4"/>
        <v>24</v>
      </c>
      <c r="J35" s="99">
        <f t="shared" si="5"/>
        <v>56.202836457016616</v>
      </c>
      <c r="M35" s="108">
        <f>F35+G12</f>
        <v>5.4156118990158379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5.8258753344513288</v>
      </c>
      <c r="G36" s="96" t="s">
        <v>1171</v>
      </c>
      <c r="H36" s="98">
        <f t="shared" si="3"/>
        <v>5</v>
      </c>
      <c r="I36" s="98">
        <f t="shared" si="4"/>
        <v>49</v>
      </c>
      <c r="J36" s="99">
        <f t="shared" si="5"/>
        <v>33.151204024783567</v>
      </c>
      <c r="M36" s="108">
        <f>F36+G12</f>
        <v>5.8258753344513288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6.1789777011938316</v>
      </c>
      <c r="G37" s="96" t="s">
        <v>1171</v>
      </c>
      <c r="H37" s="98">
        <f t="shared" si="3"/>
        <v>6</v>
      </c>
      <c r="I37" s="98">
        <f t="shared" si="4"/>
        <v>10</v>
      </c>
      <c r="J37" s="99">
        <f t="shared" si="5"/>
        <v>44.319724297793783</v>
      </c>
      <c r="M37" s="108">
        <f>F37+G12</f>
        <v>6.1789777011938316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12.235905948192441</v>
      </c>
      <c r="G38" s="96" t="s">
        <v>1171</v>
      </c>
      <c r="H38" s="98">
        <f t="shared" si="3"/>
        <v>12</v>
      </c>
      <c r="I38" s="98">
        <f t="shared" si="4"/>
        <v>14</v>
      </c>
      <c r="J38" s="99">
        <f t="shared" si="5"/>
        <v>9.2614134927869429</v>
      </c>
      <c r="K38" s="109"/>
      <c r="L38" s="81"/>
      <c r="M38" s="108">
        <f>F38+G12</f>
        <v>12.235905948192441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18.292834195191048</v>
      </c>
      <c r="G39" s="96" t="s">
        <v>1171</v>
      </c>
      <c r="H39" s="98">
        <f t="shared" si="3"/>
        <v>18</v>
      </c>
      <c r="I39" s="98">
        <f t="shared" si="4"/>
        <v>17</v>
      </c>
      <c r="J39" s="99">
        <f t="shared" si="5"/>
        <v>34.203102687773708</v>
      </c>
      <c r="K39" s="109"/>
      <c r="L39" s="75"/>
      <c r="M39" s="108">
        <f>F39+G12</f>
        <v>18.292834195191048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18.645936561933549</v>
      </c>
      <c r="G40" s="96" t="s">
        <v>1171</v>
      </c>
      <c r="H40" s="98">
        <f t="shared" si="3"/>
        <v>18</v>
      </c>
      <c r="I40" s="98">
        <f t="shared" si="4"/>
        <v>38</v>
      </c>
      <c r="J40" s="99">
        <f t="shared" si="5"/>
        <v>45.371622960777529</v>
      </c>
      <c r="K40" s="109"/>
      <c r="L40" s="111"/>
      <c r="M40" s="108">
        <f>F40+G12</f>
        <v>18.645936561933549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19.056199997369042</v>
      </c>
      <c r="G41" s="96" t="s">
        <v>1171</v>
      </c>
      <c r="H41" s="98">
        <f t="shared" si="3"/>
        <v>19</v>
      </c>
      <c r="I41" s="98">
        <f t="shared" si="4"/>
        <v>3</v>
      </c>
      <c r="J41" s="99">
        <f t="shared" si="5"/>
        <v>22.319990528550875</v>
      </c>
      <c r="K41" s="109"/>
      <c r="L41" s="111"/>
      <c r="M41" s="108">
        <f>F41+G12</f>
        <v>19.056199997369042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19.466951652165474</v>
      </c>
      <c r="G42" s="96" t="s">
        <v>1171</v>
      </c>
      <c r="H42" s="98">
        <f t="shared" si="3"/>
        <v>19</v>
      </c>
      <c r="I42" s="98">
        <f t="shared" si="4"/>
        <v>28</v>
      </c>
      <c r="J42" s="99">
        <f t="shared" si="5"/>
        <v>1.025947795704667</v>
      </c>
      <c r="K42" s="109"/>
      <c r="L42" s="81"/>
      <c r="M42" s="108">
        <f>F42+G12</f>
        <v>19.466951652165474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12.113856493997217</v>
      </c>
      <c r="G44" s="96" t="s">
        <v>1171</v>
      </c>
      <c r="H44" s="98">
        <f>TRUNC(F44)</f>
        <v>12</v>
      </c>
      <c r="I44" s="98">
        <f>TRUNC((F44-H44)*60)</f>
        <v>6</v>
      </c>
      <c r="J44" s="99">
        <f>(((F44-H44)*60)-I44)*60</f>
        <v>49.883378389979924</v>
      </c>
      <c r="M44" s="108">
        <f>F44+G12</f>
        <v>12.113856493997217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11.886143506002783</v>
      </c>
      <c r="G45" s="96" t="s">
        <v>1171</v>
      </c>
      <c r="H45" s="98">
        <f>TRUNC(F45)</f>
        <v>11</v>
      </c>
      <c r="I45" s="98">
        <f>TRUNC((F45-H45)*60)</f>
        <v>53</v>
      </c>
      <c r="J45" s="99">
        <f>(((F45-H45)*60)-I45)*60</f>
        <v>10.116621610020076</v>
      </c>
      <c r="M45" s="108">
        <f>F45+G12</f>
        <v>11.886143506002783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12.820061227482221</v>
      </c>
      <c r="G46" s="96" t="s">
        <v>1171</v>
      </c>
      <c r="H46" s="98">
        <f>TRUNC(F46)</f>
        <v>12</v>
      </c>
      <c r="I46" s="98">
        <f>TRUNC((F46-H46)*60)</f>
        <v>49</v>
      </c>
      <c r="J46" s="99">
        <f>(((F46-H46)*60)-I46)*60</f>
        <v>12.220418935993962</v>
      </c>
      <c r="M46" s="108">
        <f>F46+G12</f>
        <v>12.820061227482221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9.537908592053931</v>
      </c>
      <c r="G47" s="96" t="s">
        <v>1171</v>
      </c>
      <c r="H47" s="98">
        <f>TRUNC(F47)</f>
        <v>9</v>
      </c>
      <c r="I47" s="98">
        <f>TRUNC((F47-H47)*60)</f>
        <v>32</v>
      </c>
      <c r="J47" s="99">
        <f>(((F47-H47)*60)-I47)*60</f>
        <v>16.470931394151762</v>
      </c>
      <c r="M47" s="108">
        <f>F47+G12</f>
        <v>9.537908592053931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5.0048602442194046</v>
      </c>
      <c r="G52" s="96" t="s">
        <v>1171</v>
      </c>
      <c r="H52" s="98">
        <f t="shared" ref="H52:H60" si="6">TRUNC(F52)</f>
        <v>5</v>
      </c>
      <c r="I52" s="98">
        <f t="shared" ref="I52:I60" si="7">TRUNC((F52-H52)*60)</f>
        <v>0</v>
      </c>
      <c r="J52" s="99">
        <f t="shared" ref="J52:J60" si="8">(((F52-H52)*60)-I52)*60</f>
        <v>17.496879189856429</v>
      </c>
      <c r="M52" s="108">
        <f>F52+G12</f>
        <v>5.0048602442194046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5.4156118990158379</v>
      </c>
      <c r="G53" s="96" t="s">
        <v>1171</v>
      </c>
      <c r="H53" s="98">
        <f t="shared" si="6"/>
        <v>5</v>
      </c>
      <c r="I53" s="98">
        <f t="shared" si="7"/>
        <v>24</v>
      </c>
      <c r="J53" s="99">
        <f t="shared" si="8"/>
        <v>56.202836457016616</v>
      </c>
      <c r="M53" s="108">
        <f>F53+G12</f>
        <v>5.4156118990158379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5.8258753344513288</v>
      </c>
      <c r="G54" s="96" t="s">
        <v>1171</v>
      </c>
      <c r="H54" s="98">
        <f t="shared" si="6"/>
        <v>5</v>
      </c>
      <c r="I54" s="98">
        <f t="shared" si="7"/>
        <v>49</v>
      </c>
      <c r="J54" s="99">
        <f t="shared" si="8"/>
        <v>33.151204024783567</v>
      </c>
      <c r="M54" s="108">
        <f>F54+G12</f>
        <v>5.8258753344513288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6.2359059481924408</v>
      </c>
      <c r="G55" s="96" t="s">
        <v>1171</v>
      </c>
      <c r="H55" s="98">
        <f t="shared" si="6"/>
        <v>6</v>
      </c>
      <c r="I55" s="98">
        <f t="shared" si="7"/>
        <v>14</v>
      </c>
      <c r="J55" s="99">
        <f t="shared" si="8"/>
        <v>9.2614134927869429</v>
      </c>
      <c r="M55" s="108">
        <f>F55+G12</f>
        <v>6.2359059481924408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12.235905948192441</v>
      </c>
      <c r="G56" s="96" t="s">
        <v>1171</v>
      </c>
      <c r="H56" s="98">
        <f t="shared" si="6"/>
        <v>12</v>
      </c>
      <c r="I56" s="98">
        <f t="shared" si="7"/>
        <v>14</v>
      </c>
      <c r="J56" s="99">
        <f t="shared" si="8"/>
        <v>9.2614134927869429</v>
      </c>
      <c r="K56" s="109"/>
      <c r="L56" s="81"/>
      <c r="M56" s="108">
        <f>F56+G12</f>
        <v>12.235905948192441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18.235905948192439</v>
      </c>
      <c r="G57" s="96" t="s">
        <v>1171</v>
      </c>
      <c r="H57" s="98">
        <f t="shared" si="6"/>
        <v>18</v>
      </c>
      <c r="I57" s="98">
        <f t="shared" si="7"/>
        <v>14</v>
      </c>
      <c r="J57" s="99">
        <f t="shared" si="8"/>
        <v>9.261413492780548</v>
      </c>
      <c r="K57" s="109"/>
      <c r="L57" s="75"/>
      <c r="M57" s="108">
        <f>F57+G12</f>
        <v>18.235905948192439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18.645936561933549</v>
      </c>
      <c r="G58" s="96" t="s">
        <v>1171</v>
      </c>
      <c r="H58" s="98">
        <f t="shared" si="6"/>
        <v>18</v>
      </c>
      <c r="I58" s="98">
        <f t="shared" si="7"/>
        <v>38</v>
      </c>
      <c r="J58" s="99">
        <f t="shared" si="8"/>
        <v>45.371622960777529</v>
      </c>
      <c r="K58" s="109"/>
      <c r="L58" s="111"/>
      <c r="M58" s="108">
        <f>F58+G12</f>
        <v>18.645936561933549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19.056199997369042</v>
      </c>
      <c r="G59" s="96" t="s">
        <v>1171</v>
      </c>
      <c r="H59" s="98">
        <f t="shared" si="6"/>
        <v>19</v>
      </c>
      <c r="I59" s="98">
        <f t="shared" si="7"/>
        <v>3</v>
      </c>
      <c r="J59" s="99">
        <f t="shared" si="8"/>
        <v>22.319990528550875</v>
      </c>
      <c r="K59" s="109"/>
      <c r="L59" s="111"/>
      <c r="M59" s="108">
        <f>F59+G12</f>
        <v>19.056199997369042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19.466951652165474</v>
      </c>
      <c r="G60" s="96" t="s">
        <v>1171</v>
      </c>
      <c r="H60" s="98">
        <f t="shared" si="6"/>
        <v>19</v>
      </c>
      <c r="I60" s="98">
        <f t="shared" si="7"/>
        <v>28</v>
      </c>
      <c r="J60" s="99">
        <f t="shared" si="8"/>
        <v>1.025947795704667</v>
      </c>
      <c r="K60" s="109"/>
      <c r="L60" s="81"/>
      <c r="M60" s="108">
        <f>F60+G12</f>
        <v>19.466951652165474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11.999999999999998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-6.3948846218409017E-12</v>
      </c>
      <c r="M62" s="108">
        <f>F62+G12</f>
        <v>11.999999999999998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12.000000000000002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6.3948846218409017E-12</v>
      </c>
      <c r="M63" s="108">
        <f>F63+G12</f>
        <v>12.000000000000002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12.820061227482221</v>
      </c>
      <c r="G64" s="96" t="s">
        <v>1171</v>
      </c>
      <c r="H64" s="98">
        <f>TRUNC(F64)</f>
        <v>12</v>
      </c>
      <c r="I64" s="98">
        <f>TRUNC((F64-H64)*60)</f>
        <v>49</v>
      </c>
      <c r="J64" s="99">
        <f>(((F64-H64)*60)-I64)*60</f>
        <v>12.220418935993962</v>
      </c>
      <c r="M64" s="108">
        <f>F64+G12</f>
        <v>12.820061227482221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9.537908592053931</v>
      </c>
      <c r="G65" s="96" t="s">
        <v>1171</v>
      </c>
      <c r="H65" s="98">
        <f>TRUNC(F65)</f>
        <v>9</v>
      </c>
      <c r="I65" s="98">
        <f>TRUNC((F65-H65)*60)</f>
        <v>32</v>
      </c>
      <c r="J65" s="99">
        <f>(((F65-H65)*60)-I65)*60</f>
        <v>16.470931394151762</v>
      </c>
      <c r="M65" s="108">
        <f>F65+G12</f>
        <v>9.537908592053931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V14WBDMeuSJDzECBYQMmdGVzqMLCpGvk+O5/IN+ALYSMg7ebVCVO32UWvk1iRq5amydB0NwCs382sXIn43JyEw==" saltValue="yrolitJ3Xy66HSxem+qddg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2"/>
  <dimension ref="A1:P69"/>
  <sheetViews>
    <sheetView topLeftCell="A10"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3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3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2460749.5</v>
      </c>
      <c r="G14" s="1005"/>
      <c r="H14" s="88">
        <f>TRUNC(F14+1.5)-7*TRUNC((F14+1.5)/7)</f>
        <v>6</v>
      </c>
      <c r="I14" s="1013">
        <f>(F14-2451545)/36525</f>
        <v>0.25200547570157428</v>
      </c>
      <c r="J14" s="1005"/>
      <c r="K14" s="1004">
        <f>2400.051336907*I14+0.000025862*I14^2-0.000000002*I14^3</f>
        <v>604.82608050782756</v>
      </c>
      <c r="L14" s="1005"/>
      <c r="M14" s="89">
        <f>23.439291111-0.013004167*I14-0.000000164*I14^2+0.000000503*I14^3</f>
        <v>23.436013987343991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90.833649513805398</v>
      </c>
      <c r="D15" s="91">
        <f>ACOS((SIN(-6*PI()/180)-(SIN(G7*PI()/180)*SIN(F23*PI()/180)))/((COS(G7*PI()/180)*COS(F23*PI()/180))))*180/PI()</f>
        <v>96.003899612418977</v>
      </c>
      <c r="E15" s="91">
        <f>ACOS((SIN(-12*PI()/180)-(SIN(G7*PI()/180)*SIN(F23*PI()/180)))/((COS(G7*PI()/180)*COS(F23*PI()/180))))*180/PI()</f>
        <v>102.00788643167782</v>
      </c>
      <c r="F15" s="91">
        <f>ACOS((SIN(-18*PI()/180)-(SIN(G7*PI()/180)*SIN(F23*PI()/180)))/((COS(G7*PI()/180)*COS(F23*PI()/180))))*180/PI()</f>
        <v>108.01205564808546</v>
      </c>
      <c r="G15" s="92">
        <f>ABS(D15-C15)/15</f>
        <v>0.34468333990757194</v>
      </c>
      <c r="H15" s="92">
        <f>ABS(E15-C15)/15</f>
        <v>0.74494912785816136</v>
      </c>
      <c r="I15" s="92">
        <f>ABS(F15-C15)/15</f>
        <v>1.1452270756186711</v>
      </c>
      <c r="J15" s="93">
        <f>(D12-F38)*15</f>
        <v>-32.236830256924321</v>
      </c>
      <c r="K15" s="1004">
        <f>J22+((J20+G12)*1.00273790935)</f>
        <v>21.550834159327554</v>
      </c>
      <c r="L15" s="1005"/>
      <c r="M15" s="89">
        <f>6.697374558+(K14-(TRUNC(K14/24)*24))</f>
        <v>11.523455065827555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96.003899612418977</v>
      </c>
      <c r="E16" s="91">
        <f>ACOS((SIN(-12*PI()/180)-(SIN(G7*PI()/180)*SIN(F23*PI()/180)))/((COS(G7*PI()/180)*COS(F23*PI()/180))))*180/PI()</f>
        <v>102.00788643167782</v>
      </c>
      <c r="F16" s="91">
        <f>ACOS((SIN(-18*PI()/180)-(SIN(G7*PI()/180)*SIN(F23*PI()/180)))/((COS(G7*PI()/180)*COS(F23*PI()/180))))*180/PI()</f>
        <v>108.01205564808546</v>
      </c>
      <c r="G16" s="92">
        <f>ABS(D16-C16)/15</f>
        <v>0.40025997416126508</v>
      </c>
      <c r="H16" s="92">
        <f>ABS(E16-C16)/15</f>
        <v>0.80052576211185456</v>
      </c>
      <c r="I16" s="92">
        <f>ABS(F16-C16)/15</f>
        <v>1.2008037098723643</v>
      </c>
      <c r="J16" s="93">
        <f>(D12-F38)*15</f>
        <v>-32.236830256924321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74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sabato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11.523455065827555</v>
      </c>
      <c r="K22" s="96" t="s">
        <v>1154</v>
      </c>
      <c r="L22" s="98">
        <f t="shared" si="0"/>
        <v>11</v>
      </c>
      <c r="M22" s="98">
        <f t="shared" si="1"/>
        <v>31</v>
      </c>
      <c r="N22" s="102">
        <f t="shared" si="2"/>
        <v>24.438236979198678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-2.0613844958660339</v>
      </c>
      <c r="G23" s="74" t="s">
        <v>1135</v>
      </c>
      <c r="I23" s="101" t="s">
        <v>1160</v>
      </c>
      <c r="J23" s="97">
        <f>IF(K15&gt;24,K15-24,K15)</f>
        <v>21.550834159327554</v>
      </c>
      <c r="K23" s="96" t="s">
        <v>1154</v>
      </c>
      <c r="L23" s="98">
        <f t="shared" si="0"/>
        <v>21</v>
      </c>
      <c r="M23" s="98">
        <f t="shared" si="1"/>
        <v>33</v>
      </c>
      <c r="N23" s="102">
        <f t="shared" si="2"/>
        <v>3.0029735791939061</v>
      </c>
      <c r="O23" s="73"/>
    </row>
    <row r="24" spans="1:15" ht="14.25" customHeight="1">
      <c r="B24" s="72"/>
      <c r="I24" s="101" t="s">
        <v>1161</v>
      </c>
      <c r="J24" s="97">
        <f>J23+(G8*4/60)</f>
        <v>21.550834159327554</v>
      </c>
      <c r="K24" s="96" t="s">
        <v>1154</v>
      </c>
      <c r="L24" s="98">
        <f t="shared" si="0"/>
        <v>21</v>
      </c>
      <c r="M24" s="98">
        <f t="shared" si="1"/>
        <v>33</v>
      </c>
      <c r="N24" s="102">
        <f t="shared" si="2"/>
        <v>3.0029735791939061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-8.9473210276972459</v>
      </c>
      <c r="G25" s="85" t="s">
        <v>1163</v>
      </c>
      <c r="H25" s="104"/>
      <c r="I25" s="76" t="s">
        <v>1164</v>
      </c>
      <c r="J25" s="105">
        <f>J20-(F25/60)</f>
        <v>10.149122017128288</v>
      </c>
      <c r="K25" s="96" t="s">
        <v>1154</v>
      </c>
      <c r="L25" s="98">
        <f t="shared" si="0"/>
        <v>10</v>
      </c>
      <c r="M25" s="98">
        <f t="shared" si="1"/>
        <v>8</v>
      </c>
      <c r="N25" s="102">
        <f t="shared" si="2"/>
        <v>56.839261661837952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57.704422173818521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87.938615504133963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66.563986012656017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113.43601398734398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4.9483183072559243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56</v>
      </c>
      <c r="J34" s="99">
        <f t="shared" ref="J34:J42" si="5">(((F34-H34)*60)-I34)*60</f>
        <v>53.945906121327312</v>
      </c>
      <c r="M34" s="108">
        <f>F34+G12</f>
        <v>4.9483183072559243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5.3485962550164334</v>
      </c>
      <c r="G35" s="96" t="s">
        <v>1171</v>
      </c>
      <c r="H35" s="98">
        <f t="shared" si="3"/>
        <v>5</v>
      </c>
      <c r="I35" s="98">
        <f t="shared" si="4"/>
        <v>20</v>
      </c>
      <c r="J35" s="99">
        <f t="shared" si="5"/>
        <v>54.946518059160354</v>
      </c>
      <c r="M35" s="108">
        <f>F35+G12</f>
        <v>5.3485962550164334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5.7488620429670227</v>
      </c>
      <c r="G36" s="96" t="s">
        <v>1171</v>
      </c>
      <c r="H36" s="98">
        <f t="shared" si="3"/>
        <v>5</v>
      </c>
      <c r="I36" s="98">
        <f t="shared" si="4"/>
        <v>44</v>
      </c>
      <c r="J36" s="99">
        <f t="shared" si="5"/>
        <v>55.903354681281883</v>
      </c>
      <c r="M36" s="108">
        <f>F36+G12</f>
        <v>5.7488620429670227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6.0935453828745949</v>
      </c>
      <c r="G37" s="96" t="s">
        <v>1171</v>
      </c>
      <c r="H37" s="98">
        <f t="shared" si="3"/>
        <v>6</v>
      </c>
      <c r="I37" s="98">
        <f t="shared" si="4"/>
        <v>5</v>
      </c>
      <c r="J37" s="99">
        <f t="shared" si="5"/>
        <v>36.763378348541664</v>
      </c>
      <c r="M37" s="108">
        <f>F37+G12</f>
        <v>6.0935453828745949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12.149122017128288</v>
      </c>
      <c r="G38" s="96" t="s">
        <v>1171</v>
      </c>
      <c r="H38" s="98">
        <f t="shared" si="3"/>
        <v>12</v>
      </c>
      <c r="I38" s="98">
        <f t="shared" si="4"/>
        <v>8</v>
      </c>
      <c r="J38" s="99">
        <f t="shared" si="5"/>
        <v>56.839261661837952</v>
      </c>
      <c r="K38" s="109"/>
      <c r="L38" s="81"/>
      <c r="M38" s="108">
        <f>F38+G12</f>
        <v>12.149122017128288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18.204698651381982</v>
      </c>
      <c r="G39" s="96" t="s">
        <v>1171</v>
      </c>
      <c r="H39" s="98">
        <f t="shared" si="3"/>
        <v>18</v>
      </c>
      <c r="I39" s="98">
        <f t="shared" si="4"/>
        <v>12</v>
      </c>
      <c r="J39" s="99">
        <f t="shared" si="5"/>
        <v>16.91514497513424</v>
      </c>
      <c r="K39" s="109"/>
      <c r="L39" s="75"/>
      <c r="M39" s="108">
        <f>F39+G12</f>
        <v>18.204698651381982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18.549381991289554</v>
      </c>
      <c r="G40" s="96" t="s">
        <v>1171</v>
      </c>
      <c r="H40" s="98">
        <f t="shared" si="3"/>
        <v>18</v>
      </c>
      <c r="I40" s="98">
        <f t="shared" si="4"/>
        <v>32</v>
      </c>
      <c r="J40" s="99">
        <f t="shared" si="5"/>
        <v>57.775168642394021</v>
      </c>
      <c r="K40" s="109"/>
      <c r="L40" s="111"/>
      <c r="M40" s="108">
        <f>F40+G12</f>
        <v>18.549381991289554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18.949647779240141</v>
      </c>
      <c r="G41" s="96" t="s">
        <v>1171</v>
      </c>
      <c r="H41" s="98">
        <f t="shared" si="3"/>
        <v>18</v>
      </c>
      <c r="I41" s="98">
        <f t="shared" si="4"/>
        <v>56</v>
      </c>
      <c r="J41" s="99">
        <f t="shared" si="5"/>
        <v>58.732005264509155</v>
      </c>
      <c r="K41" s="109"/>
      <c r="L41" s="111"/>
      <c r="M41" s="108">
        <f>F41+G12</f>
        <v>18.949647779240141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19.349925727000652</v>
      </c>
      <c r="G42" s="96" t="s">
        <v>1171</v>
      </c>
      <c r="H42" s="98">
        <f t="shared" si="3"/>
        <v>19</v>
      </c>
      <c r="I42" s="98">
        <f t="shared" si="4"/>
        <v>20</v>
      </c>
      <c r="J42" s="99">
        <f t="shared" si="5"/>
        <v>59.732617202348592</v>
      </c>
      <c r="K42" s="109"/>
      <c r="L42" s="81"/>
      <c r="M42" s="108">
        <f>F42+G12</f>
        <v>19.349925727000652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12.111153268507387</v>
      </c>
      <c r="G44" s="96" t="s">
        <v>1171</v>
      </c>
      <c r="H44" s="98">
        <f>TRUNC(F44)</f>
        <v>12</v>
      </c>
      <c r="I44" s="98">
        <f>TRUNC((F44-H44)*60)</f>
        <v>6</v>
      </c>
      <c r="J44" s="99">
        <f>(((F44-H44)*60)-I44)*60</f>
        <v>40.151766626592575</v>
      </c>
      <c r="M44" s="108">
        <f>F44+G12</f>
        <v>12.111153268507387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11.888846731492613</v>
      </c>
      <c r="G45" s="96" t="s">
        <v>1171</v>
      </c>
      <c r="H45" s="98">
        <f>TRUNC(F45)</f>
        <v>11</v>
      </c>
      <c r="I45" s="98">
        <f>TRUNC((F45-H45)*60)</f>
        <v>53</v>
      </c>
      <c r="J45" s="99">
        <f>(((F45-H45)*60)-I45)*60</f>
        <v>19.848233373407425</v>
      </c>
      <c r="M45" s="108">
        <f>F45+G12</f>
        <v>11.888846731492613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12.800519948322531</v>
      </c>
      <c r="G46" s="96" t="s">
        <v>1171</v>
      </c>
      <c r="H46" s="98">
        <f>TRUNC(F46)</f>
        <v>12</v>
      </c>
      <c r="I46" s="98">
        <f>TRUNC((F46-H46)*60)</f>
        <v>48</v>
      </c>
      <c r="J46" s="99">
        <f>(((F46-H46)*60)-I46)*60</f>
        <v>1.8718139611121387</v>
      </c>
      <c r="M46" s="108">
        <f>F46+G12</f>
        <v>12.800519948322531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9.5983925802552719</v>
      </c>
      <c r="G47" s="96" t="s">
        <v>1171</v>
      </c>
      <c r="H47" s="98">
        <f>TRUNC(F47)</f>
        <v>9</v>
      </c>
      <c r="I47" s="98">
        <f>TRUNC((F47-H47)*60)</f>
        <v>35</v>
      </c>
      <c r="J47" s="99">
        <f>(((F47-H47)*60)-I47)*60</f>
        <v>54.213288918978719</v>
      </c>
      <c r="M47" s="108">
        <f>F47+G12</f>
        <v>9.5983925802552719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4.9483183072559243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56</v>
      </c>
      <c r="J52" s="99">
        <f t="shared" ref="J52:J60" si="8">(((F52-H52)*60)-I52)*60</f>
        <v>53.945906121327312</v>
      </c>
      <c r="M52" s="108">
        <f>F52+G12</f>
        <v>4.9483183072559243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5.3485962550164334</v>
      </c>
      <c r="G53" s="96" t="s">
        <v>1171</v>
      </c>
      <c r="H53" s="98">
        <f t="shared" si="6"/>
        <v>5</v>
      </c>
      <c r="I53" s="98">
        <f t="shared" si="7"/>
        <v>20</v>
      </c>
      <c r="J53" s="99">
        <f t="shared" si="8"/>
        <v>54.946518059160354</v>
      </c>
      <c r="M53" s="108">
        <f>F53+G12</f>
        <v>5.3485962550164334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5.7488620429670236</v>
      </c>
      <c r="G54" s="96" t="s">
        <v>1171</v>
      </c>
      <c r="H54" s="98">
        <f t="shared" si="6"/>
        <v>5</v>
      </c>
      <c r="I54" s="98">
        <f t="shared" si="7"/>
        <v>44</v>
      </c>
      <c r="J54" s="99">
        <f t="shared" si="8"/>
        <v>55.903354681285293</v>
      </c>
      <c r="M54" s="108">
        <f>F54+G12</f>
        <v>5.7488620429670236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6.1491220171282883</v>
      </c>
      <c r="G55" s="96" t="s">
        <v>1171</v>
      </c>
      <c r="H55" s="98">
        <f t="shared" si="6"/>
        <v>6</v>
      </c>
      <c r="I55" s="98">
        <f t="shared" si="7"/>
        <v>8</v>
      </c>
      <c r="J55" s="99">
        <f t="shared" si="8"/>
        <v>56.839261661837952</v>
      </c>
      <c r="M55" s="108">
        <f>F55+G12</f>
        <v>6.1491220171282883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12.149122017128288</v>
      </c>
      <c r="G56" s="96" t="s">
        <v>1171</v>
      </c>
      <c r="H56" s="98">
        <f t="shared" si="6"/>
        <v>12</v>
      </c>
      <c r="I56" s="98">
        <f t="shared" si="7"/>
        <v>8</v>
      </c>
      <c r="J56" s="99">
        <f t="shared" si="8"/>
        <v>56.839261661837952</v>
      </c>
      <c r="K56" s="109"/>
      <c r="L56" s="81"/>
      <c r="M56" s="108">
        <f>F56+G12</f>
        <v>12.149122017128288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18.149122017128288</v>
      </c>
      <c r="G57" s="96" t="s">
        <v>1171</v>
      </c>
      <c r="H57" s="98">
        <f t="shared" si="6"/>
        <v>18</v>
      </c>
      <c r="I57" s="98">
        <f t="shared" si="7"/>
        <v>8</v>
      </c>
      <c r="J57" s="99">
        <f t="shared" si="8"/>
        <v>56.839261661837952</v>
      </c>
      <c r="K57" s="109"/>
      <c r="L57" s="75"/>
      <c r="M57" s="108">
        <f>F57+G12</f>
        <v>18.149122017128288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18.549381991289554</v>
      </c>
      <c r="G58" s="96" t="s">
        <v>1171</v>
      </c>
      <c r="H58" s="98">
        <f t="shared" si="6"/>
        <v>18</v>
      </c>
      <c r="I58" s="98">
        <f t="shared" si="7"/>
        <v>32</v>
      </c>
      <c r="J58" s="99">
        <f t="shared" si="8"/>
        <v>57.775168642394021</v>
      </c>
      <c r="K58" s="109"/>
      <c r="L58" s="111"/>
      <c r="M58" s="108">
        <f>F58+G12</f>
        <v>18.549381991289554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18.949647779240141</v>
      </c>
      <c r="G59" s="96" t="s">
        <v>1171</v>
      </c>
      <c r="H59" s="98">
        <f t="shared" si="6"/>
        <v>18</v>
      </c>
      <c r="I59" s="98">
        <f t="shared" si="7"/>
        <v>56</v>
      </c>
      <c r="J59" s="99">
        <f t="shared" si="8"/>
        <v>58.732005264509155</v>
      </c>
      <c r="K59" s="109"/>
      <c r="L59" s="111"/>
      <c r="M59" s="108">
        <f>F59+G12</f>
        <v>18.949647779240141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19.349925727000652</v>
      </c>
      <c r="G60" s="96" t="s">
        <v>1171</v>
      </c>
      <c r="H60" s="98">
        <f t="shared" si="6"/>
        <v>19</v>
      </c>
      <c r="I60" s="98">
        <f t="shared" si="7"/>
        <v>20</v>
      </c>
      <c r="J60" s="99">
        <f t="shared" si="8"/>
        <v>59.732617202348592</v>
      </c>
      <c r="K60" s="109"/>
      <c r="L60" s="81"/>
      <c r="M60" s="108">
        <f>F60+G12</f>
        <v>19.349925727000652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0</v>
      </c>
      <c r="M62" s="108">
        <f>F62+G12</f>
        <v>12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0</v>
      </c>
      <c r="M63" s="108">
        <f>F63+G12</f>
        <v>12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12.800519948322531</v>
      </c>
      <c r="G64" s="96" t="s">
        <v>1171</v>
      </c>
      <c r="H64" s="98">
        <f>TRUNC(F64)</f>
        <v>12</v>
      </c>
      <c r="I64" s="98">
        <f>TRUNC((F64-H64)*60)</f>
        <v>48</v>
      </c>
      <c r="J64" s="99">
        <f>(((F64-H64)*60)-I64)*60</f>
        <v>1.8718139611121387</v>
      </c>
      <c r="M64" s="108">
        <f>F64+G12</f>
        <v>12.800519948322531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9.5983925802552719</v>
      </c>
      <c r="G65" s="96" t="s">
        <v>1171</v>
      </c>
      <c r="H65" s="98">
        <f>TRUNC(F65)</f>
        <v>9</v>
      </c>
      <c r="I65" s="98">
        <f>TRUNC((F65-H65)*60)</f>
        <v>35</v>
      </c>
      <c r="J65" s="99">
        <f>(((F65-H65)*60)-I65)*60</f>
        <v>54.213288918978719</v>
      </c>
      <c r="M65" s="108">
        <f>F65+G12</f>
        <v>9.5983925802552719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7qSl6brGgDCndILjERr7zgmbShvQIqoJR5CS5nkXCQJIGA9hZqmRZ7pBZloYz1eZmRP8JrzZ9Erj3sfl91OBpg==" saltValue="3F3EnHisliXXhxhd6+oLnA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3"/>
  <dimension ref="A1:P69"/>
  <sheetViews>
    <sheetView topLeftCell="A8"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6" width="16.28515625" style="74" customWidth="1"/>
    <col min="7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4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4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2460780.5</v>
      </c>
      <c r="G14" s="1005"/>
      <c r="H14" s="88">
        <f>TRUNC(F14+1.5)-7*TRUNC((F14+1.5)/7)</f>
        <v>2</v>
      </c>
      <c r="I14" s="1013">
        <f>(F14-2451545)/36525</f>
        <v>0.25285420944558523</v>
      </c>
      <c r="J14" s="1005"/>
      <c r="K14" s="1004">
        <f>2400.051336907*I14+0.000025862*I14^2-0.000000002*I14^3</f>
        <v>606.86308507590059</v>
      </c>
      <c r="L14" s="1005"/>
      <c r="M14" s="89">
        <f>23.439291111-0.013004167*I14-0.000000164*I14^2+0.000000503*I14^3</f>
        <v>23.436002950279981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90.845688555575649</v>
      </c>
      <c r="D15" s="91">
        <f>ACOS((SIN(-6*PI()/180)-(SIN(G7*PI()/180)*SIN(F23*PI()/180)))/((COS(G7*PI()/180)*COS(F23*PI()/180))))*180/PI()</f>
        <v>96.090923615388647</v>
      </c>
      <c r="E15" s="91">
        <f>ACOS((SIN(-12*PI()/180)-(SIN(G7*PI()/180)*SIN(F23*PI()/180)))/((COS(G7*PI()/180)*COS(F23*PI()/180))))*180/PI()</f>
        <v>102.18392617170282</v>
      </c>
      <c r="F15" s="91">
        <f>ACOS((SIN(-18*PI()/180)-(SIN(G7*PI()/180)*SIN(F23*PI()/180)))/((COS(G7*PI()/180)*COS(F23*PI()/180))))*180/PI()</f>
        <v>108.28128357868231</v>
      </c>
      <c r="G15" s="92">
        <f>ABS(D15-C15)/15</f>
        <v>0.34968233732086657</v>
      </c>
      <c r="H15" s="92">
        <f>ABS(E15-C15)/15</f>
        <v>0.75588250774181154</v>
      </c>
      <c r="I15" s="92">
        <f>ABS(F15-C15)/15</f>
        <v>1.1623730015404439</v>
      </c>
      <c r="J15" s="93">
        <f>(D12-F38)*15</f>
        <v>-30.010614215545772</v>
      </c>
      <c r="K15" s="1004">
        <f>J22+((J20+G12)*1.00273790935)</f>
        <v>23.587838727400584</v>
      </c>
      <c r="L15" s="1005"/>
      <c r="M15" s="89">
        <f>6.697374558+(K14-(TRUNC(K14/24)*24))</f>
        <v>13.560459633900585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96.090923615388647</v>
      </c>
      <c r="E16" s="91">
        <f>ACOS((SIN(-12*PI()/180)-(SIN(G7*PI()/180)*SIN(F23*PI()/180)))/((COS(G7*PI()/180)*COS(F23*PI()/180))))*180/PI()</f>
        <v>102.18392617170282</v>
      </c>
      <c r="F16" s="91">
        <f>ACOS((SIN(-18*PI()/180)-(SIN(G7*PI()/180)*SIN(F23*PI()/180)))/((COS(G7*PI()/180)*COS(F23*PI()/180))))*180/PI()</f>
        <v>108.28128357868231</v>
      </c>
      <c r="G16" s="92">
        <f>ABS(D16-C16)/15</f>
        <v>0.40606157435924312</v>
      </c>
      <c r="H16" s="92">
        <f>ABS(E16-C16)/15</f>
        <v>0.8122617447801882</v>
      </c>
      <c r="I16" s="92">
        <f>ABS(F16-C16)/15</f>
        <v>1.2187522385788203</v>
      </c>
      <c r="J16" s="93">
        <f>(D12-F38)*15</f>
        <v>-30.010614215545772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105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martedì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13.560459633900585</v>
      </c>
      <c r="K22" s="96" t="s">
        <v>1154</v>
      </c>
      <c r="L22" s="98">
        <f t="shared" si="0"/>
        <v>13</v>
      </c>
      <c r="M22" s="98">
        <f t="shared" si="1"/>
        <v>33</v>
      </c>
      <c r="N22" s="102">
        <f t="shared" si="2"/>
        <v>37.654682042106629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9.8940081725313576</v>
      </c>
      <c r="G23" s="74" t="s">
        <v>1135</v>
      </c>
      <c r="I23" s="101" t="s">
        <v>1160</v>
      </c>
      <c r="J23" s="97">
        <f>IF(K15&gt;24,K15-24,K15)</f>
        <v>23.587838727400584</v>
      </c>
      <c r="K23" s="96" t="s">
        <v>1154</v>
      </c>
      <c r="L23" s="98">
        <f t="shared" si="0"/>
        <v>23</v>
      </c>
      <c r="M23" s="98">
        <f t="shared" si="1"/>
        <v>35</v>
      </c>
      <c r="N23" s="102">
        <f t="shared" si="2"/>
        <v>16.219418642101857</v>
      </c>
      <c r="O23" s="73"/>
    </row>
    <row r="24" spans="1:15" ht="14.25" customHeight="1">
      <c r="B24" s="72"/>
      <c r="I24" s="101" t="s">
        <v>1161</v>
      </c>
      <c r="J24" s="97">
        <f>J23+(G8*4/60)</f>
        <v>23.587838727400584</v>
      </c>
      <c r="K24" s="96" t="s">
        <v>1154</v>
      </c>
      <c r="L24" s="98">
        <f t="shared" si="0"/>
        <v>23</v>
      </c>
      <c r="M24" s="98">
        <f t="shared" si="1"/>
        <v>35</v>
      </c>
      <c r="N24" s="102">
        <f t="shared" si="2"/>
        <v>16.219418642101857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-4.2456862183132049E-2</v>
      </c>
      <c r="G25" s="85" t="s">
        <v>1163</v>
      </c>
      <c r="H25" s="104"/>
      <c r="I25" s="76" t="s">
        <v>1164</v>
      </c>
      <c r="J25" s="105">
        <f>J20-(F25/60)</f>
        <v>10.000707614369718</v>
      </c>
      <c r="K25" s="96" t="s">
        <v>1154</v>
      </c>
      <c r="L25" s="98">
        <f t="shared" si="0"/>
        <v>10</v>
      </c>
      <c r="M25" s="98">
        <f t="shared" si="1"/>
        <v>0</v>
      </c>
      <c r="N25" s="102">
        <f t="shared" si="2"/>
        <v>2.5474117309848054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58.545409989427455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99.894008172531358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66.563997049720015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113.43600295027998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4.7819553757908979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46</v>
      </c>
      <c r="J34" s="99">
        <f t="shared" ref="J34:J42" si="5">(((F34-H34)*60)-I34)*60</f>
        <v>55.039352847232692</v>
      </c>
      <c r="M34" s="108">
        <f>F34+G12</f>
        <v>4.7819553757908979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5.1884458695895299</v>
      </c>
      <c r="G35" s="96" t="s">
        <v>1171</v>
      </c>
      <c r="H35" s="98">
        <f t="shared" si="3"/>
        <v>5</v>
      </c>
      <c r="I35" s="98">
        <f t="shared" si="4"/>
        <v>11</v>
      </c>
      <c r="J35" s="99">
        <f t="shared" si="5"/>
        <v>18.405130522307687</v>
      </c>
      <c r="M35" s="108">
        <f>F35+G12</f>
        <v>5.1884458695895299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5.5946460400104749</v>
      </c>
      <c r="G36" s="96" t="s">
        <v>1171</v>
      </c>
      <c r="H36" s="98">
        <f t="shared" si="3"/>
        <v>5</v>
      </c>
      <c r="I36" s="98">
        <f t="shared" si="4"/>
        <v>35</v>
      </c>
      <c r="J36" s="99">
        <f t="shared" si="5"/>
        <v>40.725744037710001</v>
      </c>
      <c r="M36" s="108">
        <f>F36+G12</f>
        <v>5.5946460400104749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5.9443283773313418</v>
      </c>
      <c r="G37" s="96" t="s">
        <v>1171</v>
      </c>
      <c r="H37" s="98">
        <f t="shared" si="3"/>
        <v>5</v>
      </c>
      <c r="I37" s="98">
        <f t="shared" si="4"/>
        <v>56</v>
      </c>
      <c r="J37" s="99">
        <f t="shared" si="5"/>
        <v>39.582158392830422</v>
      </c>
      <c r="M37" s="108">
        <f>F37+G12</f>
        <v>5.9443283773313418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12.000707614369718</v>
      </c>
      <c r="G38" s="96" t="s">
        <v>1171</v>
      </c>
      <c r="H38" s="98">
        <f t="shared" si="3"/>
        <v>12</v>
      </c>
      <c r="I38" s="98">
        <f t="shared" si="4"/>
        <v>0</v>
      </c>
      <c r="J38" s="99">
        <f t="shared" si="5"/>
        <v>2.5474117309848054</v>
      </c>
      <c r="K38" s="109"/>
      <c r="L38" s="81"/>
      <c r="M38" s="108">
        <f>F38+G12</f>
        <v>12.000707614369718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18.057086851408094</v>
      </c>
      <c r="G39" s="96" t="s">
        <v>1171</v>
      </c>
      <c r="H39" s="98">
        <f t="shared" si="3"/>
        <v>18</v>
      </c>
      <c r="I39" s="98">
        <f t="shared" si="4"/>
        <v>3</v>
      </c>
      <c r="J39" s="99">
        <f t="shared" si="5"/>
        <v>25.512665069139189</v>
      </c>
      <c r="K39" s="109"/>
      <c r="L39" s="75"/>
      <c r="M39" s="108">
        <f>F39+G12</f>
        <v>18.057086851408094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18.406769188728962</v>
      </c>
      <c r="G40" s="96" t="s">
        <v>1171</v>
      </c>
      <c r="H40" s="98">
        <f t="shared" si="3"/>
        <v>18</v>
      </c>
      <c r="I40" s="98">
        <f t="shared" si="4"/>
        <v>24</v>
      </c>
      <c r="J40" s="99">
        <f t="shared" si="5"/>
        <v>24.36907942426302</v>
      </c>
      <c r="K40" s="109"/>
      <c r="L40" s="111"/>
      <c r="M40" s="108">
        <f>F40+G12</f>
        <v>18.406769188728962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18.812969359149907</v>
      </c>
      <c r="G41" s="96" t="s">
        <v>1171</v>
      </c>
      <c r="H41" s="98">
        <f t="shared" si="3"/>
        <v>18</v>
      </c>
      <c r="I41" s="98">
        <f t="shared" si="4"/>
        <v>48</v>
      </c>
      <c r="J41" s="99">
        <f t="shared" si="5"/>
        <v>46.689692939665122</v>
      </c>
      <c r="K41" s="109"/>
      <c r="L41" s="111"/>
      <c r="M41" s="108">
        <f>F41+G12</f>
        <v>18.812969359149907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19.219459852948539</v>
      </c>
      <c r="G42" s="96" t="s">
        <v>1171</v>
      </c>
      <c r="H42" s="98">
        <f t="shared" si="3"/>
        <v>19</v>
      </c>
      <c r="I42" s="98">
        <f t="shared" si="4"/>
        <v>13</v>
      </c>
      <c r="J42" s="99">
        <f t="shared" si="5"/>
        <v>10.055470614740329</v>
      </c>
      <c r="K42" s="109"/>
      <c r="L42" s="81"/>
      <c r="M42" s="108">
        <f>F42+G12</f>
        <v>19.219459852948539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12.112758474076752</v>
      </c>
      <c r="G44" s="96" t="s">
        <v>1171</v>
      </c>
      <c r="H44" s="98">
        <f>TRUNC(F44)</f>
        <v>12</v>
      </c>
      <c r="I44" s="98">
        <f>TRUNC((F44-H44)*60)</f>
        <v>6</v>
      </c>
      <c r="J44" s="99">
        <f>(((F44-H44)*60)-I44)*60</f>
        <v>45.930506676308767</v>
      </c>
      <c r="M44" s="108">
        <f>F44+G12</f>
        <v>12.112758474076752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11.887241525923248</v>
      </c>
      <c r="G45" s="96" t="s">
        <v>1171</v>
      </c>
      <c r="H45" s="98">
        <f>TRUNC(F45)</f>
        <v>11</v>
      </c>
      <c r="I45" s="98">
        <f>TRUNC((F45-H45)*60)</f>
        <v>53</v>
      </c>
      <c r="J45" s="99">
        <f>(((F45-H45)*60)-I45)*60</f>
        <v>14.069493323691233</v>
      </c>
      <c r="M45" s="108">
        <f>F45+G12</f>
        <v>11.887241525923248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12.812123148718488</v>
      </c>
      <c r="G46" s="96" t="s">
        <v>1171</v>
      </c>
      <c r="H46" s="98">
        <f>TRUNC(F46)</f>
        <v>12</v>
      </c>
      <c r="I46" s="98">
        <f>TRUNC((F46-H46)*60)</f>
        <v>48</v>
      </c>
      <c r="J46" s="99">
        <f>(((F46-H46)*60)-I46)*60</f>
        <v>43.64333538655643</v>
      </c>
      <c r="M46" s="108">
        <f>F46+G12</f>
        <v>12.812123148718488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9.562495522842358</v>
      </c>
      <c r="G47" s="96" t="s">
        <v>1171</v>
      </c>
      <c r="H47" s="98">
        <f>TRUNC(F47)</f>
        <v>9</v>
      </c>
      <c r="I47" s="98">
        <f>TRUNC((F47-H47)*60)</f>
        <v>33</v>
      </c>
      <c r="J47" s="99">
        <f>(((F47-H47)*60)-I47)*60</f>
        <v>44.983882232488952</v>
      </c>
      <c r="M47" s="108">
        <f>F47+G12</f>
        <v>9.562495522842358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4.7819553757908979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46</v>
      </c>
      <c r="J52" s="99">
        <f t="shared" ref="J52:J60" si="8">(((F52-H52)*60)-I52)*60</f>
        <v>55.039352847232692</v>
      </c>
      <c r="M52" s="108">
        <f>F52+G12</f>
        <v>4.7819553757908979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5.1884458695895299</v>
      </c>
      <c r="G53" s="96" t="s">
        <v>1171</v>
      </c>
      <c r="H53" s="98">
        <f t="shared" si="6"/>
        <v>5</v>
      </c>
      <c r="I53" s="98">
        <f t="shared" si="7"/>
        <v>11</v>
      </c>
      <c r="J53" s="99">
        <f t="shared" si="8"/>
        <v>18.405130522307687</v>
      </c>
      <c r="M53" s="108">
        <f>F53+G12</f>
        <v>5.1884458695895299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5.5946460400104749</v>
      </c>
      <c r="G54" s="96" t="s">
        <v>1171</v>
      </c>
      <c r="H54" s="98">
        <f t="shared" si="6"/>
        <v>5</v>
      </c>
      <c r="I54" s="98">
        <f t="shared" si="7"/>
        <v>35</v>
      </c>
      <c r="J54" s="99">
        <f t="shared" si="8"/>
        <v>40.725744037710001</v>
      </c>
      <c r="M54" s="108">
        <f>F54+G12</f>
        <v>5.5946460400104749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6.000707614369718</v>
      </c>
      <c r="G55" s="96" t="s">
        <v>1171</v>
      </c>
      <c r="H55" s="98">
        <f t="shared" si="6"/>
        <v>6</v>
      </c>
      <c r="I55" s="98">
        <f t="shared" si="7"/>
        <v>0</v>
      </c>
      <c r="J55" s="99">
        <f t="shared" si="8"/>
        <v>2.5474117309848054</v>
      </c>
      <c r="M55" s="108">
        <f>F55+G12</f>
        <v>6.000707614369718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12.000707614369718</v>
      </c>
      <c r="G56" s="96" t="s">
        <v>1171</v>
      </c>
      <c r="H56" s="98">
        <f t="shared" si="6"/>
        <v>12</v>
      </c>
      <c r="I56" s="98">
        <f t="shared" si="7"/>
        <v>0</v>
      </c>
      <c r="J56" s="99">
        <f t="shared" si="8"/>
        <v>2.5474117309848054</v>
      </c>
      <c r="K56" s="109"/>
      <c r="L56" s="81"/>
      <c r="M56" s="108">
        <f>F56+G12</f>
        <v>12.000707614369718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18.000707614369716</v>
      </c>
      <c r="G57" s="96" t="s">
        <v>1171</v>
      </c>
      <c r="H57" s="98">
        <f t="shared" si="6"/>
        <v>18</v>
      </c>
      <c r="I57" s="98">
        <f t="shared" si="7"/>
        <v>0</v>
      </c>
      <c r="J57" s="99">
        <f t="shared" si="8"/>
        <v>2.5474117309784106</v>
      </c>
      <c r="K57" s="109"/>
      <c r="L57" s="75"/>
      <c r="M57" s="108">
        <f>F57+G12</f>
        <v>18.000707614369716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18.406769188728958</v>
      </c>
      <c r="G58" s="96" t="s">
        <v>1171</v>
      </c>
      <c r="H58" s="98">
        <f t="shared" si="6"/>
        <v>18</v>
      </c>
      <c r="I58" s="98">
        <f t="shared" si="7"/>
        <v>24</v>
      </c>
      <c r="J58" s="99">
        <f t="shared" si="8"/>
        <v>24.369079424250231</v>
      </c>
      <c r="K58" s="109"/>
      <c r="L58" s="111"/>
      <c r="M58" s="108">
        <f>F58+G12</f>
        <v>18.406769188728958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18.812969359149903</v>
      </c>
      <c r="G59" s="96" t="s">
        <v>1171</v>
      </c>
      <c r="H59" s="98">
        <f t="shared" si="6"/>
        <v>18</v>
      </c>
      <c r="I59" s="98">
        <f t="shared" si="7"/>
        <v>48</v>
      </c>
      <c r="J59" s="99">
        <f t="shared" si="8"/>
        <v>46.689692939652332</v>
      </c>
      <c r="K59" s="109"/>
      <c r="L59" s="111"/>
      <c r="M59" s="108">
        <f>F59+G12</f>
        <v>18.812969359149903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19.219459852948535</v>
      </c>
      <c r="G60" s="96" t="s">
        <v>1171</v>
      </c>
      <c r="H60" s="98">
        <f t="shared" si="6"/>
        <v>19</v>
      </c>
      <c r="I60" s="98">
        <f t="shared" si="7"/>
        <v>13</v>
      </c>
      <c r="J60" s="99">
        <f t="shared" si="8"/>
        <v>10.05547061472754</v>
      </c>
      <c r="K60" s="109"/>
      <c r="L60" s="81"/>
      <c r="M60" s="108">
        <f>F60+G12</f>
        <v>19.219459852948535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11.999999999999998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-6.3948846218409017E-12</v>
      </c>
      <c r="M62" s="108">
        <f>F62+G12</f>
        <v>11.999999999999998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12.000000000000002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6.3948846218409017E-12</v>
      </c>
      <c r="M63" s="108">
        <f>F63+G12</f>
        <v>12.000000000000002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12.812123148718484</v>
      </c>
      <c r="G64" s="96" t="s">
        <v>1171</v>
      </c>
      <c r="H64" s="98">
        <f>TRUNC(F64)</f>
        <v>12</v>
      </c>
      <c r="I64" s="98">
        <f>TRUNC((F64-H64)*60)</f>
        <v>48</v>
      </c>
      <c r="J64" s="99">
        <f>(((F64-H64)*60)-I64)*60</f>
        <v>43.64333538654364</v>
      </c>
      <c r="M64" s="108">
        <f>F64+G12</f>
        <v>12.812123148718484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9.5624955228423616</v>
      </c>
      <c r="G65" s="96" t="s">
        <v>1171</v>
      </c>
      <c r="H65" s="98">
        <f>TRUNC(F65)</f>
        <v>9</v>
      </c>
      <c r="I65" s="98">
        <f>TRUNC((F65-H65)*60)</f>
        <v>33</v>
      </c>
      <c r="J65" s="99">
        <f>(((F65-H65)*60)-I65)*60</f>
        <v>44.983882232501742</v>
      </c>
      <c r="M65" s="108">
        <f>F65+G12</f>
        <v>9.5624955228423616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X9nQHDDXBAXxDCF8xqxjAIj5iXoI4fQggqOFj2exWeQ8kFN4XjUO3c99bHSGEWdykIBdOlxdg0GcH0dI7AufIA==" saltValue="MVIIEXjQynI89nBgN+sFPw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14"/>
  <dimension ref="A1:P69"/>
  <sheetViews>
    <sheetView topLeftCell="A9"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5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5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2460810.5</v>
      </c>
      <c r="G14" s="1005"/>
      <c r="H14" s="88">
        <f>TRUNC(F14+1.5)-7*TRUNC((F14+1.5)/7)</f>
        <v>4</v>
      </c>
      <c r="I14" s="1013">
        <f>(F14-2451545)/36525</f>
        <v>0.25367556468172486</v>
      </c>
      <c r="J14" s="1005"/>
      <c r="K14" s="1004">
        <f>2400.051336907*I14+0.000025862*I14^2-0.000000002*I14^3</f>
        <v>608.83437981923237</v>
      </c>
      <c r="L14" s="1005"/>
      <c r="M14" s="89">
        <f>23.439291111-0.013004167*I14-0.000000164*I14^2+0.000000503*I14^3</f>
        <v>23.435992269250594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90.880724801606434</v>
      </c>
      <c r="D15" s="91">
        <f>ACOS((SIN(-6*PI()/180)-(SIN(G7*PI()/180)*SIN(F23*PI()/180)))/((COS(G7*PI()/180)*COS(F23*PI()/180))))*180/PI()</f>
        <v>96.344261974481768</v>
      </c>
      <c r="E15" s="91">
        <f>ACOS((SIN(-12*PI()/180)-(SIN(G7*PI()/180)*SIN(F23*PI()/180)))/((COS(G7*PI()/180)*COS(F23*PI()/180))))*180/PI()</f>
        <v>102.69690900898028</v>
      </c>
      <c r="F15" s="91">
        <f>ACOS((SIN(-18*PI()/180)-(SIN(G7*PI()/180)*SIN(F23*PI()/180)))/((COS(G7*PI()/180)*COS(F23*PI()/180))))*180/PI()</f>
        <v>109.06720150708563</v>
      </c>
      <c r="G15" s="92">
        <f>ABS(D15-C15)/15</f>
        <v>0.36423581152502227</v>
      </c>
      <c r="H15" s="92">
        <f>ABS(E15-C15)/15</f>
        <v>0.78774561382492336</v>
      </c>
      <c r="I15" s="92">
        <f>ABS(F15-C15)/15</f>
        <v>1.2124317803652795</v>
      </c>
      <c r="J15" s="93">
        <f>(D12-F38)*15</f>
        <v>-29.086114826498317</v>
      </c>
      <c r="K15" s="1004">
        <f>J22+((J20+G12)*1.00273790935)</f>
        <v>25.559133470732366</v>
      </c>
      <c r="L15" s="1005"/>
      <c r="M15" s="89">
        <f>6.697374558+(K14-(TRUNC(K14/24)*24))</f>
        <v>15.531754377232367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96.344261974481768</v>
      </c>
      <c r="E16" s="91">
        <f>ACOS((SIN(-12*PI()/180)-(SIN(G7*PI()/180)*SIN(F23*PI()/180)))/((COS(G7*PI()/180)*COS(F23*PI()/180))))*180/PI()</f>
        <v>102.69690900898028</v>
      </c>
      <c r="F16" s="91">
        <f>ACOS((SIN(-18*PI()/180)-(SIN(G7*PI()/180)*SIN(F23*PI()/180)))/((COS(G7*PI()/180)*COS(F23*PI()/180))))*180/PI()</f>
        <v>109.06720150708563</v>
      </c>
      <c r="G16" s="92">
        <f>ABS(D16-C16)/15</f>
        <v>0.42295079829878451</v>
      </c>
      <c r="H16" s="92">
        <f>ABS(E16-C16)/15</f>
        <v>0.84646060059868566</v>
      </c>
      <c r="I16" s="92">
        <f>ABS(F16-C16)/15</f>
        <v>1.2711467671390417</v>
      </c>
      <c r="J16" s="93">
        <f>(D12-F38)*15</f>
        <v>-29.086114826498317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135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giovedì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15.531754377232367</v>
      </c>
      <c r="K22" s="96" t="s">
        <v>1154</v>
      </c>
      <c r="L22" s="98">
        <f t="shared" si="0"/>
        <v>15</v>
      </c>
      <c r="M22" s="98">
        <f t="shared" si="1"/>
        <v>31</v>
      </c>
      <c r="N22" s="102">
        <f t="shared" si="2"/>
        <v>54.315758036522652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18.925569744882459</v>
      </c>
      <c r="G23" s="74" t="s">
        <v>1135</v>
      </c>
      <c r="I23" s="101" t="s">
        <v>1160</v>
      </c>
      <c r="J23" s="97">
        <f>IF(K15&gt;24,K15-24,K15)</f>
        <v>1.5591334707323661</v>
      </c>
      <c r="K23" s="96" t="s">
        <v>1154</v>
      </c>
      <c r="L23" s="98">
        <f t="shared" si="0"/>
        <v>1</v>
      </c>
      <c r="M23" s="98">
        <f t="shared" si="1"/>
        <v>33</v>
      </c>
      <c r="N23" s="102">
        <f t="shared" si="2"/>
        <v>32.880494636517881</v>
      </c>
      <c r="O23" s="73"/>
    </row>
    <row r="24" spans="1:15" ht="14.25" customHeight="1">
      <c r="B24" s="72"/>
      <c r="I24" s="101" t="s">
        <v>1161</v>
      </c>
      <c r="J24" s="97">
        <f>J23+(G8*4/60)</f>
        <v>1.5591334707323661</v>
      </c>
      <c r="K24" s="96" t="s">
        <v>1154</v>
      </c>
      <c r="L24" s="98">
        <f t="shared" si="0"/>
        <v>1</v>
      </c>
      <c r="M24" s="98">
        <f t="shared" si="1"/>
        <v>33</v>
      </c>
      <c r="N24" s="102">
        <f t="shared" si="2"/>
        <v>32.880494636517881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3.6555406940067225</v>
      </c>
      <c r="G25" s="85" t="s">
        <v>1163</v>
      </c>
      <c r="H25" s="104"/>
      <c r="I25" s="76" t="s">
        <v>1164</v>
      </c>
      <c r="J25" s="105">
        <f>J20-(F25/60)</f>
        <v>9.9390743217665545</v>
      </c>
      <c r="K25" s="96" t="s">
        <v>1154</v>
      </c>
      <c r="L25" s="98">
        <f t="shared" si="0"/>
        <v>9</v>
      </c>
      <c r="M25" s="98">
        <f t="shared" si="1"/>
        <v>56</v>
      </c>
      <c r="N25" s="102">
        <f t="shared" si="2"/>
        <v>20.667558359596114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55.755948855050285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108.92556974488247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66.56400773074941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113.43599226925059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4.6679275546275125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40</v>
      </c>
      <c r="J34" s="99">
        <f t="shared" ref="J34:J42" si="5">(((F34-H34)*60)-I34)*60</f>
        <v>4.539196659045075</v>
      </c>
      <c r="M34" s="108">
        <f>F34+G12</f>
        <v>4.6679275546275125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5.0926137211678686</v>
      </c>
      <c r="G35" s="96" t="s">
        <v>1171</v>
      </c>
      <c r="H35" s="98">
        <f t="shared" si="3"/>
        <v>5</v>
      </c>
      <c r="I35" s="98">
        <f t="shared" si="4"/>
        <v>5</v>
      </c>
      <c r="J35" s="99">
        <f t="shared" si="5"/>
        <v>33.409396204326924</v>
      </c>
      <c r="M35" s="108">
        <f>F35+G12</f>
        <v>5.0926137211678686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5.5161235234677699</v>
      </c>
      <c r="G36" s="96" t="s">
        <v>1171</v>
      </c>
      <c r="H36" s="98">
        <f t="shared" si="3"/>
        <v>5</v>
      </c>
      <c r="I36" s="98">
        <f t="shared" si="4"/>
        <v>30</v>
      </c>
      <c r="J36" s="99">
        <f t="shared" si="5"/>
        <v>58.044684483971665</v>
      </c>
      <c r="M36" s="108">
        <f>F36+G12</f>
        <v>5.5161235234677699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5.8803593349927921</v>
      </c>
      <c r="G37" s="96" t="s">
        <v>1171</v>
      </c>
      <c r="H37" s="98">
        <f t="shared" si="3"/>
        <v>5</v>
      </c>
      <c r="I37" s="98">
        <f t="shared" si="4"/>
        <v>52</v>
      </c>
      <c r="J37" s="99">
        <f t="shared" si="5"/>
        <v>49.293605974051218</v>
      </c>
      <c r="M37" s="108">
        <f>F37+G12</f>
        <v>5.8803593349927921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11.939074321766554</v>
      </c>
      <c r="G38" s="96" t="s">
        <v>1171</v>
      </c>
      <c r="H38" s="98">
        <f t="shared" si="3"/>
        <v>11</v>
      </c>
      <c r="I38" s="98">
        <f t="shared" si="4"/>
        <v>56</v>
      </c>
      <c r="J38" s="99">
        <f t="shared" si="5"/>
        <v>20.667558359596114</v>
      </c>
      <c r="K38" s="109"/>
      <c r="L38" s="81"/>
      <c r="M38" s="108">
        <f>F38+G12</f>
        <v>11.939074321766554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17.997789308540316</v>
      </c>
      <c r="G39" s="96" t="s">
        <v>1171</v>
      </c>
      <c r="H39" s="98">
        <f t="shared" si="3"/>
        <v>17</v>
      </c>
      <c r="I39" s="98">
        <f t="shared" si="4"/>
        <v>59</v>
      </c>
      <c r="J39" s="99">
        <f t="shared" si="5"/>
        <v>52.0415107451376</v>
      </c>
      <c r="K39" s="109"/>
      <c r="L39" s="75"/>
      <c r="M39" s="108">
        <f>F39+G12</f>
        <v>17.997789308540316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18.36202512006534</v>
      </c>
      <c r="G40" s="96" t="s">
        <v>1171</v>
      </c>
      <c r="H40" s="98">
        <f t="shared" si="3"/>
        <v>18</v>
      </c>
      <c r="I40" s="98">
        <f t="shared" si="4"/>
        <v>21</v>
      </c>
      <c r="J40" s="99">
        <f t="shared" si="5"/>
        <v>43.290432235223761</v>
      </c>
      <c r="K40" s="109"/>
      <c r="L40" s="111"/>
      <c r="M40" s="108">
        <f>F40+G12</f>
        <v>18.36202512006534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18.78553492236524</v>
      </c>
      <c r="G41" s="96" t="s">
        <v>1171</v>
      </c>
      <c r="H41" s="98">
        <f t="shared" si="3"/>
        <v>18</v>
      </c>
      <c r="I41" s="98">
        <f t="shared" si="4"/>
        <v>47</v>
      </c>
      <c r="J41" s="99">
        <f t="shared" si="5"/>
        <v>7.9257205148653043</v>
      </c>
      <c r="K41" s="109"/>
      <c r="L41" s="111"/>
      <c r="M41" s="108">
        <f>F41+G12</f>
        <v>18.78553492236524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19.210221088905595</v>
      </c>
      <c r="G42" s="96" t="s">
        <v>1171</v>
      </c>
      <c r="H42" s="98">
        <f t="shared" si="3"/>
        <v>19</v>
      </c>
      <c r="I42" s="98">
        <f t="shared" si="4"/>
        <v>12</v>
      </c>
      <c r="J42" s="99">
        <f t="shared" si="5"/>
        <v>36.795920060140759</v>
      </c>
      <c r="K42" s="109"/>
      <c r="L42" s="81"/>
      <c r="M42" s="108">
        <f>F42+G12</f>
        <v>19.210221088905595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12.117429973547523</v>
      </c>
      <c r="G44" s="96" t="s">
        <v>1171</v>
      </c>
      <c r="H44" s="98">
        <f>TRUNC(F44)</f>
        <v>12</v>
      </c>
      <c r="I44" s="98">
        <f>TRUNC((F44-H44)*60)</f>
        <v>7</v>
      </c>
      <c r="J44" s="99">
        <f>(((F44-H44)*60)-I44)*60</f>
        <v>2.7479047710829718</v>
      </c>
      <c r="M44" s="108">
        <f>F44+G12</f>
        <v>12.117429973547523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11.882570026452477</v>
      </c>
      <c r="G45" s="96" t="s">
        <v>1171</v>
      </c>
      <c r="H45" s="98">
        <f>TRUNC(F45)</f>
        <v>11</v>
      </c>
      <c r="I45" s="98">
        <f>TRUNC((F45-H45)*60)</f>
        <v>52</v>
      </c>
      <c r="J45" s="99">
        <f>(((F45-H45)*60)-I45)*60</f>
        <v>57.252095228917028</v>
      </c>
      <c r="M45" s="108">
        <f>F45+G12</f>
        <v>11.882570026452477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12.845901596597571</v>
      </c>
      <c r="G46" s="96" t="s">
        <v>1171</v>
      </c>
      <c r="H46" s="98">
        <f>TRUNC(F46)</f>
        <v>12</v>
      </c>
      <c r="I46" s="98">
        <f>TRUNC((F46-H46)*60)</f>
        <v>50</v>
      </c>
      <c r="J46" s="99">
        <f>(((F46-H46)*60)-I46)*60</f>
        <v>45.245747751255294</v>
      </c>
      <c r="M46" s="108">
        <f>F46+G12</f>
        <v>12.845901596597571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9.4577064657219179</v>
      </c>
      <c r="G47" s="96" t="s">
        <v>1171</v>
      </c>
      <c r="H47" s="98">
        <f>TRUNC(F47)</f>
        <v>9</v>
      </c>
      <c r="I47" s="98">
        <f>TRUNC((F47-H47)*60)</f>
        <v>27</v>
      </c>
      <c r="J47" s="99">
        <f>(((F47-H47)*60)-I47)*60</f>
        <v>27.743276598904316</v>
      </c>
      <c r="M47" s="108">
        <f>F47+G12</f>
        <v>9.4577064657219179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4.6679275546275125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40</v>
      </c>
      <c r="J52" s="99">
        <f t="shared" ref="J52:J60" si="8">(((F52-H52)*60)-I52)*60</f>
        <v>4.539196659045075</v>
      </c>
      <c r="M52" s="108">
        <f>F52+G12</f>
        <v>4.6679275546275125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5.0926137211678686</v>
      </c>
      <c r="G53" s="96" t="s">
        <v>1171</v>
      </c>
      <c r="H53" s="98">
        <f t="shared" si="6"/>
        <v>5</v>
      </c>
      <c r="I53" s="98">
        <f t="shared" si="7"/>
        <v>5</v>
      </c>
      <c r="J53" s="99">
        <f t="shared" si="8"/>
        <v>33.409396204326924</v>
      </c>
      <c r="M53" s="108">
        <f>F53+G12</f>
        <v>5.0926137211678686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5.5161235234677699</v>
      </c>
      <c r="G54" s="96" t="s">
        <v>1171</v>
      </c>
      <c r="H54" s="98">
        <f t="shared" si="6"/>
        <v>5</v>
      </c>
      <c r="I54" s="98">
        <f t="shared" si="7"/>
        <v>30</v>
      </c>
      <c r="J54" s="99">
        <f t="shared" si="8"/>
        <v>58.044684483971665</v>
      </c>
      <c r="M54" s="108">
        <f>F54+G12</f>
        <v>5.5161235234677699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5.9390743217665545</v>
      </c>
      <c r="G55" s="96" t="s">
        <v>1171</v>
      </c>
      <c r="H55" s="98">
        <f t="shared" si="6"/>
        <v>5</v>
      </c>
      <c r="I55" s="98">
        <f t="shared" si="7"/>
        <v>56</v>
      </c>
      <c r="J55" s="99">
        <f t="shared" si="8"/>
        <v>20.667558359596114</v>
      </c>
      <c r="M55" s="108">
        <f>F55+G12</f>
        <v>5.9390743217665545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11.939074321766554</v>
      </c>
      <c r="G56" s="96" t="s">
        <v>1171</v>
      </c>
      <c r="H56" s="98">
        <f t="shared" si="6"/>
        <v>11</v>
      </c>
      <c r="I56" s="98">
        <f t="shared" si="7"/>
        <v>56</v>
      </c>
      <c r="J56" s="99">
        <f t="shared" si="8"/>
        <v>20.667558359596114</v>
      </c>
      <c r="K56" s="109"/>
      <c r="L56" s="81"/>
      <c r="M56" s="108">
        <f>F56+G12</f>
        <v>11.939074321766554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17.939074321766554</v>
      </c>
      <c r="G57" s="96" t="s">
        <v>1171</v>
      </c>
      <c r="H57" s="98">
        <f t="shared" si="6"/>
        <v>17</v>
      </c>
      <c r="I57" s="98">
        <f t="shared" si="7"/>
        <v>56</v>
      </c>
      <c r="J57" s="99">
        <f t="shared" si="8"/>
        <v>20.667558359596114</v>
      </c>
      <c r="K57" s="109"/>
      <c r="L57" s="75"/>
      <c r="M57" s="108">
        <f>F57+G12</f>
        <v>17.939074321766554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18.36202512006534</v>
      </c>
      <c r="G58" s="96" t="s">
        <v>1171</v>
      </c>
      <c r="H58" s="98">
        <f t="shared" si="6"/>
        <v>18</v>
      </c>
      <c r="I58" s="98">
        <f t="shared" si="7"/>
        <v>21</v>
      </c>
      <c r="J58" s="99">
        <f t="shared" si="8"/>
        <v>43.290432235223761</v>
      </c>
      <c r="K58" s="109"/>
      <c r="L58" s="111"/>
      <c r="M58" s="108">
        <f>F58+G12</f>
        <v>18.36202512006534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18.78553492236524</v>
      </c>
      <c r="G59" s="96" t="s">
        <v>1171</v>
      </c>
      <c r="H59" s="98">
        <f t="shared" si="6"/>
        <v>18</v>
      </c>
      <c r="I59" s="98">
        <f t="shared" si="7"/>
        <v>47</v>
      </c>
      <c r="J59" s="99">
        <f t="shared" si="8"/>
        <v>7.9257205148653043</v>
      </c>
      <c r="K59" s="109"/>
      <c r="L59" s="111"/>
      <c r="M59" s="108">
        <f>F59+G12</f>
        <v>18.78553492236524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19.210221088905595</v>
      </c>
      <c r="G60" s="96" t="s">
        <v>1171</v>
      </c>
      <c r="H60" s="98">
        <f t="shared" si="6"/>
        <v>19</v>
      </c>
      <c r="I60" s="98">
        <f t="shared" si="7"/>
        <v>12</v>
      </c>
      <c r="J60" s="99">
        <f t="shared" si="8"/>
        <v>36.795920060140759</v>
      </c>
      <c r="K60" s="109"/>
      <c r="L60" s="81"/>
      <c r="M60" s="108">
        <f>F60+G12</f>
        <v>19.210221088905595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0</v>
      </c>
      <c r="M62" s="108">
        <f>F62+G12</f>
        <v>12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0</v>
      </c>
      <c r="M63" s="108">
        <f>F63+G12</f>
        <v>12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12.845901596597571</v>
      </c>
      <c r="G64" s="96" t="s">
        <v>1171</v>
      </c>
      <c r="H64" s="98">
        <f>TRUNC(F64)</f>
        <v>12</v>
      </c>
      <c r="I64" s="98">
        <f>TRUNC((F64-H64)*60)</f>
        <v>50</v>
      </c>
      <c r="J64" s="99">
        <f>(((F64-H64)*60)-I64)*60</f>
        <v>45.245747751255294</v>
      </c>
      <c r="M64" s="108">
        <f>F64+G12</f>
        <v>12.845901596597571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9.4577064657219179</v>
      </c>
      <c r="G65" s="96" t="s">
        <v>1171</v>
      </c>
      <c r="H65" s="98">
        <f>TRUNC(F65)</f>
        <v>9</v>
      </c>
      <c r="I65" s="98">
        <f>TRUNC((F65-H65)*60)</f>
        <v>27</v>
      </c>
      <c r="J65" s="99">
        <f>(((F65-H65)*60)-I65)*60</f>
        <v>27.743276598904316</v>
      </c>
      <c r="M65" s="108">
        <f>F65+G12</f>
        <v>9.4577064657219179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1NAI7TQSNr4p6ksiMLiNtGzxEEJiitUlh0iA7z6elhKxQcXNUBt8gYrHuEk0zb2H9R+adcXCzt4gbKi1TK5fhQ==" saltValue="nn9L8vuXM4Q+wt4xl4cYqA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15"/>
  <dimension ref="A1:P69"/>
  <sheetViews>
    <sheetView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6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6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2460841.5</v>
      </c>
      <c r="G14" s="1005"/>
      <c r="H14" s="88">
        <f>TRUNC(F14+1.5)-7*TRUNC((F14+1.5)/7)</f>
        <v>0</v>
      </c>
      <c r="I14" s="1013">
        <f>(F14-2451545)/36525</f>
        <v>0.25452429842573582</v>
      </c>
      <c r="J14" s="1005"/>
      <c r="K14" s="1004">
        <f>2400.051336907*I14+0.000025862*I14^2-0.000000002*I14^3</f>
        <v>610.8713843873785</v>
      </c>
      <c r="L14" s="1005"/>
      <c r="M14" s="89">
        <f>23.439291111-0.013004167*I14-0.000000164*I14^2+0.000000503*I14^3</f>
        <v>23.435981232187203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90.907347311238809</v>
      </c>
      <c r="D15" s="91">
        <f>ACOS((SIN(-6*PI()/180)-(SIN(G7*PI()/180)*SIN(F23*PI()/180)))/((COS(G7*PI()/180)*COS(F23*PI()/180))))*180/PI()</f>
        <v>96.536844153146433</v>
      </c>
      <c r="E15" s="91">
        <f>ACOS((SIN(-12*PI()/180)-(SIN(G7*PI()/180)*SIN(F23*PI()/180)))/((COS(G7*PI()/180)*COS(F23*PI()/180))))*180/PI()</f>
        <v>103.08738973660755</v>
      </c>
      <c r="F15" s="91">
        <f>ACOS((SIN(-18*PI()/180)-(SIN(G7*PI()/180)*SIN(F23*PI()/180)))/((COS(G7*PI()/180)*COS(F23*PI()/180))))*180/PI()</f>
        <v>109.66687371970076</v>
      </c>
      <c r="G15" s="92">
        <f>ABS(D15-C15)/15</f>
        <v>0.37529978946050829</v>
      </c>
      <c r="H15" s="92">
        <f>ABS(E15-C15)/15</f>
        <v>0.81200282835791593</v>
      </c>
      <c r="I15" s="92">
        <f>ABS(F15-C15)/15</f>
        <v>1.2506350938974635</v>
      </c>
      <c r="J15" s="93">
        <f>(D12-F38)*15</f>
        <v>-30.11947195645563</v>
      </c>
      <c r="K15" s="1004">
        <f>J22+((J20+G12)*1.00273790935)</f>
        <v>27.596138038878497</v>
      </c>
      <c r="L15" s="1005"/>
      <c r="M15" s="89">
        <f>6.697374558+(K14-(TRUNC(K14/24)*24))</f>
        <v>17.568758945378498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96.536844153146433</v>
      </c>
      <c r="E16" s="91">
        <f>ACOS((SIN(-12*PI()/180)-(SIN(G7*PI()/180)*SIN(F23*PI()/180)))/((COS(G7*PI()/180)*COS(F23*PI()/180))))*180/PI()</f>
        <v>103.08738973660755</v>
      </c>
      <c r="F16" s="91">
        <f>ACOS((SIN(-18*PI()/180)-(SIN(G7*PI()/180)*SIN(F23*PI()/180)))/((COS(G7*PI()/180)*COS(F23*PI()/180))))*180/PI()</f>
        <v>109.66687371970076</v>
      </c>
      <c r="G16" s="92">
        <f>ABS(D16-C16)/15</f>
        <v>0.4357896102097622</v>
      </c>
      <c r="H16" s="92">
        <f>ABS(E16-C16)/15</f>
        <v>0.87249264910716984</v>
      </c>
      <c r="I16" s="92">
        <f>ABS(F16-C16)/15</f>
        <v>1.3111249146467174</v>
      </c>
      <c r="J16" s="93">
        <f>(D12-F38)*15</f>
        <v>-30.11947195645563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166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domenica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17.568758945378498</v>
      </c>
      <c r="K22" s="96" t="s">
        <v>1154</v>
      </c>
      <c r="L22" s="98">
        <f t="shared" si="0"/>
        <v>17</v>
      </c>
      <c r="M22" s="98">
        <f t="shared" si="1"/>
        <v>34</v>
      </c>
      <c r="N22" s="102">
        <f t="shared" si="2"/>
        <v>7.5322033625928952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23.337392032256524</v>
      </c>
      <c r="G23" s="74" t="s">
        <v>1135</v>
      </c>
      <c r="I23" s="101" t="s">
        <v>1160</v>
      </c>
      <c r="J23" s="97">
        <f>IF(K15&gt;24,K15-24,K15)</f>
        <v>3.5961380388784967</v>
      </c>
      <c r="K23" s="96" t="s">
        <v>1154</v>
      </c>
      <c r="L23" s="98">
        <f t="shared" si="0"/>
        <v>3</v>
      </c>
      <c r="M23" s="98">
        <f t="shared" si="1"/>
        <v>35</v>
      </c>
      <c r="N23" s="102">
        <f t="shared" si="2"/>
        <v>46.096939962588124</v>
      </c>
      <c r="O23" s="73"/>
    </row>
    <row r="24" spans="1:15" ht="14.25" customHeight="1">
      <c r="B24" s="72"/>
      <c r="I24" s="101" t="s">
        <v>1161</v>
      </c>
      <c r="J24" s="97">
        <f>J23+(G8*4/60)</f>
        <v>3.5961380388784967</v>
      </c>
      <c r="K24" s="96" t="s">
        <v>1154</v>
      </c>
      <c r="L24" s="98">
        <f t="shared" si="0"/>
        <v>3</v>
      </c>
      <c r="M24" s="98">
        <f t="shared" si="1"/>
        <v>35</v>
      </c>
      <c r="N24" s="102">
        <f t="shared" si="2"/>
        <v>46.096939962588124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-0.47788782582251688</v>
      </c>
      <c r="G25" s="85" t="s">
        <v>1163</v>
      </c>
      <c r="H25" s="104"/>
      <c r="I25" s="76" t="s">
        <v>1164</v>
      </c>
      <c r="J25" s="105">
        <f>J20-(F25/60)</f>
        <v>10.007964797097042</v>
      </c>
      <c r="K25" s="96" t="s">
        <v>1154</v>
      </c>
      <c r="L25" s="98">
        <f t="shared" si="0"/>
        <v>10</v>
      </c>
      <c r="M25" s="98">
        <f t="shared" si="1"/>
        <v>0</v>
      </c>
      <c r="N25" s="102">
        <f t="shared" si="2"/>
        <v>28.673269549351232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52.581187615184824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113.33739203225653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66.564018767812797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113.4359812321872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4.696839882450325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41</v>
      </c>
      <c r="J34" s="99">
        <f t="shared" ref="J34:J42" si="5">(((F34-H34)*60)-I34)*60</f>
        <v>48.623576821170076</v>
      </c>
      <c r="M34" s="108">
        <f>F34+G12</f>
        <v>4.696839882450325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5.1354721479898719</v>
      </c>
      <c r="G35" s="96" t="s">
        <v>1171</v>
      </c>
      <c r="H35" s="98">
        <f t="shared" si="3"/>
        <v>5</v>
      </c>
      <c r="I35" s="98">
        <f t="shared" si="4"/>
        <v>8</v>
      </c>
      <c r="J35" s="99">
        <f t="shared" si="5"/>
        <v>7.6997327635390178</v>
      </c>
      <c r="M35" s="108">
        <f>F35+G12</f>
        <v>5.1354721479898719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5.5721751868872795</v>
      </c>
      <c r="G36" s="96" t="s">
        <v>1171</v>
      </c>
      <c r="H36" s="98">
        <f t="shared" si="3"/>
        <v>5</v>
      </c>
      <c r="I36" s="98">
        <f t="shared" si="4"/>
        <v>34</v>
      </c>
      <c r="J36" s="99">
        <f t="shared" si="5"/>
        <v>19.830672794206521</v>
      </c>
      <c r="M36" s="108">
        <f>F36+G12</f>
        <v>5.5721751868872795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5.9474749763477881</v>
      </c>
      <c r="G37" s="96" t="s">
        <v>1171</v>
      </c>
      <c r="H37" s="98">
        <f t="shared" si="3"/>
        <v>5</v>
      </c>
      <c r="I37" s="98">
        <f t="shared" si="4"/>
        <v>56</v>
      </c>
      <c r="J37" s="99">
        <f t="shared" si="5"/>
        <v>50.909914852037161</v>
      </c>
      <c r="M37" s="108">
        <f>F37+G12</f>
        <v>5.9474749763477881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12.007964797097042</v>
      </c>
      <c r="G38" s="96" t="s">
        <v>1171</v>
      </c>
      <c r="H38" s="98">
        <f t="shared" si="3"/>
        <v>12</v>
      </c>
      <c r="I38" s="98">
        <f t="shared" si="4"/>
        <v>0</v>
      </c>
      <c r="J38" s="99">
        <f t="shared" si="5"/>
        <v>28.673269549351232</v>
      </c>
      <c r="K38" s="109"/>
      <c r="L38" s="81"/>
      <c r="M38" s="108">
        <f>F38+G12</f>
        <v>12.007964797097042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18.068454617846296</v>
      </c>
      <c r="G39" s="96" t="s">
        <v>1171</v>
      </c>
      <c r="H39" s="98">
        <f t="shared" si="3"/>
        <v>18</v>
      </c>
      <c r="I39" s="98">
        <f t="shared" si="4"/>
        <v>4</v>
      </c>
      <c r="J39" s="99">
        <f t="shared" si="5"/>
        <v>6.4366242466653034</v>
      </c>
      <c r="K39" s="109"/>
      <c r="L39" s="75"/>
      <c r="M39" s="108">
        <f>F39+G12</f>
        <v>18.068454617846296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18.443754407306805</v>
      </c>
      <c r="G40" s="96" t="s">
        <v>1171</v>
      </c>
      <c r="H40" s="98">
        <f t="shared" si="3"/>
        <v>18</v>
      </c>
      <c r="I40" s="98">
        <f t="shared" si="4"/>
        <v>26</v>
      </c>
      <c r="J40" s="99">
        <f t="shared" si="5"/>
        <v>37.515866304499355</v>
      </c>
      <c r="K40" s="109"/>
      <c r="L40" s="111"/>
      <c r="M40" s="108">
        <f>F40+G12</f>
        <v>18.443754407306805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18.880457446204211</v>
      </c>
      <c r="G41" s="96" t="s">
        <v>1171</v>
      </c>
      <c r="H41" s="98">
        <f t="shared" si="3"/>
        <v>18</v>
      </c>
      <c r="I41" s="98">
        <f t="shared" si="4"/>
        <v>52</v>
      </c>
      <c r="J41" s="99">
        <f t="shared" si="5"/>
        <v>49.64680633516025</v>
      </c>
      <c r="K41" s="109"/>
      <c r="L41" s="111"/>
      <c r="M41" s="108">
        <f>F41+G12</f>
        <v>18.880457446204211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19.319089711743761</v>
      </c>
      <c r="G42" s="96" t="s">
        <v>1171</v>
      </c>
      <c r="H42" s="98">
        <f t="shared" si="3"/>
        <v>19</v>
      </c>
      <c r="I42" s="98">
        <f t="shared" si="4"/>
        <v>19</v>
      </c>
      <c r="J42" s="99">
        <f t="shared" si="5"/>
        <v>8.7229622775387838</v>
      </c>
      <c r="K42" s="109"/>
      <c r="L42" s="81"/>
      <c r="M42" s="108">
        <f>F42+G12</f>
        <v>19.319089711743761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12.120979641498508</v>
      </c>
      <c r="G44" s="96" t="s">
        <v>1171</v>
      </c>
      <c r="H44" s="98">
        <f>TRUNC(F44)</f>
        <v>12</v>
      </c>
      <c r="I44" s="98">
        <f>TRUNC((F44-H44)*60)</f>
        <v>7</v>
      </c>
      <c r="J44" s="99">
        <f>(((F44-H44)*60)-I44)*60</f>
        <v>15.526709394628142</v>
      </c>
      <c r="M44" s="108">
        <f>F44+G12</f>
        <v>12.120979641498508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11.879020358501492</v>
      </c>
      <c r="G45" s="96" t="s">
        <v>1171</v>
      </c>
      <c r="H45" s="98">
        <f>TRUNC(F45)</f>
        <v>11</v>
      </c>
      <c r="I45" s="98">
        <f>TRUNC((F45-H45)*60)</f>
        <v>52</v>
      </c>
      <c r="J45" s="99">
        <f>(((F45-H45)*60)-I45)*60</f>
        <v>44.473290605371858</v>
      </c>
      <c r="M45" s="108">
        <f>F45+G12</f>
        <v>11.879020358501492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12.871579220419527</v>
      </c>
      <c r="G46" s="96" t="s">
        <v>1171</v>
      </c>
      <c r="H46" s="98">
        <f>TRUNC(F46)</f>
        <v>12</v>
      </c>
      <c r="I46" s="98">
        <f>TRUNC((F46-H46)*60)</f>
        <v>52</v>
      </c>
      <c r="J46" s="99">
        <f>(((F46-H46)*60)-I46)*60</f>
        <v>17.685193510296244</v>
      </c>
      <c r="M46" s="108">
        <f>F46+G12</f>
        <v>12.871579220419527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9.3777501707065642</v>
      </c>
      <c r="G47" s="96" t="s">
        <v>1171</v>
      </c>
      <c r="H47" s="98">
        <f>TRUNC(F47)</f>
        <v>9</v>
      </c>
      <c r="I47" s="98">
        <f>TRUNC((F47-H47)*60)</f>
        <v>22</v>
      </c>
      <c r="J47" s="99">
        <f>(((F47-H47)*60)-I47)*60</f>
        <v>39.900614543631292</v>
      </c>
      <c r="M47" s="108">
        <f>F47+G12</f>
        <v>9.3777501707065642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4.696839882450325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41</v>
      </c>
      <c r="J52" s="99">
        <f t="shared" ref="J52:J60" si="8">(((F52-H52)*60)-I52)*60</f>
        <v>48.623576821170076</v>
      </c>
      <c r="M52" s="108">
        <f>F52+G12</f>
        <v>4.696839882450325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5.1354721479898719</v>
      </c>
      <c r="G53" s="96" t="s">
        <v>1171</v>
      </c>
      <c r="H53" s="98">
        <f t="shared" si="6"/>
        <v>5</v>
      </c>
      <c r="I53" s="98">
        <f t="shared" si="7"/>
        <v>8</v>
      </c>
      <c r="J53" s="99">
        <f t="shared" si="8"/>
        <v>7.6997327635390178</v>
      </c>
      <c r="M53" s="108">
        <f>F53+G12</f>
        <v>5.1354721479898719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5.5721751868872795</v>
      </c>
      <c r="G54" s="96" t="s">
        <v>1171</v>
      </c>
      <c r="H54" s="98">
        <f t="shared" si="6"/>
        <v>5</v>
      </c>
      <c r="I54" s="98">
        <f t="shared" si="7"/>
        <v>34</v>
      </c>
      <c r="J54" s="99">
        <f t="shared" si="8"/>
        <v>19.830672794206521</v>
      </c>
      <c r="M54" s="108">
        <f>F54+G12</f>
        <v>5.5721751868872795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6.007964797097042</v>
      </c>
      <c r="G55" s="96" t="s">
        <v>1171</v>
      </c>
      <c r="H55" s="98">
        <f t="shared" si="6"/>
        <v>6</v>
      </c>
      <c r="I55" s="98">
        <f t="shared" si="7"/>
        <v>0</v>
      </c>
      <c r="J55" s="99">
        <f t="shared" si="8"/>
        <v>28.673269549351232</v>
      </c>
      <c r="M55" s="108">
        <f>F55+G12</f>
        <v>6.007964797097042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12.007964797097042</v>
      </c>
      <c r="G56" s="96" t="s">
        <v>1171</v>
      </c>
      <c r="H56" s="98">
        <f t="shared" si="6"/>
        <v>12</v>
      </c>
      <c r="I56" s="98">
        <f t="shared" si="7"/>
        <v>0</v>
      </c>
      <c r="J56" s="99">
        <f t="shared" si="8"/>
        <v>28.673269549351232</v>
      </c>
      <c r="K56" s="109"/>
      <c r="L56" s="81"/>
      <c r="M56" s="108">
        <f>F56+G12</f>
        <v>12.007964797097042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18.007964797097042</v>
      </c>
      <c r="G57" s="96" t="s">
        <v>1171</v>
      </c>
      <c r="H57" s="98">
        <f t="shared" si="6"/>
        <v>18</v>
      </c>
      <c r="I57" s="98">
        <f t="shared" si="7"/>
        <v>0</v>
      </c>
      <c r="J57" s="99">
        <f t="shared" si="8"/>
        <v>28.673269549351232</v>
      </c>
      <c r="K57" s="109"/>
      <c r="L57" s="75"/>
      <c r="M57" s="108">
        <f>F57+G12</f>
        <v>18.007964797097042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18.443754407306805</v>
      </c>
      <c r="G58" s="96" t="s">
        <v>1171</v>
      </c>
      <c r="H58" s="98">
        <f t="shared" si="6"/>
        <v>18</v>
      </c>
      <c r="I58" s="98">
        <f t="shared" si="7"/>
        <v>26</v>
      </c>
      <c r="J58" s="99">
        <f t="shared" si="8"/>
        <v>37.515866304499355</v>
      </c>
      <c r="K58" s="109"/>
      <c r="L58" s="111"/>
      <c r="M58" s="108">
        <f>F58+G12</f>
        <v>18.443754407306805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18.880457446204211</v>
      </c>
      <c r="G59" s="96" t="s">
        <v>1171</v>
      </c>
      <c r="H59" s="98">
        <f t="shared" si="6"/>
        <v>18</v>
      </c>
      <c r="I59" s="98">
        <f t="shared" si="7"/>
        <v>52</v>
      </c>
      <c r="J59" s="99">
        <f t="shared" si="8"/>
        <v>49.64680633516025</v>
      </c>
      <c r="K59" s="109"/>
      <c r="L59" s="111"/>
      <c r="M59" s="108">
        <f>F59+G12</f>
        <v>18.880457446204211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19.319089711743761</v>
      </c>
      <c r="G60" s="96" t="s">
        <v>1171</v>
      </c>
      <c r="H60" s="98">
        <f t="shared" si="6"/>
        <v>19</v>
      </c>
      <c r="I60" s="98">
        <f t="shared" si="7"/>
        <v>19</v>
      </c>
      <c r="J60" s="99">
        <f t="shared" si="8"/>
        <v>8.7229622775387838</v>
      </c>
      <c r="K60" s="109"/>
      <c r="L60" s="81"/>
      <c r="M60" s="108">
        <f>F60+G12</f>
        <v>19.319089711743761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0</v>
      </c>
      <c r="M62" s="108">
        <f>F62+G12</f>
        <v>12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0</v>
      </c>
      <c r="M63" s="108">
        <f>F63+G12</f>
        <v>12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12.871579220419527</v>
      </c>
      <c r="G64" s="96" t="s">
        <v>1171</v>
      </c>
      <c r="H64" s="98">
        <f>TRUNC(F64)</f>
        <v>12</v>
      </c>
      <c r="I64" s="98">
        <f>TRUNC((F64-H64)*60)</f>
        <v>52</v>
      </c>
      <c r="J64" s="99">
        <f>(((F64-H64)*60)-I64)*60</f>
        <v>17.685193510296244</v>
      </c>
      <c r="M64" s="108">
        <f>F64+G12</f>
        <v>12.871579220419527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9.3777501707065642</v>
      </c>
      <c r="G65" s="96" t="s">
        <v>1171</v>
      </c>
      <c r="H65" s="98">
        <f>TRUNC(F65)</f>
        <v>9</v>
      </c>
      <c r="I65" s="98">
        <f>TRUNC((F65-H65)*60)</f>
        <v>22</v>
      </c>
      <c r="J65" s="99">
        <f>(((F65-H65)*60)-I65)*60</f>
        <v>39.900614543631292</v>
      </c>
      <c r="M65" s="108">
        <f>F65+G12</f>
        <v>9.3777501707065642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YeYcS490n9HdNlGaC0zu/8oUIkpbv8em5KQvsLEo+udYvHklu84+dnTv7hA7i8h3gDVtqFoLtYPkavTVTY+pXw==" saltValue="Rr1DXDBvkpUx7X/8IY82TQ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16"/>
  <dimension ref="A1:P69"/>
  <sheetViews>
    <sheetView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7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7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2460871.5</v>
      </c>
      <c r="G14" s="1005"/>
      <c r="H14" s="88">
        <f>TRUNC(F14+1.5)-7*TRUNC((F14+1.5)/7)</f>
        <v>2</v>
      </c>
      <c r="I14" s="1013">
        <f>(F14-2451545)/36525</f>
        <v>0.25534565366187545</v>
      </c>
      <c r="J14" s="1005"/>
      <c r="K14" s="1004">
        <f>2400.051336907*I14+0.000025862*I14^2-0.000000002*I14^3</f>
        <v>612.84267913078133</v>
      </c>
      <c r="L14" s="1005"/>
      <c r="M14" s="89">
        <f>23.439291111-0.013004167*I14-0.000000164*I14^2+0.000000503*I14^3</f>
        <v>23.43597055115842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90.895450303011103</v>
      </c>
      <c r="D15" s="91">
        <f>ACOS((SIN(-6*PI()/180)-(SIN(G7*PI()/180)*SIN(F23*PI()/180)))/((COS(G7*PI()/180)*COS(F23*PI()/180))))*180/PI()</f>
        <v>96.450774592015136</v>
      </c>
      <c r="E15" s="91">
        <f>ACOS((SIN(-12*PI()/180)-(SIN(G7*PI()/180)*SIN(F23*PI()/180)))/((COS(G7*PI()/180)*COS(F23*PI()/180))))*180/PI()</f>
        <v>102.91281759745358</v>
      </c>
      <c r="F15" s="91">
        <f>ACOS((SIN(-18*PI()/180)-(SIN(G7*PI()/180)*SIN(F23*PI()/180)))/((COS(G7*PI()/180)*COS(F23*PI()/180))))*180/PI()</f>
        <v>109.39862120890754</v>
      </c>
      <c r="G15" s="92">
        <f>ABS(D15-C15)/15</f>
        <v>0.37035495260026891</v>
      </c>
      <c r="H15" s="92">
        <f>ABS(E15-C15)/15</f>
        <v>0.80115781962949861</v>
      </c>
      <c r="I15" s="92">
        <f>ABS(F15-C15)/15</f>
        <v>1.2335447270597626</v>
      </c>
      <c r="J15" s="93">
        <f>(D12-F38)*15</f>
        <v>-31.494987168558932</v>
      </c>
      <c r="K15" s="1004">
        <f>J22+((J20+G12)*1.00273790935)</f>
        <v>29.567432782281333</v>
      </c>
      <c r="L15" s="1005"/>
      <c r="M15" s="89">
        <f>6.697374558+(K14-(TRUNC(K14/24)*24))</f>
        <v>19.540053688781335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96.450774592015136</v>
      </c>
      <c r="E16" s="91">
        <f>ACOS((SIN(-12*PI()/180)-(SIN(G7*PI()/180)*SIN(F23*PI()/180)))/((COS(G7*PI()/180)*COS(F23*PI()/180))))*180/PI()</f>
        <v>102.91281759745358</v>
      </c>
      <c r="F16" s="91">
        <f>ACOS((SIN(-18*PI()/180)-(SIN(G7*PI()/180)*SIN(F23*PI()/180)))/((COS(G7*PI()/180)*COS(F23*PI()/180))))*180/PI()</f>
        <v>109.39862120890754</v>
      </c>
      <c r="G16" s="92">
        <f>ABS(D16-C16)/15</f>
        <v>0.43005163946767577</v>
      </c>
      <c r="H16" s="92">
        <f>ABS(E16-C16)/15</f>
        <v>0.86085450649690543</v>
      </c>
      <c r="I16" s="92">
        <f>ABS(F16-C16)/15</f>
        <v>1.2932414139271695</v>
      </c>
      <c r="J16" s="93">
        <f>(D12-F38)*15</f>
        <v>-31.494987168558932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196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martedì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19.540053688781335</v>
      </c>
      <c r="K22" s="96" t="s">
        <v>1154</v>
      </c>
      <c r="L22" s="98">
        <f t="shared" si="0"/>
        <v>19</v>
      </c>
      <c r="M22" s="98">
        <f t="shared" si="1"/>
        <v>32</v>
      </c>
      <c r="N22" s="102">
        <f t="shared" si="2"/>
        <v>24.193279612804304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21.504913062612712</v>
      </c>
      <c r="G23" s="74" t="s">
        <v>1135</v>
      </c>
      <c r="I23" s="101" t="s">
        <v>1160</v>
      </c>
      <c r="J23" s="97">
        <f>IF(K15&gt;24,K15-24,K15)</f>
        <v>5.5674327822813332</v>
      </c>
      <c r="K23" s="96" t="s">
        <v>1154</v>
      </c>
      <c r="L23" s="98">
        <f t="shared" si="0"/>
        <v>5</v>
      </c>
      <c r="M23" s="98">
        <f t="shared" si="1"/>
        <v>34</v>
      </c>
      <c r="N23" s="102">
        <f t="shared" si="2"/>
        <v>2.7580162127995322</v>
      </c>
      <c r="O23" s="73"/>
    </row>
    <row r="24" spans="1:15" ht="14.25" customHeight="1">
      <c r="B24" s="72"/>
      <c r="I24" s="101" t="s">
        <v>1161</v>
      </c>
      <c r="J24" s="97">
        <f>J23+(G8*4/60)</f>
        <v>5.5674327822813332</v>
      </c>
      <c r="K24" s="96" t="s">
        <v>1154</v>
      </c>
      <c r="L24" s="98">
        <f t="shared" si="0"/>
        <v>5</v>
      </c>
      <c r="M24" s="98">
        <f t="shared" si="1"/>
        <v>34</v>
      </c>
      <c r="N24" s="102">
        <f t="shared" si="2"/>
        <v>2.7580162127995322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-5.9799486742357777</v>
      </c>
      <c r="G25" s="85" t="s">
        <v>1163</v>
      </c>
      <c r="H25" s="104"/>
      <c r="I25" s="76" t="s">
        <v>1164</v>
      </c>
      <c r="J25" s="105">
        <f>J20-(F25/60)</f>
        <v>10.099665811237262</v>
      </c>
      <c r="K25" s="96" t="s">
        <v>1154</v>
      </c>
      <c r="L25" s="98">
        <f t="shared" si="0"/>
        <v>10</v>
      </c>
      <c r="M25" s="98">
        <f t="shared" si="1"/>
        <v>5</v>
      </c>
      <c r="N25" s="102">
        <f t="shared" si="2"/>
        <v>58.796920454143731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52.497532005972751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111.50491306261272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66.56402944884158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113.43597055115842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4.8064243973100922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48</v>
      </c>
      <c r="J34" s="99">
        <f t="shared" ref="J34:J42" si="5">(((F34-H34)*60)-I34)*60</f>
        <v>23.127830316331881</v>
      </c>
      <c r="M34" s="108">
        <f>F34+G12</f>
        <v>4.8064243973100922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5.2388113047403566</v>
      </c>
      <c r="G35" s="96" t="s">
        <v>1171</v>
      </c>
      <c r="H35" s="98">
        <f t="shared" si="3"/>
        <v>5</v>
      </c>
      <c r="I35" s="98">
        <f t="shared" si="4"/>
        <v>14</v>
      </c>
      <c r="J35" s="99">
        <f t="shared" si="5"/>
        <v>19.720697065283801</v>
      </c>
      <c r="M35" s="108">
        <f>F35+G12</f>
        <v>5.2388113047403566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5.6696141717695863</v>
      </c>
      <c r="G36" s="96" t="s">
        <v>1171</v>
      </c>
      <c r="H36" s="98">
        <f t="shared" si="3"/>
        <v>5</v>
      </c>
      <c r="I36" s="98">
        <f t="shared" si="4"/>
        <v>40</v>
      </c>
      <c r="J36" s="99">
        <f t="shared" si="5"/>
        <v>10.61101837051055</v>
      </c>
      <c r="M36" s="108">
        <f>F36+G12</f>
        <v>5.6696141717695863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6.039969124369855</v>
      </c>
      <c r="G37" s="96" t="s">
        <v>1171</v>
      </c>
      <c r="H37" s="98">
        <f t="shared" si="3"/>
        <v>6</v>
      </c>
      <c r="I37" s="98">
        <f t="shared" si="4"/>
        <v>2</v>
      </c>
      <c r="J37" s="99">
        <f t="shared" si="5"/>
        <v>23.888847731478009</v>
      </c>
      <c r="M37" s="108">
        <f>F37+G12</f>
        <v>6.039969124369855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12.099665811237262</v>
      </c>
      <c r="G38" s="96" t="s">
        <v>1171</v>
      </c>
      <c r="H38" s="98">
        <f t="shared" si="3"/>
        <v>12</v>
      </c>
      <c r="I38" s="98">
        <f t="shared" si="4"/>
        <v>5</v>
      </c>
      <c r="J38" s="99">
        <f t="shared" si="5"/>
        <v>58.796920454143731</v>
      </c>
      <c r="K38" s="109"/>
      <c r="L38" s="81"/>
      <c r="M38" s="108">
        <f>F38+G12</f>
        <v>12.099665811237262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18.15936249810467</v>
      </c>
      <c r="G39" s="96" t="s">
        <v>1171</v>
      </c>
      <c r="H39" s="98">
        <f t="shared" si="3"/>
        <v>18</v>
      </c>
      <c r="I39" s="98">
        <f t="shared" si="4"/>
        <v>9</v>
      </c>
      <c r="J39" s="99">
        <f t="shared" si="5"/>
        <v>33.70499317681265</v>
      </c>
      <c r="K39" s="109"/>
      <c r="L39" s="75"/>
      <c r="M39" s="108">
        <f>F39+G12</f>
        <v>18.15936249810467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18.52971745070494</v>
      </c>
      <c r="G40" s="96" t="s">
        <v>1171</v>
      </c>
      <c r="H40" s="98">
        <f t="shared" si="3"/>
        <v>18</v>
      </c>
      <c r="I40" s="98">
        <f t="shared" si="4"/>
        <v>31</v>
      </c>
      <c r="J40" s="99">
        <f t="shared" si="5"/>
        <v>46.982822537783306</v>
      </c>
      <c r="K40" s="109"/>
      <c r="L40" s="111"/>
      <c r="M40" s="108">
        <f>F40+G12</f>
        <v>18.52971745070494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18.960520317734169</v>
      </c>
      <c r="G41" s="96" t="s">
        <v>1171</v>
      </c>
      <c r="H41" s="98">
        <f t="shared" si="3"/>
        <v>18</v>
      </c>
      <c r="I41" s="98">
        <f t="shared" si="4"/>
        <v>57</v>
      </c>
      <c r="J41" s="99">
        <f t="shared" si="5"/>
        <v>37.873143843006858</v>
      </c>
      <c r="K41" s="109"/>
      <c r="L41" s="111"/>
      <c r="M41" s="108">
        <f>F41+G12</f>
        <v>18.960520317734169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19.392907225164432</v>
      </c>
      <c r="G42" s="96" t="s">
        <v>1171</v>
      </c>
      <c r="H42" s="98">
        <f t="shared" si="3"/>
        <v>19</v>
      </c>
      <c r="I42" s="98">
        <f t="shared" si="4"/>
        <v>23</v>
      </c>
      <c r="J42" s="99">
        <f t="shared" si="5"/>
        <v>34.46601059195558</v>
      </c>
      <c r="K42" s="109"/>
      <c r="L42" s="81"/>
      <c r="M42" s="108">
        <f>F42+G12</f>
        <v>19.392907225164432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12.119393373734816</v>
      </c>
      <c r="G44" s="96" t="s">
        <v>1171</v>
      </c>
      <c r="H44" s="98">
        <f>TRUNC(F44)</f>
        <v>12</v>
      </c>
      <c r="I44" s="98">
        <f>TRUNC((F44-H44)*60)</f>
        <v>7</v>
      </c>
      <c r="J44" s="99">
        <f>(((F44-H44)*60)-I44)*60</f>
        <v>9.8161454453378383</v>
      </c>
      <c r="M44" s="108">
        <f>F44+G12</f>
        <v>12.119393373734816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11.880606626265184</v>
      </c>
      <c r="G45" s="96" t="s">
        <v>1171</v>
      </c>
      <c r="H45" s="98">
        <f>TRUNC(F45)</f>
        <v>11</v>
      </c>
      <c r="I45" s="98">
        <f>TRUNC((F45-H45)*60)</f>
        <v>52</v>
      </c>
      <c r="J45" s="99">
        <f>(((F45-H45)*60)-I45)*60</f>
        <v>50.183854554662162</v>
      </c>
      <c r="M45" s="108">
        <f>F45+G12</f>
        <v>11.880606626265184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12.860103278935354</v>
      </c>
      <c r="G46" s="96" t="s">
        <v>1171</v>
      </c>
      <c r="H46" s="98">
        <f>TRUNC(F46)</f>
        <v>12</v>
      </c>
      <c r="I46" s="98">
        <f>TRUNC((F46-H46)*60)</f>
        <v>51</v>
      </c>
      <c r="J46" s="99">
        <f>(((F46-H46)*60)-I46)*60</f>
        <v>36.371804167272757</v>
      </c>
      <c r="M46" s="108">
        <f>F46+G12</f>
        <v>12.860103278935354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9.4135171721456601</v>
      </c>
      <c r="G47" s="96" t="s">
        <v>1171</v>
      </c>
      <c r="H47" s="98">
        <f>TRUNC(F47)</f>
        <v>9</v>
      </c>
      <c r="I47" s="98">
        <f>TRUNC((F47-H47)*60)</f>
        <v>24</v>
      </c>
      <c r="J47" s="99">
        <f>(((F47-H47)*60)-I47)*60</f>
        <v>48.661819724376301</v>
      </c>
      <c r="M47" s="108">
        <f>F47+G12</f>
        <v>9.4135171721456601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4.8064243973100922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48</v>
      </c>
      <c r="J52" s="99">
        <f t="shared" ref="J52:J60" si="8">(((F52-H52)*60)-I52)*60</f>
        <v>23.127830316331881</v>
      </c>
      <c r="M52" s="108">
        <f>F52+G12</f>
        <v>4.8064243973100922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5.2388113047403566</v>
      </c>
      <c r="G53" s="96" t="s">
        <v>1171</v>
      </c>
      <c r="H53" s="98">
        <f t="shared" si="6"/>
        <v>5</v>
      </c>
      <c r="I53" s="98">
        <f t="shared" si="7"/>
        <v>14</v>
      </c>
      <c r="J53" s="99">
        <f t="shared" si="8"/>
        <v>19.720697065283801</v>
      </c>
      <c r="M53" s="108">
        <f>F53+G12</f>
        <v>5.2388113047403566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5.6696141717695863</v>
      </c>
      <c r="G54" s="96" t="s">
        <v>1171</v>
      </c>
      <c r="H54" s="98">
        <f t="shared" si="6"/>
        <v>5</v>
      </c>
      <c r="I54" s="98">
        <f t="shared" si="7"/>
        <v>40</v>
      </c>
      <c r="J54" s="99">
        <f t="shared" si="8"/>
        <v>10.61101837051055</v>
      </c>
      <c r="M54" s="108">
        <f>F54+G12</f>
        <v>5.6696141717695863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6.0996658112372621</v>
      </c>
      <c r="G55" s="96" t="s">
        <v>1171</v>
      </c>
      <c r="H55" s="98">
        <f t="shared" si="6"/>
        <v>6</v>
      </c>
      <c r="I55" s="98">
        <f t="shared" si="7"/>
        <v>5</v>
      </c>
      <c r="J55" s="99">
        <f t="shared" si="8"/>
        <v>58.796920454143731</v>
      </c>
      <c r="M55" s="108">
        <f>F55+G12</f>
        <v>6.0996658112372621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12.099665811237262</v>
      </c>
      <c r="G56" s="96" t="s">
        <v>1171</v>
      </c>
      <c r="H56" s="98">
        <f t="shared" si="6"/>
        <v>12</v>
      </c>
      <c r="I56" s="98">
        <f t="shared" si="7"/>
        <v>5</v>
      </c>
      <c r="J56" s="99">
        <f t="shared" si="8"/>
        <v>58.796920454143731</v>
      </c>
      <c r="K56" s="109"/>
      <c r="L56" s="81"/>
      <c r="M56" s="108">
        <f>F56+G12</f>
        <v>12.099665811237262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18.099665811237262</v>
      </c>
      <c r="G57" s="96" t="s">
        <v>1171</v>
      </c>
      <c r="H57" s="98">
        <f t="shared" si="6"/>
        <v>18</v>
      </c>
      <c r="I57" s="98">
        <f t="shared" si="7"/>
        <v>5</v>
      </c>
      <c r="J57" s="99">
        <f t="shared" si="8"/>
        <v>58.796920454143731</v>
      </c>
      <c r="K57" s="109"/>
      <c r="L57" s="75"/>
      <c r="M57" s="108">
        <f>F57+G12</f>
        <v>18.099665811237262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18.529717450704936</v>
      </c>
      <c r="G58" s="96" t="s">
        <v>1171</v>
      </c>
      <c r="H58" s="98">
        <f t="shared" si="6"/>
        <v>18</v>
      </c>
      <c r="I58" s="98">
        <f t="shared" si="7"/>
        <v>31</v>
      </c>
      <c r="J58" s="99">
        <f t="shared" si="8"/>
        <v>46.982822537770517</v>
      </c>
      <c r="K58" s="109"/>
      <c r="L58" s="111"/>
      <c r="M58" s="108">
        <f>F58+G12</f>
        <v>18.529717450704936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18.960520317734169</v>
      </c>
      <c r="G59" s="96" t="s">
        <v>1171</v>
      </c>
      <c r="H59" s="98">
        <f t="shared" si="6"/>
        <v>18</v>
      </c>
      <c r="I59" s="98">
        <f t="shared" si="7"/>
        <v>57</v>
      </c>
      <c r="J59" s="99">
        <f t="shared" si="8"/>
        <v>37.873143843006858</v>
      </c>
      <c r="K59" s="109"/>
      <c r="L59" s="111"/>
      <c r="M59" s="108">
        <f>F59+G12</f>
        <v>18.960520317734169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19.392907225164432</v>
      </c>
      <c r="G60" s="96" t="s">
        <v>1171</v>
      </c>
      <c r="H60" s="98">
        <f t="shared" si="6"/>
        <v>19</v>
      </c>
      <c r="I60" s="98">
        <f t="shared" si="7"/>
        <v>23</v>
      </c>
      <c r="J60" s="99">
        <f t="shared" si="8"/>
        <v>34.46601059195558</v>
      </c>
      <c r="K60" s="109"/>
      <c r="L60" s="81"/>
      <c r="M60" s="108">
        <f>F60+G12</f>
        <v>19.392907225164432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0</v>
      </c>
      <c r="M62" s="108">
        <f>F62+G12</f>
        <v>12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0</v>
      </c>
      <c r="M63" s="108">
        <f>F63+G12</f>
        <v>12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12.86010327893535</v>
      </c>
      <c r="G64" s="96" t="s">
        <v>1171</v>
      </c>
      <c r="H64" s="98">
        <f>TRUNC(F64)</f>
        <v>12</v>
      </c>
      <c r="I64" s="98">
        <f>TRUNC((F64-H64)*60)</f>
        <v>51</v>
      </c>
      <c r="J64" s="99">
        <f>(((F64-H64)*60)-I64)*60</f>
        <v>36.371804167259967</v>
      </c>
      <c r="M64" s="108">
        <f>F64+G12</f>
        <v>12.86010327893535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9.4135171721456601</v>
      </c>
      <c r="G65" s="96" t="s">
        <v>1171</v>
      </c>
      <c r="H65" s="98">
        <f>TRUNC(F65)</f>
        <v>9</v>
      </c>
      <c r="I65" s="98">
        <f>TRUNC((F65-H65)*60)</f>
        <v>24</v>
      </c>
      <c r="J65" s="99">
        <f>(((F65-H65)*60)-I65)*60</f>
        <v>48.661819724376301</v>
      </c>
      <c r="M65" s="108">
        <f>F65+G12</f>
        <v>9.4135171721456601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JJS7Kb6/4IWUE8wL9HN/xSNovdi1ko34oHEuHX0G+1u2RWZLZ1X+caIlArePV5zgZpupHCW/pI9yzkD8e+GoUg==" saltValue="0wyQIOJFL1ftvdojCHuPvg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17"/>
  <dimension ref="A1:P69"/>
  <sheetViews>
    <sheetView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8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8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2460902.5</v>
      </c>
      <c r="G14" s="1005"/>
      <c r="H14" s="88">
        <f>TRUNC(F14+1.5)-7*TRUNC((F14+1.5)/7)</f>
        <v>5</v>
      </c>
      <c r="I14" s="1013">
        <f>(F14-2451545)/36525</f>
        <v>0.2561943874058864</v>
      </c>
      <c r="J14" s="1005"/>
      <c r="K14" s="1004">
        <f>2400.051336907*I14+0.000025862*I14^2-0.000000002*I14^3</f>
        <v>614.87968369900079</v>
      </c>
      <c r="L14" s="1005"/>
      <c r="M14" s="89">
        <f>23.439291111-0.013004167*I14-0.000000164*I14^2+0.000000503*I14^3</f>
        <v>23.435959514095654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90.858446041252236</v>
      </c>
      <c r="D15" s="91">
        <f>ACOS((SIN(-6*PI()/180)-(SIN(G7*PI()/180)*SIN(F23*PI()/180)))/((COS(G7*PI()/180)*COS(F23*PI()/180))))*180/PI()</f>
        <v>96.183155982000272</v>
      </c>
      <c r="E15" s="91">
        <f>ACOS((SIN(-12*PI()/180)-(SIN(G7*PI()/180)*SIN(F23*PI()/180)))/((COS(G7*PI()/180)*COS(F23*PI()/180))))*180/PI()</f>
        <v>102.37059826362878</v>
      </c>
      <c r="F15" s="91">
        <f>ACOS((SIN(-18*PI()/180)-(SIN(G7*PI()/180)*SIN(F23*PI()/180)))/((COS(G7*PI()/180)*COS(F23*PI()/180))))*180/PI()</f>
        <v>108.56703405442123</v>
      </c>
      <c r="G15" s="92">
        <f>ABS(D15-C15)/15</f>
        <v>0.35498066271653578</v>
      </c>
      <c r="H15" s="92">
        <f>ABS(E15-C15)/15</f>
        <v>0.76747681482510288</v>
      </c>
      <c r="I15" s="92">
        <f>ABS(F15-C15)/15</f>
        <v>1.1805725342112661</v>
      </c>
      <c r="J15" s="93">
        <f>(D12-F38)*15</f>
        <v>-31.119693369690388</v>
      </c>
      <c r="K15" s="1004">
        <f>J22+((J20+G12)*1.00273790935)</f>
        <v>31.604437350500792</v>
      </c>
      <c r="L15" s="1005"/>
      <c r="M15" s="89">
        <f>6.697374558+(K14-(TRUNC(K14/24)*24))</f>
        <v>21.577058257000793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96.183155982000272</v>
      </c>
      <c r="E16" s="91">
        <f>ACOS((SIN(-12*PI()/180)-(SIN(G7*PI()/180)*SIN(F23*PI()/180)))/((COS(G7*PI()/180)*COS(F23*PI()/180))))*180/PI()</f>
        <v>102.37059826362878</v>
      </c>
      <c r="F16" s="91">
        <f>ACOS((SIN(-18*PI()/180)-(SIN(G7*PI()/180)*SIN(F23*PI()/180)))/((COS(G7*PI()/180)*COS(F23*PI()/180))))*180/PI()</f>
        <v>108.56703405442123</v>
      </c>
      <c r="G16" s="92">
        <f>ABS(D16-C16)/15</f>
        <v>0.41221039880001814</v>
      </c>
      <c r="H16" s="92">
        <f>ABS(E16-C16)/15</f>
        <v>0.82470655090858525</v>
      </c>
      <c r="I16" s="92">
        <f>ABS(F16-C16)/15</f>
        <v>1.2378022702947484</v>
      </c>
      <c r="J16" s="93">
        <f>(D12-F38)*15</f>
        <v>-31.119693369690388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227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venerdì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21.577058257000793</v>
      </c>
      <c r="K22" s="96" t="s">
        <v>1154</v>
      </c>
      <c r="L22" s="98">
        <f t="shared" si="0"/>
        <v>21</v>
      </c>
      <c r="M22" s="98">
        <f t="shared" si="1"/>
        <v>34</v>
      </c>
      <c r="N22" s="102">
        <f t="shared" si="2"/>
        <v>37.409725202855384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13.954328483665554</v>
      </c>
      <c r="G23" s="74" t="s">
        <v>1135</v>
      </c>
      <c r="I23" s="101" t="s">
        <v>1160</v>
      </c>
      <c r="J23" s="97">
        <f>IF(K15&gt;24,K15-24,K15)</f>
        <v>7.6044373505007918</v>
      </c>
      <c r="K23" s="96" t="s">
        <v>1154</v>
      </c>
      <c r="L23" s="98">
        <f t="shared" si="0"/>
        <v>7</v>
      </c>
      <c r="M23" s="98">
        <f t="shared" si="1"/>
        <v>36</v>
      </c>
      <c r="N23" s="102">
        <f t="shared" si="2"/>
        <v>15.974461802850612</v>
      </c>
      <c r="O23" s="73"/>
    </row>
    <row r="24" spans="1:15" ht="14.25" customHeight="1">
      <c r="B24" s="72"/>
      <c r="I24" s="101" t="s">
        <v>1161</v>
      </c>
      <c r="J24" s="97">
        <f>J23+(G8*4/60)</f>
        <v>7.6044373505007918</v>
      </c>
      <c r="K24" s="96" t="s">
        <v>1154</v>
      </c>
      <c r="L24" s="98">
        <f t="shared" si="0"/>
        <v>7</v>
      </c>
      <c r="M24" s="98">
        <f t="shared" si="1"/>
        <v>36</v>
      </c>
      <c r="N24" s="102">
        <f t="shared" si="2"/>
        <v>15.974461802850612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-4.4787734787615827</v>
      </c>
      <c r="G25" s="85" t="s">
        <v>1163</v>
      </c>
      <c r="H25" s="104"/>
      <c r="I25" s="76" t="s">
        <v>1164</v>
      </c>
      <c r="J25" s="105">
        <f>J20-(F25/60)</f>
        <v>10.074646224646026</v>
      </c>
      <c r="K25" s="96" t="s">
        <v>1154</v>
      </c>
      <c r="L25" s="98">
        <f t="shared" si="0"/>
        <v>10</v>
      </c>
      <c r="M25" s="98">
        <f t="shared" si="1"/>
        <v>4</v>
      </c>
      <c r="N25" s="102">
        <f t="shared" si="2"/>
        <v>28.726408725692778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56.183558586204079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103.95432848366555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66.564040485904343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113.43595951409566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4.8368439543512771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50</v>
      </c>
      <c r="J34" s="99">
        <f t="shared" ref="J34:J42" si="5">(((F34-H34)*60)-I34)*60</f>
        <v>12.63823566459763</v>
      </c>
      <c r="M34" s="108">
        <f>F34+G12</f>
        <v>4.8368439543512771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5.2499396737374404</v>
      </c>
      <c r="G35" s="96" t="s">
        <v>1171</v>
      </c>
      <c r="H35" s="98">
        <f t="shared" si="3"/>
        <v>5</v>
      </c>
      <c r="I35" s="98">
        <f t="shared" si="4"/>
        <v>14</v>
      </c>
      <c r="J35" s="99">
        <f t="shared" si="5"/>
        <v>59.782825454785495</v>
      </c>
      <c r="M35" s="108">
        <f>F35+G12</f>
        <v>5.2499396737374404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5.662435825846007</v>
      </c>
      <c r="G36" s="96" t="s">
        <v>1171</v>
      </c>
      <c r="H36" s="98">
        <f t="shared" si="3"/>
        <v>5</v>
      </c>
      <c r="I36" s="98">
        <f t="shared" si="4"/>
        <v>39</v>
      </c>
      <c r="J36" s="99">
        <f t="shared" si="5"/>
        <v>44.768973045625273</v>
      </c>
      <c r="M36" s="108">
        <f>F36+G12</f>
        <v>5.662435825846007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6.0174164885625432</v>
      </c>
      <c r="G37" s="96" t="s">
        <v>1171</v>
      </c>
      <c r="H37" s="98">
        <f t="shared" si="3"/>
        <v>6</v>
      </c>
      <c r="I37" s="98">
        <f t="shared" si="4"/>
        <v>1</v>
      </c>
      <c r="J37" s="99">
        <f t="shared" si="5"/>
        <v>2.6993588251554712</v>
      </c>
      <c r="M37" s="108">
        <f>F37+G12</f>
        <v>6.0174164885625432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12.074646224646026</v>
      </c>
      <c r="G38" s="96" t="s">
        <v>1171</v>
      </c>
      <c r="H38" s="98">
        <f t="shared" si="3"/>
        <v>12</v>
      </c>
      <c r="I38" s="98">
        <f t="shared" si="4"/>
        <v>4</v>
      </c>
      <c r="J38" s="99">
        <f t="shared" si="5"/>
        <v>28.726408725692778</v>
      </c>
      <c r="K38" s="109"/>
      <c r="L38" s="81"/>
      <c r="M38" s="108">
        <f>F38+G12</f>
        <v>12.074646224646026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18.131875960729509</v>
      </c>
      <c r="G39" s="96" t="s">
        <v>1171</v>
      </c>
      <c r="H39" s="98">
        <f t="shared" si="3"/>
        <v>18</v>
      </c>
      <c r="I39" s="98">
        <f t="shared" si="4"/>
        <v>7</v>
      </c>
      <c r="J39" s="99">
        <f t="shared" si="5"/>
        <v>54.753458626233282</v>
      </c>
      <c r="K39" s="109"/>
      <c r="L39" s="75"/>
      <c r="M39" s="108">
        <f>F39+G12</f>
        <v>18.131875960729509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18.486856623446045</v>
      </c>
      <c r="G40" s="96" t="s">
        <v>1171</v>
      </c>
      <c r="H40" s="98">
        <f t="shared" si="3"/>
        <v>18</v>
      </c>
      <c r="I40" s="98">
        <f t="shared" si="4"/>
        <v>29</v>
      </c>
      <c r="J40" s="99">
        <f t="shared" si="5"/>
        <v>12.683844405760283</v>
      </c>
      <c r="K40" s="109"/>
      <c r="L40" s="111"/>
      <c r="M40" s="108">
        <f>F40+G12</f>
        <v>18.486856623446045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18.899352775554611</v>
      </c>
      <c r="G41" s="96" t="s">
        <v>1171</v>
      </c>
      <c r="H41" s="98">
        <f t="shared" si="3"/>
        <v>18</v>
      </c>
      <c r="I41" s="98">
        <f t="shared" si="4"/>
        <v>53</v>
      </c>
      <c r="J41" s="99">
        <f t="shared" si="5"/>
        <v>57.669991996600061</v>
      </c>
      <c r="K41" s="109"/>
      <c r="L41" s="111"/>
      <c r="M41" s="108">
        <f>F41+G12</f>
        <v>18.899352775554611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19.312448494940774</v>
      </c>
      <c r="G42" s="96" t="s">
        <v>1171</v>
      </c>
      <c r="H42" s="98">
        <f t="shared" si="3"/>
        <v>19</v>
      </c>
      <c r="I42" s="98">
        <f t="shared" si="4"/>
        <v>18</v>
      </c>
      <c r="J42" s="99">
        <f t="shared" si="5"/>
        <v>44.814581786787926</v>
      </c>
      <c r="K42" s="109"/>
      <c r="L42" s="81"/>
      <c r="M42" s="108">
        <f>F42+G12</f>
        <v>19.312448494940774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12.114459472166967</v>
      </c>
      <c r="G44" s="96" t="s">
        <v>1171</v>
      </c>
      <c r="H44" s="98">
        <f>TRUNC(F44)</f>
        <v>12</v>
      </c>
      <c r="I44" s="98">
        <f>TRUNC((F44-H44)*60)</f>
        <v>6</v>
      </c>
      <c r="J44" s="99">
        <f>(((F44-H44)*60)-I44)*60</f>
        <v>52.054099801081009</v>
      </c>
      <c r="M44" s="108">
        <f>F44+G12</f>
        <v>12.114459472166967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11.885540527833033</v>
      </c>
      <c r="G45" s="96" t="s">
        <v>1171</v>
      </c>
      <c r="H45" s="98">
        <f>TRUNC(F45)</f>
        <v>11</v>
      </c>
      <c r="I45" s="98">
        <f>TRUNC((F45-H45)*60)</f>
        <v>53</v>
      </c>
      <c r="J45" s="99">
        <f>(((F45-H45)*60)-I45)*60</f>
        <v>7.9459001989189915</v>
      </c>
      <c r="M45" s="108">
        <f>F45+G12</f>
        <v>11.885540527833033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12.824420797600038</v>
      </c>
      <c r="G46" s="96" t="s">
        <v>1171</v>
      </c>
      <c r="H46" s="98">
        <f>TRUNC(F46)</f>
        <v>12</v>
      </c>
      <c r="I46" s="98">
        <f>TRUNC((F46-H46)*60)</f>
        <v>49</v>
      </c>
      <c r="J46" s="99">
        <f>(((F46-H46)*60)-I46)*60</f>
        <v>27.91487136013501</v>
      </c>
      <c r="M46" s="108">
        <f>F46+G12</f>
        <v>12.824420797600038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9.5243954594105027</v>
      </c>
      <c r="G47" s="96" t="s">
        <v>1171</v>
      </c>
      <c r="H47" s="98">
        <f>TRUNC(F47)</f>
        <v>9</v>
      </c>
      <c r="I47" s="98">
        <f>TRUNC((F47-H47)*60)</f>
        <v>31</v>
      </c>
      <c r="J47" s="99">
        <f>(((F47-H47)*60)-I47)*60</f>
        <v>27.823653877809704</v>
      </c>
      <c r="M47" s="108">
        <f>F47+G12</f>
        <v>9.5243954594105027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4.8368439543512771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50</v>
      </c>
      <c r="J52" s="99">
        <f t="shared" ref="J52:J60" si="8">(((F52-H52)*60)-I52)*60</f>
        <v>12.63823566459763</v>
      </c>
      <c r="M52" s="108">
        <f>F52+G12</f>
        <v>4.8368439543512771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5.2499396737374404</v>
      </c>
      <c r="G53" s="96" t="s">
        <v>1171</v>
      </c>
      <c r="H53" s="98">
        <f t="shared" si="6"/>
        <v>5</v>
      </c>
      <c r="I53" s="98">
        <f t="shared" si="7"/>
        <v>14</v>
      </c>
      <c r="J53" s="99">
        <f t="shared" si="8"/>
        <v>59.782825454785495</v>
      </c>
      <c r="M53" s="108">
        <f>F53+G12</f>
        <v>5.2499396737374404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5.6624358258460079</v>
      </c>
      <c r="G54" s="96" t="s">
        <v>1171</v>
      </c>
      <c r="H54" s="98">
        <f t="shared" si="6"/>
        <v>5</v>
      </c>
      <c r="I54" s="98">
        <f t="shared" si="7"/>
        <v>39</v>
      </c>
      <c r="J54" s="99">
        <f t="shared" si="8"/>
        <v>44.768973045628684</v>
      </c>
      <c r="M54" s="108">
        <f>F54+G12</f>
        <v>5.6624358258460079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6.0746462246460258</v>
      </c>
      <c r="G55" s="96" t="s">
        <v>1171</v>
      </c>
      <c r="H55" s="98">
        <f t="shared" si="6"/>
        <v>6</v>
      </c>
      <c r="I55" s="98">
        <f t="shared" si="7"/>
        <v>4</v>
      </c>
      <c r="J55" s="99">
        <f t="shared" si="8"/>
        <v>28.726408725692778</v>
      </c>
      <c r="M55" s="108">
        <f>F55+G12</f>
        <v>6.0746462246460258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12.074646224646026</v>
      </c>
      <c r="G56" s="96" t="s">
        <v>1171</v>
      </c>
      <c r="H56" s="98">
        <f t="shared" si="6"/>
        <v>12</v>
      </c>
      <c r="I56" s="98">
        <f t="shared" si="7"/>
        <v>4</v>
      </c>
      <c r="J56" s="99">
        <f t="shared" si="8"/>
        <v>28.726408725692778</v>
      </c>
      <c r="K56" s="109"/>
      <c r="L56" s="81"/>
      <c r="M56" s="108">
        <f>F56+G12</f>
        <v>12.074646224646026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18.074646224646024</v>
      </c>
      <c r="G57" s="96" t="s">
        <v>1171</v>
      </c>
      <c r="H57" s="98">
        <f t="shared" si="6"/>
        <v>18</v>
      </c>
      <c r="I57" s="98">
        <f t="shared" si="7"/>
        <v>4</v>
      </c>
      <c r="J57" s="99">
        <f t="shared" si="8"/>
        <v>28.726408725686383</v>
      </c>
      <c r="K57" s="109"/>
      <c r="L57" s="75"/>
      <c r="M57" s="108">
        <f>F57+G12</f>
        <v>18.074646224646024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18.486856623446041</v>
      </c>
      <c r="G58" s="96" t="s">
        <v>1171</v>
      </c>
      <c r="H58" s="98">
        <f t="shared" si="6"/>
        <v>18</v>
      </c>
      <c r="I58" s="98">
        <f t="shared" si="7"/>
        <v>29</v>
      </c>
      <c r="J58" s="99">
        <f t="shared" si="8"/>
        <v>12.683844405747493</v>
      </c>
      <c r="K58" s="109"/>
      <c r="L58" s="111"/>
      <c r="M58" s="108">
        <f>F58+G12</f>
        <v>18.486856623446041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18.899352775554608</v>
      </c>
      <c r="G59" s="96" t="s">
        <v>1171</v>
      </c>
      <c r="H59" s="98">
        <f t="shared" si="6"/>
        <v>18</v>
      </c>
      <c r="I59" s="98">
        <f t="shared" si="7"/>
        <v>53</v>
      </c>
      <c r="J59" s="99">
        <f t="shared" si="8"/>
        <v>57.669991996587271</v>
      </c>
      <c r="K59" s="109"/>
      <c r="L59" s="111"/>
      <c r="M59" s="108">
        <f>F59+G12</f>
        <v>18.899352775554608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19.312448494940771</v>
      </c>
      <c r="G60" s="96" t="s">
        <v>1171</v>
      </c>
      <c r="H60" s="98">
        <f t="shared" si="6"/>
        <v>19</v>
      </c>
      <c r="I60" s="98">
        <f t="shared" si="7"/>
        <v>18</v>
      </c>
      <c r="J60" s="99">
        <f t="shared" si="8"/>
        <v>44.814581786775136</v>
      </c>
      <c r="K60" s="109"/>
      <c r="L60" s="81"/>
      <c r="M60" s="108">
        <f>F60+G12</f>
        <v>19.312448494940771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11.999999999999998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-6.3948846218409017E-12</v>
      </c>
      <c r="M62" s="108">
        <f>F62+G12</f>
        <v>11.999999999999998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12.000000000000002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6.3948846218409017E-12</v>
      </c>
      <c r="M63" s="108">
        <f>F63+G12</f>
        <v>12.000000000000002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12.824420797600034</v>
      </c>
      <c r="G64" s="96" t="s">
        <v>1171</v>
      </c>
      <c r="H64" s="98">
        <f>TRUNC(F64)</f>
        <v>12</v>
      </c>
      <c r="I64" s="98">
        <f>TRUNC((F64-H64)*60)</f>
        <v>49</v>
      </c>
      <c r="J64" s="99">
        <f>(((F64-H64)*60)-I64)*60</f>
        <v>27.91487136012222</v>
      </c>
      <c r="M64" s="108">
        <f>F64+G12</f>
        <v>12.824420797600034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9.5243954594105062</v>
      </c>
      <c r="G65" s="96" t="s">
        <v>1171</v>
      </c>
      <c r="H65" s="98">
        <f>TRUNC(F65)</f>
        <v>9</v>
      </c>
      <c r="I65" s="98">
        <f>TRUNC((F65-H65)*60)</f>
        <v>31</v>
      </c>
      <c r="J65" s="99">
        <f>(((F65-H65)*60)-I65)*60</f>
        <v>27.823653877822494</v>
      </c>
      <c r="M65" s="108">
        <f>F65+G12</f>
        <v>9.5243954594105062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sc/Ny+Kmgb3JwHojq/aSRN64FSI1Trx0LQcc2oFqd50id0O3c/bEbwVSWYkTY0ncUGrgkA3vLXvDT8L6XkqTOg==" saltValue="UR0eA9PkAF83gCvwBcukgA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18"/>
  <dimension ref="A1:P69"/>
  <sheetViews>
    <sheetView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9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9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2460933.5</v>
      </c>
      <c r="G14" s="1005"/>
      <c r="H14" s="88">
        <f>TRUNC(F14+1.5)-7*TRUNC((F14+1.5)/7)</f>
        <v>1</v>
      </c>
      <c r="I14" s="1013">
        <f>(F14-2451545)/36525</f>
        <v>0.25704312114989736</v>
      </c>
      <c r="J14" s="1005"/>
      <c r="K14" s="1004">
        <f>2400.051336907*I14+0.000025862*I14^2-0.000000002*I14^3</f>
        <v>616.91668826725765</v>
      </c>
      <c r="L14" s="1005"/>
      <c r="M14" s="89">
        <f>23.439291111-0.013004167*I14-0.000000164*I14^2+0.000000503*I14^3</f>
        <v>23.435948477033211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90.83421175392975</v>
      </c>
      <c r="D15" s="91">
        <f>ACOS((SIN(-6*PI()/180)-(SIN(G7*PI()/180)*SIN(F23*PI()/180)))/((COS(G7*PI()/180)*COS(F23*PI()/180))))*180/PI()</f>
        <v>96.007963450270765</v>
      </c>
      <c r="E15" s="91">
        <f>ACOS((SIN(-12*PI()/180)-(SIN(G7*PI()/180)*SIN(F23*PI()/180)))/((COS(G7*PI()/180)*COS(F23*PI()/180))))*180/PI()</f>
        <v>102.01610517240542</v>
      </c>
      <c r="F15" s="91">
        <f>ACOS((SIN(-18*PI()/180)-(SIN(G7*PI()/180)*SIN(F23*PI()/180)))/((COS(G7*PI()/180)*COS(F23*PI()/180))))*180/PI()</f>
        <v>108.02461978480348</v>
      </c>
      <c r="G15" s="92">
        <f>ABS(D15-C15)/15</f>
        <v>0.3449167797560676</v>
      </c>
      <c r="H15" s="92">
        <f>ABS(E15-C15)/15</f>
        <v>0.74545956123171109</v>
      </c>
      <c r="I15" s="92">
        <f>ABS(F15-C15)/15</f>
        <v>1.1460272020582485</v>
      </c>
      <c r="J15" s="93">
        <f>(D12-F38)*15</f>
        <v>-28.801969716919089</v>
      </c>
      <c r="K15" s="1004">
        <f>J22+((J20+G12)*1.00273790935)</f>
        <v>33.64144191875765</v>
      </c>
      <c r="L15" s="1005"/>
      <c r="M15" s="89">
        <f>6.697374558+(K14-(TRUNC(K14/24)*24))</f>
        <v>23.614062825257655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96.007963450270765</v>
      </c>
      <c r="E16" s="91">
        <f>ACOS((SIN(-12*PI()/180)-(SIN(G7*PI()/180)*SIN(F23*PI()/180)))/((COS(G7*PI()/180)*COS(F23*PI()/180))))*180/PI()</f>
        <v>102.01610517240542</v>
      </c>
      <c r="F16" s="91">
        <f>ACOS((SIN(-18*PI()/180)-(SIN(G7*PI()/180)*SIN(F23*PI()/180)))/((COS(G7*PI()/180)*COS(F23*PI()/180))))*180/PI()</f>
        <v>108.02461978480348</v>
      </c>
      <c r="G16" s="92">
        <f>ABS(D16-C16)/15</f>
        <v>0.40053089668471764</v>
      </c>
      <c r="H16" s="92">
        <f>ABS(E16-C16)/15</f>
        <v>0.80107367816036112</v>
      </c>
      <c r="I16" s="92">
        <f>ABS(F16-C16)/15</f>
        <v>1.2016413189868984</v>
      </c>
      <c r="J16" s="93">
        <f>(D12-F38)*15</f>
        <v>-28.801969716919089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258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lunedì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23.614062825257655</v>
      </c>
      <c r="K22" s="96" t="s">
        <v>1154</v>
      </c>
      <c r="L22" s="98">
        <f t="shared" si="0"/>
        <v>23</v>
      </c>
      <c r="M22" s="98">
        <f t="shared" si="1"/>
        <v>36</v>
      </c>
      <c r="N22" s="102">
        <f t="shared" si="2"/>
        <v>50.626170927557155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2.9449376278869814</v>
      </c>
      <c r="G23" s="74" t="s">
        <v>1135</v>
      </c>
      <c r="I23" s="101" t="s">
        <v>1160</v>
      </c>
      <c r="J23" s="97">
        <f>IF(K15&gt;24,K15-24,K15)</f>
        <v>9.6414419187576499</v>
      </c>
      <c r="K23" s="96" t="s">
        <v>1154</v>
      </c>
      <c r="L23" s="98">
        <f t="shared" si="0"/>
        <v>9</v>
      </c>
      <c r="M23" s="98">
        <f t="shared" si="1"/>
        <v>38</v>
      </c>
      <c r="N23" s="102">
        <f t="shared" si="2"/>
        <v>29.190907527539594</v>
      </c>
      <c r="O23" s="73"/>
    </row>
    <row r="24" spans="1:15" ht="14.25" customHeight="1">
      <c r="B24" s="72"/>
      <c r="I24" s="101" t="s">
        <v>1161</v>
      </c>
      <c r="J24" s="97">
        <f>J23+(G8*4/60)</f>
        <v>9.6414419187576499</v>
      </c>
      <c r="K24" s="96" t="s">
        <v>1154</v>
      </c>
      <c r="L24" s="98">
        <f t="shared" si="0"/>
        <v>9</v>
      </c>
      <c r="M24" s="98">
        <f t="shared" si="1"/>
        <v>38</v>
      </c>
      <c r="N24" s="102">
        <f t="shared" si="2"/>
        <v>29.190907527539594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4.7921211323236879</v>
      </c>
      <c r="G25" s="85" t="s">
        <v>1163</v>
      </c>
      <c r="H25" s="104"/>
      <c r="I25" s="76" t="s">
        <v>1164</v>
      </c>
      <c r="J25" s="105">
        <f>J20-(F25/60)</f>
        <v>9.9201313144612726</v>
      </c>
      <c r="K25" s="96" t="s">
        <v>1154</v>
      </c>
      <c r="L25" s="98">
        <f t="shared" si="0"/>
        <v>9</v>
      </c>
      <c r="M25" s="98">
        <f t="shared" si="1"/>
        <v>55</v>
      </c>
      <c r="N25" s="102">
        <f t="shared" si="2"/>
        <v>12.472732060581393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61.060703737922061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92.944937627886986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66.564051522966793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113.43594847703321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4.718489995474374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43</v>
      </c>
      <c r="J34" s="99">
        <f t="shared" ref="J34:J42" si="5">(((F34-H34)*60)-I34)*60</f>
        <v>6.5639837077461038</v>
      </c>
      <c r="M34" s="108">
        <f>F34+G12</f>
        <v>4.718489995474374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5.1190576363009113</v>
      </c>
      <c r="G35" s="96" t="s">
        <v>1171</v>
      </c>
      <c r="H35" s="98">
        <f t="shared" si="3"/>
        <v>5</v>
      </c>
      <c r="I35" s="98">
        <f t="shared" si="4"/>
        <v>7</v>
      </c>
      <c r="J35" s="99">
        <f t="shared" si="5"/>
        <v>8.6074906832805453</v>
      </c>
      <c r="M35" s="108">
        <f>F35+G12</f>
        <v>5.1190576363009113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5.5196004177765552</v>
      </c>
      <c r="G36" s="96" t="s">
        <v>1171</v>
      </c>
      <c r="H36" s="98">
        <f t="shared" si="3"/>
        <v>5</v>
      </c>
      <c r="I36" s="98">
        <f t="shared" si="4"/>
        <v>31</v>
      </c>
      <c r="J36" s="99">
        <f t="shared" si="5"/>
        <v>10.561503995598684</v>
      </c>
      <c r="M36" s="108">
        <f>F36+G12</f>
        <v>5.5196004177765552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5.8645171975326225</v>
      </c>
      <c r="G37" s="96" t="s">
        <v>1171</v>
      </c>
      <c r="H37" s="98">
        <f t="shared" si="3"/>
        <v>5</v>
      </c>
      <c r="I37" s="98">
        <f t="shared" si="4"/>
        <v>51</v>
      </c>
      <c r="J37" s="99">
        <f t="shared" si="5"/>
        <v>52.26191111744086</v>
      </c>
      <c r="M37" s="108">
        <f>F37+G12</f>
        <v>5.8645171975326225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11.920131314461273</v>
      </c>
      <c r="G38" s="96" t="s">
        <v>1171</v>
      </c>
      <c r="H38" s="98">
        <f t="shared" si="3"/>
        <v>11</v>
      </c>
      <c r="I38" s="98">
        <f t="shared" si="4"/>
        <v>55</v>
      </c>
      <c r="J38" s="99">
        <f t="shared" si="5"/>
        <v>12.472732060581393</v>
      </c>
      <c r="K38" s="109"/>
      <c r="L38" s="81"/>
      <c r="M38" s="108">
        <f>F38+G12</f>
        <v>11.920131314461273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17.975745431389925</v>
      </c>
      <c r="G39" s="96" t="s">
        <v>1171</v>
      </c>
      <c r="H39" s="98">
        <f t="shared" si="3"/>
        <v>17</v>
      </c>
      <c r="I39" s="98">
        <f t="shared" si="4"/>
        <v>58</v>
      </c>
      <c r="J39" s="99">
        <f t="shared" si="5"/>
        <v>32.683553003728321</v>
      </c>
      <c r="K39" s="109"/>
      <c r="L39" s="75"/>
      <c r="M39" s="108">
        <f>F39+G12</f>
        <v>17.975745431389925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18.320662211145994</v>
      </c>
      <c r="G40" s="96" t="s">
        <v>1171</v>
      </c>
      <c r="H40" s="98">
        <f t="shared" si="3"/>
        <v>18</v>
      </c>
      <c r="I40" s="98">
        <f t="shared" si="4"/>
        <v>19</v>
      </c>
      <c r="J40" s="99">
        <f t="shared" si="5"/>
        <v>14.383960125576891</v>
      </c>
      <c r="K40" s="109"/>
      <c r="L40" s="111"/>
      <c r="M40" s="108">
        <f>F40+G12</f>
        <v>18.320662211145994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18.721204992621637</v>
      </c>
      <c r="G41" s="96" t="s">
        <v>1171</v>
      </c>
      <c r="H41" s="98">
        <f t="shared" si="3"/>
        <v>18</v>
      </c>
      <c r="I41" s="98">
        <f t="shared" si="4"/>
        <v>43</v>
      </c>
      <c r="J41" s="99">
        <f t="shared" si="5"/>
        <v>16.337973437891833</v>
      </c>
      <c r="K41" s="109"/>
      <c r="L41" s="111"/>
      <c r="M41" s="108">
        <f>F41+G12</f>
        <v>18.721204992621637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19.121772633448174</v>
      </c>
      <c r="G42" s="96" t="s">
        <v>1171</v>
      </c>
      <c r="H42" s="98">
        <f t="shared" si="3"/>
        <v>19</v>
      </c>
      <c r="I42" s="98">
        <f t="shared" si="4"/>
        <v>7</v>
      </c>
      <c r="J42" s="99">
        <f t="shared" si="5"/>
        <v>18.381480413426061</v>
      </c>
      <c r="K42" s="109"/>
      <c r="L42" s="81"/>
      <c r="M42" s="108">
        <f>F42+G12</f>
        <v>19.121772633448174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12.111228233857302</v>
      </c>
      <c r="G44" s="96" t="s">
        <v>1171</v>
      </c>
      <c r="H44" s="98">
        <f>TRUNC(F44)</f>
        <v>12</v>
      </c>
      <c r="I44" s="98">
        <f>TRUNC((F44-H44)*60)</f>
        <v>6</v>
      </c>
      <c r="J44" s="99">
        <f>(((F44-H44)*60)-I44)*60</f>
        <v>40.42164188628746</v>
      </c>
      <c r="M44" s="108">
        <f>F44+G12</f>
        <v>12.111228233857302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11.888771766142698</v>
      </c>
      <c r="G45" s="96" t="s">
        <v>1171</v>
      </c>
      <c r="H45" s="98">
        <f>TRUNC(F45)</f>
        <v>11</v>
      </c>
      <c r="I45" s="98">
        <f>TRUNC((F45-H45)*60)</f>
        <v>53</v>
      </c>
      <c r="J45" s="99">
        <f>(((F45-H45)*60)-I45)*60</f>
        <v>19.57835811371254</v>
      </c>
      <c r="M45" s="108">
        <f>F45+G12</f>
        <v>11.888771766142698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12.801061793369438</v>
      </c>
      <c r="G46" s="96" t="s">
        <v>1171</v>
      </c>
      <c r="H46" s="98">
        <f>TRUNC(F46)</f>
        <v>12</v>
      </c>
      <c r="I46" s="98">
        <f>TRUNC((F46-H46)*60)</f>
        <v>48</v>
      </c>
      <c r="J46" s="99">
        <f>(((F46-H46)*60)-I46)*60</f>
        <v>3.8224561299782067</v>
      </c>
      <c r="M46" s="108">
        <f>F46+G12</f>
        <v>12.801061793369438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9.596717362026201</v>
      </c>
      <c r="G47" s="96" t="s">
        <v>1171</v>
      </c>
      <c r="H47" s="98">
        <f>TRUNC(F47)</f>
        <v>9</v>
      </c>
      <c r="I47" s="98">
        <f>TRUNC((F47-H47)*60)</f>
        <v>35</v>
      </c>
      <c r="J47" s="99">
        <f>(((F47-H47)*60)-I47)*60</f>
        <v>48.182503294323453</v>
      </c>
      <c r="M47" s="108">
        <f>F47+G12</f>
        <v>9.596717362026201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4.718489995474374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43</v>
      </c>
      <c r="J52" s="99">
        <f t="shared" ref="J52:J60" si="8">(((F52-H52)*60)-I52)*60</f>
        <v>6.5639837077461038</v>
      </c>
      <c r="M52" s="108">
        <f>F52+G12</f>
        <v>4.718489995474374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5.1190576363009113</v>
      </c>
      <c r="G53" s="96" t="s">
        <v>1171</v>
      </c>
      <c r="H53" s="98">
        <f t="shared" si="6"/>
        <v>5</v>
      </c>
      <c r="I53" s="98">
        <f t="shared" si="7"/>
        <v>7</v>
      </c>
      <c r="J53" s="99">
        <f t="shared" si="8"/>
        <v>8.6074906832805453</v>
      </c>
      <c r="M53" s="108">
        <f>F53+G12</f>
        <v>5.1190576363009113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5.5196004177765552</v>
      </c>
      <c r="G54" s="96" t="s">
        <v>1171</v>
      </c>
      <c r="H54" s="98">
        <f t="shared" si="6"/>
        <v>5</v>
      </c>
      <c r="I54" s="98">
        <f t="shared" si="7"/>
        <v>31</v>
      </c>
      <c r="J54" s="99">
        <f t="shared" si="8"/>
        <v>10.561503995598684</v>
      </c>
      <c r="M54" s="108">
        <f>F54+G12</f>
        <v>5.5196004177765552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5.9201313144612726</v>
      </c>
      <c r="G55" s="96" t="s">
        <v>1171</v>
      </c>
      <c r="H55" s="98">
        <f t="shared" si="6"/>
        <v>5</v>
      </c>
      <c r="I55" s="98">
        <f t="shared" si="7"/>
        <v>55</v>
      </c>
      <c r="J55" s="99">
        <f t="shared" si="8"/>
        <v>12.472732060581393</v>
      </c>
      <c r="M55" s="108">
        <f>F55+G12</f>
        <v>5.9201313144612726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11.920131314461273</v>
      </c>
      <c r="G56" s="96" t="s">
        <v>1171</v>
      </c>
      <c r="H56" s="98">
        <f t="shared" si="6"/>
        <v>11</v>
      </c>
      <c r="I56" s="98">
        <f t="shared" si="7"/>
        <v>55</v>
      </c>
      <c r="J56" s="99">
        <f t="shared" si="8"/>
        <v>12.472732060581393</v>
      </c>
      <c r="K56" s="109"/>
      <c r="L56" s="81"/>
      <c r="M56" s="108">
        <f>F56+G12</f>
        <v>11.920131314461273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17.920131314461273</v>
      </c>
      <c r="G57" s="96" t="s">
        <v>1171</v>
      </c>
      <c r="H57" s="98">
        <f t="shared" si="6"/>
        <v>17</v>
      </c>
      <c r="I57" s="98">
        <f t="shared" si="7"/>
        <v>55</v>
      </c>
      <c r="J57" s="99">
        <f t="shared" si="8"/>
        <v>12.472732060581393</v>
      </c>
      <c r="K57" s="109"/>
      <c r="L57" s="75"/>
      <c r="M57" s="108">
        <f>F57+G12</f>
        <v>17.920131314461273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18.32066221114599</v>
      </c>
      <c r="G58" s="96" t="s">
        <v>1171</v>
      </c>
      <c r="H58" s="98">
        <f t="shared" si="6"/>
        <v>18</v>
      </c>
      <c r="I58" s="98">
        <f t="shared" si="7"/>
        <v>19</v>
      </c>
      <c r="J58" s="99">
        <f t="shared" si="8"/>
        <v>14.383960125564101</v>
      </c>
      <c r="K58" s="109"/>
      <c r="L58" s="111"/>
      <c r="M58" s="108">
        <f>F58+G12</f>
        <v>18.32066221114599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18.721204992621633</v>
      </c>
      <c r="G59" s="96" t="s">
        <v>1171</v>
      </c>
      <c r="H59" s="98">
        <f t="shared" si="6"/>
        <v>18</v>
      </c>
      <c r="I59" s="98">
        <f t="shared" si="7"/>
        <v>43</v>
      </c>
      <c r="J59" s="99">
        <f t="shared" si="8"/>
        <v>16.337973437879043</v>
      </c>
      <c r="K59" s="109"/>
      <c r="L59" s="111"/>
      <c r="M59" s="108">
        <f>F59+G12</f>
        <v>18.721204992621633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19.12177263344817</v>
      </c>
      <c r="G60" s="96" t="s">
        <v>1171</v>
      </c>
      <c r="H60" s="98">
        <f t="shared" si="6"/>
        <v>19</v>
      </c>
      <c r="I60" s="98">
        <f t="shared" si="7"/>
        <v>7</v>
      </c>
      <c r="J60" s="99">
        <f t="shared" si="8"/>
        <v>18.381480413413271</v>
      </c>
      <c r="K60" s="109"/>
      <c r="L60" s="81"/>
      <c r="M60" s="108">
        <f>F60+G12</f>
        <v>19.12177263344817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0</v>
      </c>
      <c r="M62" s="108">
        <f>F62+G12</f>
        <v>12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0</v>
      </c>
      <c r="M63" s="108">
        <f>F63+G12</f>
        <v>12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12.801061793369435</v>
      </c>
      <c r="G64" s="96" t="s">
        <v>1171</v>
      </c>
      <c r="H64" s="98">
        <f>TRUNC(F64)</f>
        <v>12</v>
      </c>
      <c r="I64" s="98">
        <f>TRUNC((F64-H64)*60)</f>
        <v>48</v>
      </c>
      <c r="J64" s="99">
        <f>(((F64-H64)*60)-I64)*60</f>
        <v>3.8224561299654169</v>
      </c>
      <c r="M64" s="108">
        <f>F64+G12</f>
        <v>12.801061793369435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9.5967173620262045</v>
      </c>
      <c r="G65" s="96" t="s">
        <v>1171</v>
      </c>
      <c r="H65" s="98">
        <f>TRUNC(F65)</f>
        <v>9</v>
      </c>
      <c r="I65" s="98">
        <f>TRUNC((F65-H65)*60)</f>
        <v>35</v>
      </c>
      <c r="J65" s="99">
        <f>(((F65-H65)*60)-I65)*60</f>
        <v>48.182503294336243</v>
      </c>
      <c r="M65" s="108">
        <f>F65+G12</f>
        <v>9.5967173620262045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oVHodTCHxnwfs909unGOn4l6QKf68FqnQsnA3Fqd1p3+YD+H0xD1LCPdLpmoMyWrqQXcYVRBunEvX5UWVDJuRw==" saltValue="Z5yyRWvSKMWQWemUk9+azQ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glio19"/>
  <dimension ref="A1:P69"/>
  <sheetViews>
    <sheetView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10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10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2460963.5</v>
      </c>
      <c r="G14" s="1005"/>
      <c r="H14" s="88">
        <f>TRUNC(F14+1.5)-7*TRUNC((F14+1.5)/7)</f>
        <v>3</v>
      </c>
      <c r="I14" s="1013">
        <f>(F14-2451545)/36525</f>
        <v>0.25786447638603693</v>
      </c>
      <c r="J14" s="1005"/>
      <c r="K14" s="1004">
        <f>2400.051336907*I14+0.000025862*I14^2-0.000000002*I14^3</f>
        <v>618.88798301076724</v>
      </c>
      <c r="L14" s="1005"/>
      <c r="M14" s="89">
        <f>23.439291111-0.013004167*I14-0.000000164*I14^2+0.000000503*I14^3</f>
        <v>23.435937796005348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90.842642140833519</v>
      </c>
      <c r="D15" s="91">
        <f>ACOS((SIN(-6*PI()/180)-(SIN(G7*PI()/180)*SIN(F23*PI()/180)))/((COS(G7*PI()/180)*COS(F23*PI()/180))))*180/PI()</f>
        <v>96.068901360056842</v>
      </c>
      <c r="E15" s="91">
        <f>ACOS((SIN(-12*PI()/180)-(SIN(G7*PI()/180)*SIN(F23*PI()/180)))/((COS(G7*PI()/180)*COS(F23*PI()/180))))*180/PI()</f>
        <v>102.13936934469298</v>
      </c>
      <c r="F15" s="91">
        <f>ACOS((SIN(-18*PI()/180)-(SIN(G7*PI()/180)*SIN(F23*PI()/180)))/((COS(G7*PI()/180)*COS(F23*PI()/180))))*180/PI()</f>
        <v>108.21311773131016</v>
      </c>
      <c r="G15" s="92">
        <f>ABS(D15-C15)/15</f>
        <v>0.34841728128155486</v>
      </c>
      <c r="H15" s="92">
        <f>ABS(E15-C15)/15</f>
        <v>0.75311514692396408</v>
      </c>
      <c r="I15" s="92">
        <f>ABS(F15-C15)/15</f>
        <v>1.1580317060317762</v>
      </c>
      <c r="J15" s="93">
        <f>(D12-F38)*15</f>
        <v>-26.444272739258317</v>
      </c>
      <c r="K15" s="1004">
        <f>J22+((J20+G12)*1.00273790935)</f>
        <v>35.612736662267238</v>
      </c>
      <c r="L15" s="1005"/>
      <c r="M15" s="89">
        <f>6.697374558+(K14-(TRUNC(K14/24)*24))</f>
        <v>25.585357568767243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96.068901360056842</v>
      </c>
      <c r="E16" s="91">
        <f>ACOS((SIN(-12*PI()/180)-(SIN(G7*PI()/180)*SIN(F23*PI()/180)))/((COS(G7*PI()/180)*COS(F23*PI()/180))))*180/PI()</f>
        <v>102.13936934469298</v>
      </c>
      <c r="F16" s="91">
        <f>ACOS((SIN(-18*PI()/180)-(SIN(G7*PI()/180)*SIN(F23*PI()/180)))/((COS(G7*PI()/180)*COS(F23*PI()/180))))*180/PI()</f>
        <v>108.21311773131016</v>
      </c>
      <c r="G16" s="92">
        <f>ABS(D16-C16)/15</f>
        <v>0.40459342400378945</v>
      </c>
      <c r="H16" s="92">
        <f>ABS(E16-C16)/15</f>
        <v>0.80929128964619867</v>
      </c>
      <c r="I16" s="92">
        <f>ABS(F16-C16)/15</f>
        <v>1.2142078487540109</v>
      </c>
      <c r="J16" s="93">
        <f>(D12-F38)*15</f>
        <v>-26.444272739258317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288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mercoledì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25.585357568767243</v>
      </c>
      <c r="K22" s="96" t="s">
        <v>1154</v>
      </c>
      <c r="L22" s="98">
        <f t="shared" si="0"/>
        <v>25</v>
      </c>
      <c r="M22" s="98">
        <f t="shared" si="1"/>
        <v>35</v>
      </c>
      <c r="N22" s="102">
        <f t="shared" si="2"/>
        <v>7.2872475620755495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-8.6259376109277266</v>
      </c>
      <c r="G23" s="74" t="s">
        <v>1135</v>
      </c>
      <c r="I23" s="101" t="s">
        <v>1160</v>
      </c>
      <c r="J23" s="97">
        <f>IF(K15&gt;24,K15-24,K15)</f>
        <v>11.612736662267238</v>
      </c>
      <c r="K23" s="96" t="s">
        <v>1154</v>
      </c>
      <c r="L23" s="98">
        <f t="shared" si="0"/>
        <v>11</v>
      </c>
      <c r="M23" s="98">
        <f t="shared" si="1"/>
        <v>36</v>
      </c>
      <c r="N23" s="102">
        <f t="shared" si="2"/>
        <v>45.851984162057988</v>
      </c>
      <c r="O23" s="73"/>
    </row>
    <row r="24" spans="1:15" ht="14.25" customHeight="1">
      <c r="B24" s="72"/>
      <c r="I24" s="101" t="s">
        <v>1161</v>
      </c>
      <c r="J24" s="97">
        <f>J23+(G8*4/60)</f>
        <v>11.612736662267238</v>
      </c>
      <c r="K24" s="96" t="s">
        <v>1154</v>
      </c>
      <c r="L24" s="98">
        <f t="shared" si="0"/>
        <v>11</v>
      </c>
      <c r="M24" s="98">
        <f t="shared" si="1"/>
        <v>36</v>
      </c>
      <c r="N24" s="102">
        <f t="shared" si="2"/>
        <v>45.851984162057988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14.222909042966686</v>
      </c>
      <c r="G25" s="85" t="s">
        <v>1163</v>
      </c>
      <c r="H25" s="104"/>
      <c r="I25" s="76" t="s">
        <v>1164</v>
      </c>
      <c r="J25" s="105">
        <f>J20-(F25/60)</f>
        <v>9.7629515159505544</v>
      </c>
      <c r="K25" s="96" t="s">
        <v>1154</v>
      </c>
      <c r="L25" s="98">
        <f t="shared" si="0"/>
        <v>9</v>
      </c>
      <c r="M25" s="98">
        <f t="shared" si="1"/>
        <v>45</v>
      </c>
      <c r="N25" s="102">
        <f t="shared" si="2"/>
        <v>46.625457421995975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62.281075606284084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81.374062389072279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66.564062203994652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113.43593779600535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4.5487436671965433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32</v>
      </c>
      <c r="J34" s="99">
        <f t="shared" ref="J34:J42" si="5">(((F34-H34)*60)-I34)*60</f>
        <v>55.47720190755598</v>
      </c>
      <c r="M34" s="108">
        <f>F34+G12</f>
        <v>4.5487436671965433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4.9536602263043559</v>
      </c>
      <c r="G35" s="96" t="s">
        <v>1171</v>
      </c>
      <c r="H35" s="98">
        <f t="shared" si="3"/>
        <v>4</v>
      </c>
      <c r="I35" s="98">
        <f t="shared" si="4"/>
        <v>57</v>
      </c>
      <c r="J35" s="99">
        <f t="shared" si="5"/>
        <v>13.176814695681145</v>
      </c>
      <c r="M35" s="108">
        <f>F35+G12</f>
        <v>4.9536602263043559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5.3583580919467648</v>
      </c>
      <c r="G36" s="96" t="s">
        <v>1171</v>
      </c>
      <c r="H36" s="98">
        <f t="shared" si="3"/>
        <v>5</v>
      </c>
      <c r="I36" s="98">
        <f t="shared" si="4"/>
        <v>21</v>
      </c>
      <c r="J36" s="99">
        <f t="shared" si="5"/>
        <v>30.089131008353363</v>
      </c>
      <c r="M36" s="108">
        <f>F36+G12</f>
        <v>5.3583580919467648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5.7067753732283197</v>
      </c>
      <c r="G37" s="96" t="s">
        <v>1171</v>
      </c>
      <c r="H37" s="98">
        <f t="shared" si="3"/>
        <v>5</v>
      </c>
      <c r="I37" s="98">
        <f t="shared" si="4"/>
        <v>42</v>
      </c>
      <c r="J37" s="99">
        <f t="shared" si="5"/>
        <v>24.391343621951052</v>
      </c>
      <c r="M37" s="108">
        <f>F37+G12</f>
        <v>5.7067753732283197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11.762951515950554</v>
      </c>
      <c r="G38" s="96" t="s">
        <v>1171</v>
      </c>
      <c r="H38" s="98">
        <f t="shared" si="3"/>
        <v>11</v>
      </c>
      <c r="I38" s="98">
        <f t="shared" si="4"/>
        <v>45</v>
      </c>
      <c r="J38" s="99">
        <f t="shared" si="5"/>
        <v>46.625457421995975</v>
      </c>
      <c r="K38" s="109"/>
      <c r="L38" s="81"/>
      <c r="M38" s="108">
        <f>F38+G12</f>
        <v>11.762951515950554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17.819127658672791</v>
      </c>
      <c r="G39" s="96" t="s">
        <v>1171</v>
      </c>
      <c r="H39" s="98">
        <f t="shared" si="3"/>
        <v>17</v>
      </c>
      <c r="I39" s="98">
        <f t="shared" si="4"/>
        <v>49</v>
      </c>
      <c r="J39" s="99">
        <f t="shared" si="5"/>
        <v>8.8595712220472933</v>
      </c>
      <c r="K39" s="109"/>
      <c r="L39" s="75"/>
      <c r="M39" s="108">
        <f>F39+G12</f>
        <v>17.819127658672791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18.167544939954347</v>
      </c>
      <c r="G40" s="96" t="s">
        <v>1171</v>
      </c>
      <c r="H40" s="98">
        <f t="shared" si="3"/>
        <v>18</v>
      </c>
      <c r="I40" s="98">
        <f t="shared" si="4"/>
        <v>10</v>
      </c>
      <c r="J40" s="99">
        <f t="shared" si="5"/>
        <v>3.1617838356481798</v>
      </c>
      <c r="K40" s="109"/>
      <c r="L40" s="111"/>
      <c r="M40" s="108">
        <f>F40+G12</f>
        <v>18.167544939954347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18.572242805596755</v>
      </c>
      <c r="G41" s="96" t="s">
        <v>1171</v>
      </c>
      <c r="H41" s="98">
        <f t="shared" si="3"/>
        <v>18</v>
      </c>
      <c r="I41" s="98">
        <f t="shared" si="4"/>
        <v>34</v>
      </c>
      <c r="J41" s="99">
        <f t="shared" si="5"/>
        <v>20.0741001483172</v>
      </c>
      <c r="K41" s="109"/>
      <c r="L41" s="111"/>
      <c r="M41" s="108">
        <f>F41+G12</f>
        <v>18.572242805596755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18.977159364704566</v>
      </c>
      <c r="G42" s="96" t="s">
        <v>1171</v>
      </c>
      <c r="H42" s="98">
        <f t="shared" si="3"/>
        <v>18</v>
      </c>
      <c r="I42" s="98">
        <f t="shared" si="4"/>
        <v>58</v>
      </c>
      <c r="J42" s="99">
        <f t="shared" si="5"/>
        <v>37.77371293643597</v>
      </c>
      <c r="K42" s="109"/>
      <c r="L42" s="81"/>
      <c r="M42" s="108">
        <f>F42+G12</f>
        <v>18.977159364704566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12.112352285444471</v>
      </c>
      <c r="G44" s="96" t="s">
        <v>1171</v>
      </c>
      <c r="H44" s="98">
        <f>TRUNC(F44)</f>
        <v>12</v>
      </c>
      <c r="I44" s="98">
        <f>TRUNC((F44-H44)*60)</f>
        <v>6</v>
      </c>
      <c r="J44" s="99">
        <f>(((F44-H44)*60)-I44)*60</f>
        <v>44.468227600096242</v>
      </c>
      <c r="M44" s="108">
        <f>F44+G12</f>
        <v>12.112352285444471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11.887647714555529</v>
      </c>
      <c r="G45" s="96" t="s">
        <v>1171</v>
      </c>
      <c r="H45" s="98">
        <f>TRUNC(F45)</f>
        <v>11</v>
      </c>
      <c r="I45" s="98">
        <f>TRUNC((F45-H45)*60)</f>
        <v>53</v>
      </c>
      <c r="J45" s="99">
        <f>(((F45-H45)*60)-I45)*60</f>
        <v>15.531772399903758</v>
      </c>
      <c r="M45" s="108">
        <f>F45+G12</f>
        <v>11.887647714555529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12.809186848007581</v>
      </c>
      <c r="G46" s="96" t="s">
        <v>1171</v>
      </c>
      <c r="H46" s="98">
        <f>TRUNC(F46)</f>
        <v>12</v>
      </c>
      <c r="I46" s="98">
        <f>TRUNC((F46-H46)*60)</f>
        <v>48</v>
      </c>
      <c r="J46" s="99">
        <f>(((F46-H46)*60)-I46)*60</f>
        <v>33.07265282729162</v>
      </c>
      <c r="M46" s="108">
        <f>F46+G12</f>
        <v>12.809186848007581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9.5715843024919778</v>
      </c>
      <c r="G47" s="96" t="s">
        <v>1171</v>
      </c>
      <c r="H47" s="98">
        <f>TRUNC(F47)</f>
        <v>9</v>
      </c>
      <c r="I47" s="98">
        <f>TRUNC((F47-H47)*60)</f>
        <v>34</v>
      </c>
      <c r="J47" s="99">
        <f>(((F47-H47)*60)-I47)*60</f>
        <v>17.703488971120009</v>
      </c>
      <c r="M47" s="108">
        <f>F47+G12</f>
        <v>9.5715843024919778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4.5487436671965433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32</v>
      </c>
      <c r="J52" s="99">
        <f t="shared" ref="J52:J60" si="8">(((F52-H52)*60)-I52)*60</f>
        <v>55.47720190755598</v>
      </c>
      <c r="M52" s="108">
        <f>F52+G12</f>
        <v>4.5487436671965433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4.9536602263043559</v>
      </c>
      <c r="G53" s="96" t="s">
        <v>1171</v>
      </c>
      <c r="H53" s="98">
        <f t="shared" si="6"/>
        <v>4</v>
      </c>
      <c r="I53" s="98">
        <f t="shared" si="7"/>
        <v>57</v>
      </c>
      <c r="J53" s="99">
        <f t="shared" si="8"/>
        <v>13.176814695681145</v>
      </c>
      <c r="M53" s="108">
        <f>F53+G12</f>
        <v>4.9536602263043559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5.3583580919467648</v>
      </c>
      <c r="G54" s="96" t="s">
        <v>1171</v>
      </c>
      <c r="H54" s="98">
        <f t="shared" si="6"/>
        <v>5</v>
      </c>
      <c r="I54" s="98">
        <f t="shared" si="7"/>
        <v>21</v>
      </c>
      <c r="J54" s="99">
        <f t="shared" si="8"/>
        <v>30.089131008353363</v>
      </c>
      <c r="M54" s="108">
        <f>F54+G12</f>
        <v>5.3583580919467648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5.7629515159505544</v>
      </c>
      <c r="G55" s="96" t="s">
        <v>1171</v>
      </c>
      <c r="H55" s="98">
        <f t="shared" si="6"/>
        <v>5</v>
      </c>
      <c r="I55" s="98">
        <f t="shared" si="7"/>
        <v>45</v>
      </c>
      <c r="J55" s="99">
        <f t="shared" si="8"/>
        <v>46.625457421995975</v>
      </c>
      <c r="M55" s="108">
        <f>F55+G12</f>
        <v>5.7629515159505544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11.762951515950554</v>
      </c>
      <c r="G56" s="96" t="s">
        <v>1171</v>
      </c>
      <c r="H56" s="98">
        <f t="shared" si="6"/>
        <v>11</v>
      </c>
      <c r="I56" s="98">
        <f t="shared" si="7"/>
        <v>45</v>
      </c>
      <c r="J56" s="99">
        <f t="shared" si="8"/>
        <v>46.625457421995975</v>
      </c>
      <c r="K56" s="109"/>
      <c r="L56" s="81"/>
      <c r="M56" s="108">
        <f>F56+G12</f>
        <v>11.762951515950554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17.762951515950554</v>
      </c>
      <c r="G57" s="96" t="s">
        <v>1171</v>
      </c>
      <c r="H57" s="98">
        <f t="shared" si="6"/>
        <v>17</v>
      </c>
      <c r="I57" s="98">
        <f t="shared" si="7"/>
        <v>45</v>
      </c>
      <c r="J57" s="99">
        <f t="shared" si="8"/>
        <v>46.625457421995975</v>
      </c>
      <c r="K57" s="109"/>
      <c r="L57" s="75"/>
      <c r="M57" s="108">
        <f>F57+G12</f>
        <v>17.762951515950554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18.167544939954343</v>
      </c>
      <c r="G58" s="96" t="s">
        <v>1171</v>
      </c>
      <c r="H58" s="98">
        <f t="shared" si="6"/>
        <v>18</v>
      </c>
      <c r="I58" s="98">
        <f t="shared" si="7"/>
        <v>10</v>
      </c>
      <c r="J58" s="99">
        <f t="shared" si="8"/>
        <v>3.16178383563539</v>
      </c>
      <c r="K58" s="109"/>
      <c r="L58" s="111"/>
      <c r="M58" s="108">
        <f>F58+G12</f>
        <v>18.167544939954343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18.572242805596755</v>
      </c>
      <c r="G59" s="96" t="s">
        <v>1171</v>
      </c>
      <c r="H59" s="98">
        <f t="shared" si="6"/>
        <v>18</v>
      </c>
      <c r="I59" s="98">
        <f t="shared" si="7"/>
        <v>34</v>
      </c>
      <c r="J59" s="99">
        <f t="shared" si="8"/>
        <v>20.0741001483172</v>
      </c>
      <c r="K59" s="109"/>
      <c r="L59" s="111"/>
      <c r="M59" s="108">
        <f>F59+G12</f>
        <v>18.572242805596755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18.977159364704566</v>
      </c>
      <c r="G60" s="96" t="s">
        <v>1171</v>
      </c>
      <c r="H60" s="98">
        <f t="shared" si="6"/>
        <v>18</v>
      </c>
      <c r="I60" s="98">
        <f t="shared" si="7"/>
        <v>58</v>
      </c>
      <c r="J60" s="99">
        <f t="shared" si="8"/>
        <v>37.77371293643597</v>
      </c>
      <c r="K60" s="109"/>
      <c r="L60" s="81"/>
      <c r="M60" s="108">
        <f>F60+G12</f>
        <v>18.977159364704566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0</v>
      </c>
      <c r="M62" s="108">
        <f>F62+G12</f>
        <v>12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0</v>
      </c>
      <c r="M63" s="108">
        <f>F63+G12</f>
        <v>12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12.809186848007577</v>
      </c>
      <c r="G64" s="96" t="s">
        <v>1171</v>
      </c>
      <c r="H64" s="98">
        <f>TRUNC(F64)</f>
        <v>12</v>
      </c>
      <c r="I64" s="98">
        <f>TRUNC((F64-H64)*60)</f>
        <v>48</v>
      </c>
      <c r="J64" s="99">
        <f>(((F64-H64)*60)-I64)*60</f>
        <v>33.07265282727883</v>
      </c>
      <c r="M64" s="108">
        <f>F64+G12</f>
        <v>12.809186848007577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9.5715843024919778</v>
      </c>
      <c r="G65" s="96" t="s">
        <v>1171</v>
      </c>
      <c r="H65" s="98">
        <f>TRUNC(F65)</f>
        <v>9</v>
      </c>
      <c r="I65" s="98">
        <f>TRUNC((F65-H65)*60)</f>
        <v>34</v>
      </c>
      <c r="J65" s="99">
        <f>(((F65-H65)*60)-I65)*60</f>
        <v>17.703488971120009</v>
      </c>
      <c r="M65" s="108">
        <f>F65+G12</f>
        <v>9.5715843024919778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m6yaZpvfzcRnPnDOq5DzK3lXarl8Cbw2GNpXOdRO1UWSf2RUkBoW3g54TSe7Y1p77ItuEN+CgqSEAgCaYKxS2w==" saltValue="CzG0vXd3wrw80tmpdth8/A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glio20"/>
  <dimension ref="A1:P69"/>
  <sheetViews>
    <sheetView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11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11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2460994.5</v>
      </c>
      <c r="G14" s="1005"/>
      <c r="H14" s="88">
        <f>TRUNC(F14+1.5)-7*TRUNC((F14+1.5)/7)</f>
        <v>6</v>
      </c>
      <c r="I14" s="1013">
        <f>(F14-2451545)/36525</f>
        <v>0.25871321013004789</v>
      </c>
      <c r="J14" s="1005"/>
      <c r="K14" s="1004">
        <f>2400.051336907*I14+0.000025862*I14^2-0.000000002*I14^3</f>
        <v>620.92498757909732</v>
      </c>
      <c r="L14" s="1005"/>
      <c r="M14" s="89">
        <f>23.439291111-0.013004167*I14-0.000000164*I14^2+0.000000503*I14^3</f>
        <v>23.435926758943541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90.878932671968883</v>
      </c>
      <c r="D15" s="91">
        <f>ACOS((SIN(-6*PI()/180)-(SIN(G7*PI()/180)*SIN(F23*PI()/180)))/((COS(G7*PI()/180)*COS(F23*PI()/180))))*180/PI()</f>
        <v>96.331300608820015</v>
      </c>
      <c r="E15" s="91">
        <f>ACOS((SIN(-12*PI()/180)-(SIN(G7*PI()/180)*SIN(F23*PI()/180)))/((COS(G7*PI()/180)*COS(F23*PI()/180))))*180/PI()</f>
        <v>102.67064491782097</v>
      </c>
      <c r="F15" s="91">
        <f>ACOS((SIN(-18*PI()/180)-(SIN(G7*PI()/180)*SIN(F23*PI()/180)))/((COS(G7*PI()/180)*COS(F23*PI()/180))))*180/PI()</f>
        <v>109.02691226501945</v>
      </c>
      <c r="G15" s="92">
        <f>ABS(D15-C15)/15</f>
        <v>0.36349119579007549</v>
      </c>
      <c r="H15" s="92">
        <f>ABS(E15-C15)/15</f>
        <v>0.78611414972347216</v>
      </c>
      <c r="I15" s="92">
        <f>ABS(F15-C15)/15</f>
        <v>1.2098653062033711</v>
      </c>
      <c r="J15" s="93">
        <f>(D12-F38)*15</f>
        <v>-26.153434458463103</v>
      </c>
      <c r="K15" s="1004">
        <f>J22+((J20+G12)*1.00273790935)</f>
        <v>37.649741230597314</v>
      </c>
      <c r="L15" s="1005"/>
      <c r="M15" s="89">
        <f>6.697374558+(K14-(TRUNC(K14/24)*24))</f>
        <v>27.622362137097319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96.331300608820015</v>
      </c>
      <c r="E16" s="91">
        <f>ACOS((SIN(-12*PI()/180)-(SIN(G7*PI()/180)*SIN(F23*PI()/180)))/((COS(G7*PI()/180)*COS(F23*PI()/180))))*180/PI()</f>
        <v>102.67064491782097</v>
      </c>
      <c r="F16" s="91">
        <f>ACOS((SIN(-18*PI()/180)-(SIN(G7*PI()/180)*SIN(F23*PI()/180)))/((COS(G7*PI()/180)*COS(F23*PI()/180))))*180/PI()</f>
        <v>109.02691226501945</v>
      </c>
      <c r="G16" s="92">
        <f>ABS(D16-C16)/15</f>
        <v>0.42208670725466768</v>
      </c>
      <c r="H16" s="92">
        <f>ABS(E16-C16)/15</f>
        <v>0.84470966118806434</v>
      </c>
      <c r="I16" s="92">
        <f>ABS(F16-C16)/15</f>
        <v>1.2684608176679633</v>
      </c>
      <c r="J16" s="93">
        <f>(D12-F38)*15</f>
        <v>-26.153434458463103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319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sabato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27.622362137097319</v>
      </c>
      <c r="K22" s="96" t="s">
        <v>1154</v>
      </c>
      <c r="L22" s="98">
        <f t="shared" si="0"/>
        <v>27</v>
      </c>
      <c r="M22" s="98">
        <f t="shared" si="1"/>
        <v>37</v>
      </c>
      <c r="N22" s="102">
        <f t="shared" si="2"/>
        <v>20.503693550348885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-18.581865705252564</v>
      </c>
      <c r="G23" s="74" t="s">
        <v>1135</v>
      </c>
      <c r="I23" s="101" t="s">
        <v>1160</v>
      </c>
      <c r="J23" s="97">
        <f>IF(K15&gt;24,K15-24,K15)</f>
        <v>13.649741230597314</v>
      </c>
      <c r="K23" s="96" t="s">
        <v>1154</v>
      </c>
      <c r="L23" s="98">
        <f t="shared" si="0"/>
        <v>13</v>
      </c>
      <c r="M23" s="98">
        <f t="shared" si="1"/>
        <v>38</v>
      </c>
      <c r="N23" s="102">
        <f t="shared" si="2"/>
        <v>59.068430150331324</v>
      </c>
      <c r="O23" s="73"/>
    </row>
    <row r="24" spans="1:15" ht="14.25" customHeight="1">
      <c r="B24" s="72"/>
      <c r="I24" s="101" t="s">
        <v>1161</v>
      </c>
      <c r="J24" s="97">
        <f>J23+(G8*4/60)</f>
        <v>13.649741230597314</v>
      </c>
      <c r="K24" s="96" t="s">
        <v>1154</v>
      </c>
      <c r="L24" s="98">
        <f t="shared" si="0"/>
        <v>13</v>
      </c>
      <c r="M24" s="98">
        <f t="shared" si="1"/>
        <v>38</v>
      </c>
      <c r="N24" s="102">
        <f t="shared" si="2"/>
        <v>59.068430150331324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15.386262166147587</v>
      </c>
      <c r="G25" s="85" t="s">
        <v>1163</v>
      </c>
      <c r="H25" s="104"/>
      <c r="I25" s="76" t="s">
        <v>1164</v>
      </c>
      <c r="J25" s="105">
        <f>J20-(F25/60)</f>
        <v>9.7435622972308735</v>
      </c>
      <c r="K25" s="96" t="s">
        <v>1154</v>
      </c>
      <c r="L25" s="98">
        <f t="shared" si="0"/>
        <v>9</v>
      </c>
      <c r="M25" s="98">
        <f t="shared" si="1"/>
        <v>44</v>
      </c>
      <c r="N25" s="102">
        <f t="shared" si="2"/>
        <v>36.824270031144692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58.301352199010573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71.418134294747432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66.564073241056462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113.43592675894354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4.4751014795629107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28</v>
      </c>
      <c r="J34" s="99">
        <f t="shared" ref="J34:J42" si="5">(((F34-H34)*60)-I34)*60</f>
        <v>30.365326426478561</v>
      </c>
      <c r="M34" s="108">
        <f>F34+G12</f>
        <v>4.4751014795629107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4.8988526360428093</v>
      </c>
      <c r="G35" s="96" t="s">
        <v>1171</v>
      </c>
      <c r="H35" s="98">
        <f t="shared" si="3"/>
        <v>4</v>
      </c>
      <c r="I35" s="98">
        <f t="shared" si="4"/>
        <v>53</v>
      </c>
      <c r="J35" s="99">
        <f t="shared" si="5"/>
        <v>55.869489754113459</v>
      </c>
      <c r="M35" s="108">
        <f>F35+G12</f>
        <v>4.8988526360428093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5.3214755899762061</v>
      </c>
      <c r="G36" s="96" t="s">
        <v>1171</v>
      </c>
      <c r="H36" s="98">
        <f t="shared" si="3"/>
        <v>5</v>
      </c>
      <c r="I36" s="98">
        <f t="shared" si="4"/>
        <v>19</v>
      </c>
      <c r="J36" s="99">
        <f t="shared" si="5"/>
        <v>17.312123914341839</v>
      </c>
      <c r="M36" s="108">
        <f>F36+G12</f>
        <v>5.3214755899762061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5.6849667857662816</v>
      </c>
      <c r="G37" s="96" t="s">
        <v>1171</v>
      </c>
      <c r="H37" s="98">
        <f t="shared" si="3"/>
        <v>5</v>
      </c>
      <c r="I37" s="98">
        <f t="shared" si="4"/>
        <v>41</v>
      </c>
      <c r="J37" s="99">
        <f t="shared" si="5"/>
        <v>5.8804287586136184</v>
      </c>
      <c r="M37" s="108">
        <f>F37+G12</f>
        <v>5.6849667857662816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11.743562297230874</v>
      </c>
      <c r="G38" s="96" t="s">
        <v>1171</v>
      </c>
      <c r="H38" s="98">
        <f t="shared" si="3"/>
        <v>11</v>
      </c>
      <c r="I38" s="98">
        <f t="shared" si="4"/>
        <v>44</v>
      </c>
      <c r="J38" s="99">
        <f t="shared" si="5"/>
        <v>36.824270031144692</v>
      </c>
      <c r="K38" s="109"/>
      <c r="L38" s="81"/>
      <c r="M38" s="108">
        <f>F38+G12</f>
        <v>11.743562297230874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17.802157808695465</v>
      </c>
      <c r="G39" s="96" t="s">
        <v>1171</v>
      </c>
      <c r="H39" s="98">
        <f t="shared" si="3"/>
        <v>17</v>
      </c>
      <c r="I39" s="98">
        <f t="shared" si="4"/>
        <v>48</v>
      </c>
      <c r="J39" s="99">
        <f t="shared" si="5"/>
        <v>7.7681113036757665</v>
      </c>
      <c r="K39" s="109"/>
      <c r="L39" s="75"/>
      <c r="M39" s="108">
        <f>F39+G12</f>
        <v>17.802157808695465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18.165649004485541</v>
      </c>
      <c r="G40" s="96" t="s">
        <v>1171</v>
      </c>
      <c r="H40" s="98">
        <f t="shared" si="3"/>
        <v>18</v>
      </c>
      <c r="I40" s="98">
        <f t="shared" si="4"/>
        <v>9</v>
      </c>
      <c r="J40" s="99">
        <f t="shared" si="5"/>
        <v>56.336416147947546</v>
      </c>
      <c r="K40" s="109"/>
      <c r="L40" s="111"/>
      <c r="M40" s="108">
        <f>F40+G12</f>
        <v>18.165649004485541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18.588271958418936</v>
      </c>
      <c r="G41" s="96" t="s">
        <v>1171</v>
      </c>
      <c r="H41" s="98">
        <f t="shared" si="3"/>
        <v>18</v>
      </c>
      <c r="I41" s="98">
        <f t="shared" si="4"/>
        <v>35</v>
      </c>
      <c r="J41" s="99">
        <f t="shared" si="5"/>
        <v>17.779050308169531</v>
      </c>
      <c r="K41" s="109"/>
      <c r="L41" s="111"/>
      <c r="M41" s="108">
        <f>F41+G12</f>
        <v>18.588271958418936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19.012023114898838</v>
      </c>
      <c r="G42" s="96" t="s">
        <v>1171</v>
      </c>
      <c r="H42" s="98">
        <f t="shared" si="3"/>
        <v>19</v>
      </c>
      <c r="I42" s="98">
        <f t="shared" si="4"/>
        <v>0</v>
      </c>
      <c r="J42" s="99">
        <f t="shared" si="5"/>
        <v>43.283213635817219</v>
      </c>
      <c r="K42" s="109"/>
      <c r="L42" s="81"/>
      <c r="M42" s="108">
        <f>F42+G12</f>
        <v>19.012023114898838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12.117191022929184</v>
      </c>
      <c r="G44" s="96" t="s">
        <v>1171</v>
      </c>
      <c r="H44" s="98">
        <f>TRUNC(F44)</f>
        <v>12</v>
      </c>
      <c r="I44" s="98">
        <f>TRUNC((F44-H44)*60)</f>
        <v>7</v>
      </c>
      <c r="J44" s="99">
        <f>(((F44-H44)*60)-I44)*60</f>
        <v>1.8876825450621482</v>
      </c>
      <c r="M44" s="108">
        <f>F44+G12</f>
        <v>12.117191022929184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11.882808977070816</v>
      </c>
      <c r="G45" s="96" t="s">
        <v>1171</v>
      </c>
      <c r="H45" s="98">
        <f>TRUNC(F45)</f>
        <v>11</v>
      </c>
      <c r="I45" s="98">
        <f>TRUNC((F45-H45)*60)</f>
        <v>52</v>
      </c>
      <c r="J45" s="99">
        <f>(((F45-H45)*60)-I45)*60</f>
        <v>58.112317454937852</v>
      </c>
      <c r="M45" s="108">
        <f>F45+G12</f>
        <v>11.882808977070816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12.844173414509335</v>
      </c>
      <c r="G46" s="96" t="s">
        <v>1171</v>
      </c>
      <c r="H46" s="98">
        <f>TRUNC(F46)</f>
        <v>12</v>
      </c>
      <c r="I46" s="98">
        <f>TRUNC((F46-H46)*60)</f>
        <v>50</v>
      </c>
      <c r="J46" s="99">
        <f>(((F46-H46)*60)-I46)*60</f>
        <v>39.024292233605706</v>
      </c>
      <c r="M46" s="108">
        <f>F46+G12</f>
        <v>12.844173414509335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9.4630783646640726</v>
      </c>
      <c r="G47" s="96" t="s">
        <v>1171</v>
      </c>
      <c r="H47" s="98">
        <f>TRUNC(F47)</f>
        <v>9</v>
      </c>
      <c r="I47" s="98">
        <f>TRUNC((F47-H47)*60)</f>
        <v>27</v>
      </c>
      <c r="J47" s="99">
        <f>(((F47-H47)*60)-I47)*60</f>
        <v>47.082112790661341</v>
      </c>
      <c r="M47" s="108">
        <f>F47+G12</f>
        <v>9.4630783646640726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4.4751014795629107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28</v>
      </c>
      <c r="J52" s="99">
        <f t="shared" ref="J52:J60" si="8">(((F52-H52)*60)-I52)*60</f>
        <v>30.365326426478561</v>
      </c>
      <c r="M52" s="108">
        <f>F52+G12</f>
        <v>4.4751014795629107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4.8988526360428093</v>
      </c>
      <c r="G53" s="96" t="s">
        <v>1171</v>
      </c>
      <c r="H53" s="98">
        <f t="shared" si="6"/>
        <v>4</v>
      </c>
      <c r="I53" s="98">
        <f t="shared" si="7"/>
        <v>53</v>
      </c>
      <c r="J53" s="99">
        <f t="shared" si="8"/>
        <v>55.869489754113459</v>
      </c>
      <c r="M53" s="108">
        <f>F53+G12</f>
        <v>4.8988526360428093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5.3214755899762061</v>
      </c>
      <c r="G54" s="96" t="s">
        <v>1171</v>
      </c>
      <c r="H54" s="98">
        <f t="shared" si="6"/>
        <v>5</v>
      </c>
      <c r="I54" s="98">
        <f t="shared" si="7"/>
        <v>19</v>
      </c>
      <c r="J54" s="99">
        <f t="shared" si="8"/>
        <v>17.312123914341839</v>
      </c>
      <c r="M54" s="108">
        <f>F54+G12</f>
        <v>5.3214755899762061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5.7435622972308735</v>
      </c>
      <c r="G55" s="96" t="s">
        <v>1171</v>
      </c>
      <c r="H55" s="98">
        <f t="shared" si="6"/>
        <v>5</v>
      </c>
      <c r="I55" s="98">
        <f t="shared" si="7"/>
        <v>44</v>
      </c>
      <c r="J55" s="99">
        <f t="shared" si="8"/>
        <v>36.824270031144692</v>
      </c>
      <c r="M55" s="108">
        <f>F55+G12</f>
        <v>5.7435622972308735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11.743562297230874</v>
      </c>
      <c r="G56" s="96" t="s">
        <v>1171</v>
      </c>
      <c r="H56" s="98">
        <f t="shared" si="6"/>
        <v>11</v>
      </c>
      <c r="I56" s="98">
        <f t="shared" si="7"/>
        <v>44</v>
      </c>
      <c r="J56" s="99">
        <f t="shared" si="8"/>
        <v>36.824270031144692</v>
      </c>
      <c r="K56" s="109"/>
      <c r="L56" s="81"/>
      <c r="M56" s="108">
        <f>F56+G12</f>
        <v>11.743562297230874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17.743562297230874</v>
      </c>
      <c r="G57" s="96" t="s">
        <v>1171</v>
      </c>
      <c r="H57" s="98">
        <f t="shared" si="6"/>
        <v>17</v>
      </c>
      <c r="I57" s="98">
        <f t="shared" si="7"/>
        <v>44</v>
      </c>
      <c r="J57" s="99">
        <f t="shared" si="8"/>
        <v>36.824270031144692</v>
      </c>
      <c r="K57" s="109"/>
      <c r="L57" s="75"/>
      <c r="M57" s="108">
        <f>F57+G12</f>
        <v>17.743562297230874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18.165649004485541</v>
      </c>
      <c r="G58" s="96" t="s">
        <v>1171</v>
      </c>
      <c r="H58" s="98">
        <f t="shared" si="6"/>
        <v>18</v>
      </c>
      <c r="I58" s="98">
        <f t="shared" si="7"/>
        <v>9</v>
      </c>
      <c r="J58" s="99">
        <f t="shared" si="8"/>
        <v>56.336416147947546</v>
      </c>
      <c r="K58" s="109"/>
      <c r="L58" s="111"/>
      <c r="M58" s="108">
        <f>F58+G12</f>
        <v>18.165649004485541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18.58827195841894</v>
      </c>
      <c r="G59" s="96" t="s">
        <v>1171</v>
      </c>
      <c r="H59" s="98">
        <f t="shared" si="6"/>
        <v>18</v>
      </c>
      <c r="I59" s="98">
        <f t="shared" si="7"/>
        <v>35</v>
      </c>
      <c r="J59" s="99">
        <f t="shared" si="8"/>
        <v>17.77905030818232</v>
      </c>
      <c r="K59" s="109"/>
      <c r="L59" s="111"/>
      <c r="M59" s="108">
        <f>F59+G12</f>
        <v>18.58827195841894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19.012023114898838</v>
      </c>
      <c r="G60" s="96" t="s">
        <v>1171</v>
      </c>
      <c r="H60" s="98">
        <f t="shared" si="6"/>
        <v>19</v>
      </c>
      <c r="I60" s="98">
        <f t="shared" si="7"/>
        <v>0</v>
      </c>
      <c r="J60" s="99">
        <f t="shared" si="8"/>
        <v>43.283213635817219</v>
      </c>
      <c r="K60" s="109"/>
      <c r="L60" s="81"/>
      <c r="M60" s="108">
        <f>F60+G12</f>
        <v>19.012023114898838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0</v>
      </c>
      <c r="M62" s="108">
        <f>F62+G12</f>
        <v>12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0</v>
      </c>
      <c r="M63" s="108">
        <f>F63+G12</f>
        <v>12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12.844173414509335</v>
      </c>
      <c r="G64" s="96" t="s">
        <v>1171</v>
      </c>
      <c r="H64" s="98">
        <f>TRUNC(F64)</f>
        <v>12</v>
      </c>
      <c r="I64" s="98">
        <f>TRUNC((F64-H64)*60)</f>
        <v>50</v>
      </c>
      <c r="J64" s="99">
        <f>(((F64-H64)*60)-I64)*60</f>
        <v>39.024292233605706</v>
      </c>
      <c r="M64" s="108">
        <f>F64+G12</f>
        <v>12.844173414509335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9.4630783646640726</v>
      </c>
      <c r="G65" s="96" t="s">
        <v>1171</v>
      </c>
      <c r="H65" s="98">
        <f>TRUNC(F65)</f>
        <v>9</v>
      </c>
      <c r="I65" s="98">
        <f>TRUNC((F65-H65)*60)</f>
        <v>27</v>
      </c>
      <c r="J65" s="99">
        <f>(((F65-H65)*60)-I65)*60</f>
        <v>47.082112790661341</v>
      </c>
      <c r="M65" s="108">
        <f>F65+G12</f>
        <v>9.4630783646640726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/TAnPySY3eVNyPN3MLVhQh92YKGuq/mNCJwC4kHK957/UB8NHJ6aHiBxybPRUVUzfJOBEbVa4RMXG9Pps/40TQ==" saltValue="5h6X/ujMgyrwDs/g3Ld9vQ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glio21"/>
  <dimension ref="A1:P69"/>
  <sheetViews>
    <sheetView workbookViewId="0">
      <selection activeCell="D7" sqref="D7"/>
    </sheetView>
  </sheetViews>
  <sheetFormatPr defaultRowHeight="12.75" outlineLevelRow="1"/>
  <cols>
    <col min="1" max="1" width="9.140625" style="74" customWidth="1"/>
    <col min="2" max="2" width="5.85546875" style="74" customWidth="1"/>
    <col min="3" max="3" width="9.140625" style="74" customWidth="1"/>
    <col min="4" max="4" width="9.5703125" style="74" bestFit="1" customWidth="1"/>
    <col min="5" max="5" width="9.140625" style="74" customWidth="1"/>
    <col min="6" max="7" width="10.42578125" style="74" customWidth="1"/>
    <col min="8" max="9" width="9.140625" style="74" customWidth="1"/>
    <col min="10" max="10" width="14.7109375" style="74" customWidth="1"/>
    <col min="11" max="11" width="9" style="74" customWidth="1"/>
    <col min="12" max="12" width="5.28515625" style="74" customWidth="1"/>
    <col min="13" max="13" width="10.28515625" style="74" customWidth="1"/>
    <col min="14" max="14" width="9.140625" style="74" customWidth="1"/>
    <col min="15" max="15" width="5.85546875" style="74" customWidth="1"/>
    <col min="16" max="257" width="9.140625" style="74" customWidth="1"/>
    <col min="258" max="258" width="5.85546875" style="74" customWidth="1"/>
    <col min="259" max="259" width="9.140625" style="74" customWidth="1"/>
    <col min="260" max="260" width="9.5703125" style="74" bestFit="1" customWidth="1"/>
    <col min="261" max="261" width="9.140625" style="74" customWidth="1"/>
    <col min="262" max="263" width="10.42578125" style="74" customWidth="1"/>
    <col min="264" max="265" width="9.140625" style="74" customWidth="1"/>
    <col min="266" max="266" width="14.7109375" style="74" customWidth="1"/>
    <col min="267" max="267" width="9" style="74" customWidth="1"/>
    <col min="268" max="268" width="5.28515625" style="74" customWidth="1"/>
    <col min="269" max="269" width="10.28515625" style="74" customWidth="1"/>
    <col min="270" max="270" width="9.140625" style="74" customWidth="1"/>
    <col min="271" max="271" width="5.85546875" style="74" customWidth="1"/>
    <col min="272" max="513" width="9.140625" style="74" customWidth="1"/>
    <col min="514" max="514" width="5.85546875" style="74" customWidth="1"/>
    <col min="515" max="515" width="9.140625" style="74" customWidth="1"/>
    <col min="516" max="516" width="9.5703125" style="74" bestFit="1" customWidth="1"/>
    <col min="517" max="517" width="9.140625" style="74" customWidth="1"/>
    <col min="518" max="519" width="10.42578125" style="74" customWidth="1"/>
    <col min="520" max="521" width="9.140625" style="74" customWidth="1"/>
    <col min="522" max="522" width="14.7109375" style="74" customWidth="1"/>
    <col min="523" max="523" width="9" style="74" customWidth="1"/>
    <col min="524" max="524" width="5.28515625" style="74" customWidth="1"/>
    <col min="525" max="525" width="10.28515625" style="74" customWidth="1"/>
    <col min="526" max="526" width="9.140625" style="74" customWidth="1"/>
    <col min="527" max="527" width="5.85546875" style="74" customWidth="1"/>
    <col min="528" max="769" width="9.140625" style="74" customWidth="1"/>
    <col min="770" max="770" width="5.85546875" style="74" customWidth="1"/>
    <col min="771" max="771" width="9.140625" style="74" customWidth="1"/>
    <col min="772" max="772" width="9.5703125" style="74" bestFit="1" customWidth="1"/>
    <col min="773" max="773" width="9.140625" style="74" customWidth="1"/>
    <col min="774" max="775" width="10.42578125" style="74" customWidth="1"/>
    <col min="776" max="777" width="9.140625" style="74" customWidth="1"/>
    <col min="778" max="778" width="14.7109375" style="74" customWidth="1"/>
    <col min="779" max="779" width="9" style="74" customWidth="1"/>
    <col min="780" max="780" width="5.28515625" style="74" customWidth="1"/>
    <col min="781" max="781" width="10.28515625" style="74" customWidth="1"/>
    <col min="782" max="782" width="9.140625" style="74" customWidth="1"/>
    <col min="783" max="783" width="5.85546875" style="74" customWidth="1"/>
    <col min="784" max="1025" width="9.140625" style="74" customWidth="1"/>
    <col min="1026" max="1026" width="5.85546875" style="74" customWidth="1"/>
    <col min="1027" max="1027" width="9.140625" style="74" customWidth="1"/>
    <col min="1028" max="1028" width="9.5703125" style="74" bestFit="1" customWidth="1"/>
    <col min="1029" max="1029" width="9.140625" style="74" customWidth="1"/>
    <col min="1030" max="1031" width="10.42578125" style="74" customWidth="1"/>
    <col min="1032" max="1033" width="9.140625" style="74" customWidth="1"/>
    <col min="1034" max="1034" width="14.7109375" style="74" customWidth="1"/>
    <col min="1035" max="1035" width="9" style="74" customWidth="1"/>
    <col min="1036" max="1036" width="5.28515625" style="74" customWidth="1"/>
    <col min="1037" max="1037" width="10.28515625" style="74" customWidth="1"/>
    <col min="1038" max="1038" width="9.140625" style="74" customWidth="1"/>
    <col min="1039" max="1039" width="5.85546875" style="74" customWidth="1"/>
    <col min="1040" max="1281" width="9.140625" style="74" customWidth="1"/>
    <col min="1282" max="1282" width="5.85546875" style="74" customWidth="1"/>
    <col min="1283" max="1283" width="9.140625" style="74" customWidth="1"/>
    <col min="1284" max="1284" width="9.5703125" style="74" bestFit="1" customWidth="1"/>
    <col min="1285" max="1285" width="9.140625" style="74" customWidth="1"/>
    <col min="1286" max="1287" width="10.42578125" style="74" customWidth="1"/>
    <col min="1288" max="1289" width="9.140625" style="74" customWidth="1"/>
    <col min="1290" max="1290" width="14.7109375" style="74" customWidth="1"/>
    <col min="1291" max="1291" width="9" style="74" customWidth="1"/>
    <col min="1292" max="1292" width="5.28515625" style="74" customWidth="1"/>
    <col min="1293" max="1293" width="10.28515625" style="74" customWidth="1"/>
    <col min="1294" max="1294" width="9.140625" style="74" customWidth="1"/>
    <col min="1295" max="1295" width="5.85546875" style="74" customWidth="1"/>
    <col min="1296" max="1537" width="9.140625" style="74" customWidth="1"/>
    <col min="1538" max="1538" width="5.85546875" style="74" customWidth="1"/>
    <col min="1539" max="1539" width="9.140625" style="74" customWidth="1"/>
    <col min="1540" max="1540" width="9.5703125" style="74" bestFit="1" customWidth="1"/>
    <col min="1541" max="1541" width="9.140625" style="74" customWidth="1"/>
    <col min="1542" max="1543" width="10.42578125" style="74" customWidth="1"/>
    <col min="1544" max="1545" width="9.140625" style="74" customWidth="1"/>
    <col min="1546" max="1546" width="14.7109375" style="74" customWidth="1"/>
    <col min="1547" max="1547" width="9" style="74" customWidth="1"/>
    <col min="1548" max="1548" width="5.28515625" style="74" customWidth="1"/>
    <col min="1549" max="1549" width="10.28515625" style="74" customWidth="1"/>
    <col min="1550" max="1550" width="9.140625" style="74" customWidth="1"/>
    <col min="1551" max="1551" width="5.85546875" style="74" customWidth="1"/>
    <col min="1552" max="1793" width="9.140625" style="74" customWidth="1"/>
    <col min="1794" max="1794" width="5.85546875" style="74" customWidth="1"/>
    <col min="1795" max="1795" width="9.140625" style="74" customWidth="1"/>
    <col min="1796" max="1796" width="9.5703125" style="74" bestFit="1" customWidth="1"/>
    <col min="1797" max="1797" width="9.140625" style="74" customWidth="1"/>
    <col min="1798" max="1799" width="10.42578125" style="74" customWidth="1"/>
    <col min="1800" max="1801" width="9.140625" style="74" customWidth="1"/>
    <col min="1802" max="1802" width="14.7109375" style="74" customWidth="1"/>
    <col min="1803" max="1803" width="9" style="74" customWidth="1"/>
    <col min="1804" max="1804" width="5.28515625" style="74" customWidth="1"/>
    <col min="1805" max="1805" width="10.28515625" style="74" customWidth="1"/>
    <col min="1806" max="1806" width="9.140625" style="74" customWidth="1"/>
    <col min="1807" max="1807" width="5.85546875" style="74" customWidth="1"/>
    <col min="1808" max="2049" width="9.140625" style="74" customWidth="1"/>
    <col min="2050" max="2050" width="5.85546875" style="74" customWidth="1"/>
    <col min="2051" max="2051" width="9.140625" style="74" customWidth="1"/>
    <col min="2052" max="2052" width="9.5703125" style="74" bestFit="1" customWidth="1"/>
    <col min="2053" max="2053" width="9.140625" style="74" customWidth="1"/>
    <col min="2054" max="2055" width="10.42578125" style="74" customWidth="1"/>
    <col min="2056" max="2057" width="9.140625" style="74" customWidth="1"/>
    <col min="2058" max="2058" width="14.7109375" style="74" customWidth="1"/>
    <col min="2059" max="2059" width="9" style="74" customWidth="1"/>
    <col min="2060" max="2060" width="5.28515625" style="74" customWidth="1"/>
    <col min="2061" max="2061" width="10.28515625" style="74" customWidth="1"/>
    <col min="2062" max="2062" width="9.140625" style="74" customWidth="1"/>
    <col min="2063" max="2063" width="5.85546875" style="74" customWidth="1"/>
    <col min="2064" max="2305" width="9.140625" style="74" customWidth="1"/>
    <col min="2306" max="2306" width="5.85546875" style="74" customWidth="1"/>
    <col min="2307" max="2307" width="9.140625" style="74" customWidth="1"/>
    <col min="2308" max="2308" width="9.5703125" style="74" bestFit="1" customWidth="1"/>
    <col min="2309" max="2309" width="9.140625" style="74" customWidth="1"/>
    <col min="2310" max="2311" width="10.42578125" style="74" customWidth="1"/>
    <col min="2312" max="2313" width="9.140625" style="74" customWidth="1"/>
    <col min="2314" max="2314" width="14.7109375" style="74" customWidth="1"/>
    <col min="2315" max="2315" width="9" style="74" customWidth="1"/>
    <col min="2316" max="2316" width="5.28515625" style="74" customWidth="1"/>
    <col min="2317" max="2317" width="10.28515625" style="74" customWidth="1"/>
    <col min="2318" max="2318" width="9.140625" style="74" customWidth="1"/>
    <col min="2319" max="2319" width="5.85546875" style="74" customWidth="1"/>
    <col min="2320" max="2561" width="9.140625" style="74" customWidth="1"/>
    <col min="2562" max="2562" width="5.85546875" style="74" customWidth="1"/>
    <col min="2563" max="2563" width="9.140625" style="74" customWidth="1"/>
    <col min="2564" max="2564" width="9.5703125" style="74" bestFit="1" customWidth="1"/>
    <col min="2565" max="2565" width="9.140625" style="74" customWidth="1"/>
    <col min="2566" max="2567" width="10.42578125" style="74" customWidth="1"/>
    <col min="2568" max="2569" width="9.140625" style="74" customWidth="1"/>
    <col min="2570" max="2570" width="14.7109375" style="74" customWidth="1"/>
    <col min="2571" max="2571" width="9" style="74" customWidth="1"/>
    <col min="2572" max="2572" width="5.28515625" style="74" customWidth="1"/>
    <col min="2573" max="2573" width="10.28515625" style="74" customWidth="1"/>
    <col min="2574" max="2574" width="9.140625" style="74" customWidth="1"/>
    <col min="2575" max="2575" width="5.85546875" style="74" customWidth="1"/>
    <col min="2576" max="2817" width="9.140625" style="74" customWidth="1"/>
    <col min="2818" max="2818" width="5.85546875" style="74" customWidth="1"/>
    <col min="2819" max="2819" width="9.140625" style="74" customWidth="1"/>
    <col min="2820" max="2820" width="9.5703125" style="74" bestFit="1" customWidth="1"/>
    <col min="2821" max="2821" width="9.140625" style="74" customWidth="1"/>
    <col min="2822" max="2823" width="10.42578125" style="74" customWidth="1"/>
    <col min="2824" max="2825" width="9.140625" style="74" customWidth="1"/>
    <col min="2826" max="2826" width="14.7109375" style="74" customWidth="1"/>
    <col min="2827" max="2827" width="9" style="74" customWidth="1"/>
    <col min="2828" max="2828" width="5.28515625" style="74" customWidth="1"/>
    <col min="2829" max="2829" width="10.28515625" style="74" customWidth="1"/>
    <col min="2830" max="2830" width="9.140625" style="74" customWidth="1"/>
    <col min="2831" max="2831" width="5.85546875" style="74" customWidth="1"/>
    <col min="2832" max="3073" width="9.140625" style="74" customWidth="1"/>
    <col min="3074" max="3074" width="5.85546875" style="74" customWidth="1"/>
    <col min="3075" max="3075" width="9.140625" style="74" customWidth="1"/>
    <col min="3076" max="3076" width="9.5703125" style="74" bestFit="1" customWidth="1"/>
    <col min="3077" max="3077" width="9.140625" style="74" customWidth="1"/>
    <col min="3078" max="3079" width="10.42578125" style="74" customWidth="1"/>
    <col min="3080" max="3081" width="9.140625" style="74" customWidth="1"/>
    <col min="3082" max="3082" width="14.7109375" style="74" customWidth="1"/>
    <col min="3083" max="3083" width="9" style="74" customWidth="1"/>
    <col min="3084" max="3084" width="5.28515625" style="74" customWidth="1"/>
    <col min="3085" max="3085" width="10.28515625" style="74" customWidth="1"/>
    <col min="3086" max="3086" width="9.140625" style="74" customWidth="1"/>
    <col min="3087" max="3087" width="5.85546875" style="74" customWidth="1"/>
    <col min="3088" max="3329" width="9.140625" style="74" customWidth="1"/>
    <col min="3330" max="3330" width="5.85546875" style="74" customWidth="1"/>
    <col min="3331" max="3331" width="9.140625" style="74" customWidth="1"/>
    <col min="3332" max="3332" width="9.5703125" style="74" bestFit="1" customWidth="1"/>
    <col min="3333" max="3333" width="9.140625" style="74" customWidth="1"/>
    <col min="3334" max="3335" width="10.42578125" style="74" customWidth="1"/>
    <col min="3336" max="3337" width="9.140625" style="74" customWidth="1"/>
    <col min="3338" max="3338" width="14.7109375" style="74" customWidth="1"/>
    <col min="3339" max="3339" width="9" style="74" customWidth="1"/>
    <col min="3340" max="3340" width="5.28515625" style="74" customWidth="1"/>
    <col min="3341" max="3341" width="10.28515625" style="74" customWidth="1"/>
    <col min="3342" max="3342" width="9.140625" style="74" customWidth="1"/>
    <col min="3343" max="3343" width="5.85546875" style="74" customWidth="1"/>
    <col min="3344" max="3585" width="9.140625" style="74" customWidth="1"/>
    <col min="3586" max="3586" width="5.85546875" style="74" customWidth="1"/>
    <col min="3587" max="3587" width="9.140625" style="74" customWidth="1"/>
    <col min="3588" max="3588" width="9.5703125" style="74" bestFit="1" customWidth="1"/>
    <col min="3589" max="3589" width="9.140625" style="74" customWidth="1"/>
    <col min="3590" max="3591" width="10.42578125" style="74" customWidth="1"/>
    <col min="3592" max="3593" width="9.140625" style="74" customWidth="1"/>
    <col min="3594" max="3594" width="14.7109375" style="74" customWidth="1"/>
    <col min="3595" max="3595" width="9" style="74" customWidth="1"/>
    <col min="3596" max="3596" width="5.28515625" style="74" customWidth="1"/>
    <col min="3597" max="3597" width="10.28515625" style="74" customWidth="1"/>
    <col min="3598" max="3598" width="9.140625" style="74" customWidth="1"/>
    <col min="3599" max="3599" width="5.85546875" style="74" customWidth="1"/>
    <col min="3600" max="3841" width="9.140625" style="74" customWidth="1"/>
    <col min="3842" max="3842" width="5.85546875" style="74" customWidth="1"/>
    <col min="3843" max="3843" width="9.140625" style="74" customWidth="1"/>
    <col min="3844" max="3844" width="9.5703125" style="74" bestFit="1" customWidth="1"/>
    <col min="3845" max="3845" width="9.140625" style="74" customWidth="1"/>
    <col min="3846" max="3847" width="10.42578125" style="74" customWidth="1"/>
    <col min="3848" max="3849" width="9.140625" style="74" customWidth="1"/>
    <col min="3850" max="3850" width="14.7109375" style="74" customWidth="1"/>
    <col min="3851" max="3851" width="9" style="74" customWidth="1"/>
    <col min="3852" max="3852" width="5.28515625" style="74" customWidth="1"/>
    <col min="3853" max="3853" width="10.28515625" style="74" customWidth="1"/>
    <col min="3854" max="3854" width="9.140625" style="74" customWidth="1"/>
    <col min="3855" max="3855" width="5.85546875" style="74" customWidth="1"/>
    <col min="3856" max="4097" width="9.140625" style="74" customWidth="1"/>
    <col min="4098" max="4098" width="5.85546875" style="74" customWidth="1"/>
    <col min="4099" max="4099" width="9.140625" style="74" customWidth="1"/>
    <col min="4100" max="4100" width="9.5703125" style="74" bestFit="1" customWidth="1"/>
    <col min="4101" max="4101" width="9.140625" style="74" customWidth="1"/>
    <col min="4102" max="4103" width="10.42578125" style="74" customWidth="1"/>
    <col min="4104" max="4105" width="9.140625" style="74" customWidth="1"/>
    <col min="4106" max="4106" width="14.7109375" style="74" customWidth="1"/>
    <col min="4107" max="4107" width="9" style="74" customWidth="1"/>
    <col min="4108" max="4108" width="5.28515625" style="74" customWidth="1"/>
    <col min="4109" max="4109" width="10.28515625" style="74" customWidth="1"/>
    <col min="4110" max="4110" width="9.140625" style="74" customWidth="1"/>
    <col min="4111" max="4111" width="5.85546875" style="74" customWidth="1"/>
    <col min="4112" max="4353" width="9.140625" style="74" customWidth="1"/>
    <col min="4354" max="4354" width="5.85546875" style="74" customWidth="1"/>
    <col min="4355" max="4355" width="9.140625" style="74" customWidth="1"/>
    <col min="4356" max="4356" width="9.5703125" style="74" bestFit="1" customWidth="1"/>
    <col min="4357" max="4357" width="9.140625" style="74" customWidth="1"/>
    <col min="4358" max="4359" width="10.42578125" style="74" customWidth="1"/>
    <col min="4360" max="4361" width="9.140625" style="74" customWidth="1"/>
    <col min="4362" max="4362" width="14.7109375" style="74" customWidth="1"/>
    <col min="4363" max="4363" width="9" style="74" customWidth="1"/>
    <col min="4364" max="4364" width="5.28515625" style="74" customWidth="1"/>
    <col min="4365" max="4365" width="10.28515625" style="74" customWidth="1"/>
    <col min="4366" max="4366" width="9.140625" style="74" customWidth="1"/>
    <col min="4367" max="4367" width="5.85546875" style="74" customWidth="1"/>
    <col min="4368" max="4609" width="9.140625" style="74" customWidth="1"/>
    <col min="4610" max="4610" width="5.85546875" style="74" customWidth="1"/>
    <col min="4611" max="4611" width="9.140625" style="74" customWidth="1"/>
    <col min="4612" max="4612" width="9.5703125" style="74" bestFit="1" customWidth="1"/>
    <col min="4613" max="4613" width="9.140625" style="74" customWidth="1"/>
    <col min="4614" max="4615" width="10.42578125" style="74" customWidth="1"/>
    <col min="4616" max="4617" width="9.140625" style="74" customWidth="1"/>
    <col min="4618" max="4618" width="14.7109375" style="74" customWidth="1"/>
    <col min="4619" max="4619" width="9" style="74" customWidth="1"/>
    <col min="4620" max="4620" width="5.28515625" style="74" customWidth="1"/>
    <col min="4621" max="4621" width="10.28515625" style="74" customWidth="1"/>
    <col min="4622" max="4622" width="9.140625" style="74" customWidth="1"/>
    <col min="4623" max="4623" width="5.85546875" style="74" customWidth="1"/>
    <col min="4624" max="4865" width="9.140625" style="74" customWidth="1"/>
    <col min="4866" max="4866" width="5.85546875" style="74" customWidth="1"/>
    <col min="4867" max="4867" width="9.140625" style="74" customWidth="1"/>
    <col min="4868" max="4868" width="9.5703125" style="74" bestFit="1" customWidth="1"/>
    <col min="4869" max="4869" width="9.140625" style="74" customWidth="1"/>
    <col min="4870" max="4871" width="10.42578125" style="74" customWidth="1"/>
    <col min="4872" max="4873" width="9.140625" style="74" customWidth="1"/>
    <col min="4874" max="4874" width="14.7109375" style="74" customWidth="1"/>
    <col min="4875" max="4875" width="9" style="74" customWidth="1"/>
    <col min="4876" max="4876" width="5.28515625" style="74" customWidth="1"/>
    <col min="4877" max="4877" width="10.28515625" style="74" customWidth="1"/>
    <col min="4878" max="4878" width="9.140625" style="74" customWidth="1"/>
    <col min="4879" max="4879" width="5.85546875" style="74" customWidth="1"/>
    <col min="4880" max="5121" width="9.140625" style="74" customWidth="1"/>
    <col min="5122" max="5122" width="5.85546875" style="74" customWidth="1"/>
    <col min="5123" max="5123" width="9.140625" style="74" customWidth="1"/>
    <col min="5124" max="5124" width="9.5703125" style="74" bestFit="1" customWidth="1"/>
    <col min="5125" max="5125" width="9.140625" style="74" customWidth="1"/>
    <col min="5126" max="5127" width="10.42578125" style="74" customWidth="1"/>
    <col min="5128" max="5129" width="9.140625" style="74" customWidth="1"/>
    <col min="5130" max="5130" width="14.7109375" style="74" customWidth="1"/>
    <col min="5131" max="5131" width="9" style="74" customWidth="1"/>
    <col min="5132" max="5132" width="5.28515625" style="74" customWidth="1"/>
    <col min="5133" max="5133" width="10.28515625" style="74" customWidth="1"/>
    <col min="5134" max="5134" width="9.140625" style="74" customWidth="1"/>
    <col min="5135" max="5135" width="5.85546875" style="74" customWidth="1"/>
    <col min="5136" max="5377" width="9.140625" style="74" customWidth="1"/>
    <col min="5378" max="5378" width="5.85546875" style="74" customWidth="1"/>
    <col min="5379" max="5379" width="9.140625" style="74" customWidth="1"/>
    <col min="5380" max="5380" width="9.5703125" style="74" bestFit="1" customWidth="1"/>
    <col min="5381" max="5381" width="9.140625" style="74" customWidth="1"/>
    <col min="5382" max="5383" width="10.42578125" style="74" customWidth="1"/>
    <col min="5384" max="5385" width="9.140625" style="74" customWidth="1"/>
    <col min="5386" max="5386" width="14.7109375" style="74" customWidth="1"/>
    <col min="5387" max="5387" width="9" style="74" customWidth="1"/>
    <col min="5388" max="5388" width="5.28515625" style="74" customWidth="1"/>
    <col min="5389" max="5389" width="10.28515625" style="74" customWidth="1"/>
    <col min="5390" max="5390" width="9.140625" style="74" customWidth="1"/>
    <col min="5391" max="5391" width="5.85546875" style="74" customWidth="1"/>
    <col min="5392" max="5633" width="9.140625" style="74" customWidth="1"/>
    <col min="5634" max="5634" width="5.85546875" style="74" customWidth="1"/>
    <col min="5635" max="5635" width="9.140625" style="74" customWidth="1"/>
    <col min="5636" max="5636" width="9.5703125" style="74" bestFit="1" customWidth="1"/>
    <col min="5637" max="5637" width="9.140625" style="74" customWidth="1"/>
    <col min="5638" max="5639" width="10.42578125" style="74" customWidth="1"/>
    <col min="5640" max="5641" width="9.140625" style="74" customWidth="1"/>
    <col min="5642" max="5642" width="14.7109375" style="74" customWidth="1"/>
    <col min="5643" max="5643" width="9" style="74" customWidth="1"/>
    <col min="5644" max="5644" width="5.28515625" style="74" customWidth="1"/>
    <col min="5645" max="5645" width="10.28515625" style="74" customWidth="1"/>
    <col min="5646" max="5646" width="9.140625" style="74" customWidth="1"/>
    <col min="5647" max="5647" width="5.85546875" style="74" customWidth="1"/>
    <col min="5648" max="5889" width="9.140625" style="74" customWidth="1"/>
    <col min="5890" max="5890" width="5.85546875" style="74" customWidth="1"/>
    <col min="5891" max="5891" width="9.140625" style="74" customWidth="1"/>
    <col min="5892" max="5892" width="9.5703125" style="74" bestFit="1" customWidth="1"/>
    <col min="5893" max="5893" width="9.140625" style="74" customWidth="1"/>
    <col min="5894" max="5895" width="10.42578125" style="74" customWidth="1"/>
    <col min="5896" max="5897" width="9.140625" style="74" customWidth="1"/>
    <col min="5898" max="5898" width="14.7109375" style="74" customWidth="1"/>
    <col min="5899" max="5899" width="9" style="74" customWidth="1"/>
    <col min="5900" max="5900" width="5.28515625" style="74" customWidth="1"/>
    <col min="5901" max="5901" width="10.28515625" style="74" customWidth="1"/>
    <col min="5902" max="5902" width="9.140625" style="74" customWidth="1"/>
    <col min="5903" max="5903" width="5.85546875" style="74" customWidth="1"/>
    <col min="5904" max="6145" width="9.140625" style="74" customWidth="1"/>
    <col min="6146" max="6146" width="5.85546875" style="74" customWidth="1"/>
    <col min="6147" max="6147" width="9.140625" style="74" customWidth="1"/>
    <col min="6148" max="6148" width="9.5703125" style="74" bestFit="1" customWidth="1"/>
    <col min="6149" max="6149" width="9.140625" style="74" customWidth="1"/>
    <col min="6150" max="6151" width="10.42578125" style="74" customWidth="1"/>
    <col min="6152" max="6153" width="9.140625" style="74" customWidth="1"/>
    <col min="6154" max="6154" width="14.7109375" style="74" customWidth="1"/>
    <col min="6155" max="6155" width="9" style="74" customWidth="1"/>
    <col min="6156" max="6156" width="5.28515625" style="74" customWidth="1"/>
    <col min="6157" max="6157" width="10.28515625" style="74" customWidth="1"/>
    <col min="6158" max="6158" width="9.140625" style="74" customWidth="1"/>
    <col min="6159" max="6159" width="5.85546875" style="74" customWidth="1"/>
    <col min="6160" max="6401" width="9.140625" style="74" customWidth="1"/>
    <col min="6402" max="6402" width="5.85546875" style="74" customWidth="1"/>
    <col min="6403" max="6403" width="9.140625" style="74" customWidth="1"/>
    <col min="6404" max="6404" width="9.5703125" style="74" bestFit="1" customWidth="1"/>
    <col min="6405" max="6405" width="9.140625" style="74" customWidth="1"/>
    <col min="6406" max="6407" width="10.42578125" style="74" customWidth="1"/>
    <col min="6408" max="6409" width="9.140625" style="74" customWidth="1"/>
    <col min="6410" max="6410" width="14.7109375" style="74" customWidth="1"/>
    <col min="6411" max="6411" width="9" style="74" customWidth="1"/>
    <col min="6412" max="6412" width="5.28515625" style="74" customWidth="1"/>
    <col min="6413" max="6413" width="10.28515625" style="74" customWidth="1"/>
    <col min="6414" max="6414" width="9.140625" style="74" customWidth="1"/>
    <col min="6415" max="6415" width="5.85546875" style="74" customWidth="1"/>
    <col min="6416" max="6657" width="9.140625" style="74" customWidth="1"/>
    <col min="6658" max="6658" width="5.85546875" style="74" customWidth="1"/>
    <col min="6659" max="6659" width="9.140625" style="74" customWidth="1"/>
    <col min="6660" max="6660" width="9.5703125" style="74" bestFit="1" customWidth="1"/>
    <col min="6661" max="6661" width="9.140625" style="74" customWidth="1"/>
    <col min="6662" max="6663" width="10.42578125" style="74" customWidth="1"/>
    <col min="6664" max="6665" width="9.140625" style="74" customWidth="1"/>
    <col min="6666" max="6666" width="14.7109375" style="74" customWidth="1"/>
    <col min="6667" max="6667" width="9" style="74" customWidth="1"/>
    <col min="6668" max="6668" width="5.28515625" style="74" customWidth="1"/>
    <col min="6669" max="6669" width="10.28515625" style="74" customWidth="1"/>
    <col min="6670" max="6670" width="9.140625" style="74" customWidth="1"/>
    <col min="6671" max="6671" width="5.85546875" style="74" customWidth="1"/>
    <col min="6672" max="6913" width="9.140625" style="74" customWidth="1"/>
    <col min="6914" max="6914" width="5.85546875" style="74" customWidth="1"/>
    <col min="6915" max="6915" width="9.140625" style="74" customWidth="1"/>
    <col min="6916" max="6916" width="9.5703125" style="74" bestFit="1" customWidth="1"/>
    <col min="6917" max="6917" width="9.140625" style="74" customWidth="1"/>
    <col min="6918" max="6919" width="10.42578125" style="74" customWidth="1"/>
    <col min="6920" max="6921" width="9.140625" style="74" customWidth="1"/>
    <col min="6922" max="6922" width="14.7109375" style="74" customWidth="1"/>
    <col min="6923" max="6923" width="9" style="74" customWidth="1"/>
    <col min="6924" max="6924" width="5.28515625" style="74" customWidth="1"/>
    <col min="6925" max="6925" width="10.28515625" style="74" customWidth="1"/>
    <col min="6926" max="6926" width="9.140625" style="74" customWidth="1"/>
    <col min="6927" max="6927" width="5.85546875" style="74" customWidth="1"/>
    <col min="6928" max="7169" width="9.140625" style="74" customWidth="1"/>
    <col min="7170" max="7170" width="5.85546875" style="74" customWidth="1"/>
    <col min="7171" max="7171" width="9.140625" style="74" customWidth="1"/>
    <col min="7172" max="7172" width="9.5703125" style="74" bestFit="1" customWidth="1"/>
    <col min="7173" max="7173" width="9.140625" style="74" customWidth="1"/>
    <col min="7174" max="7175" width="10.42578125" style="74" customWidth="1"/>
    <col min="7176" max="7177" width="9.140625" style="74" customWidth="1"/>
    <col min="7178" max="7178" width="14.7109375" style="74" customWidth="1"/>
    <col min="7179" max="7179" width="9" style="74" customWidth="1"/>
    <col min="7180" max="7180" width="5.28515625" style="74" customWidth="1"/>
    <col min="7181" max="7181" width="10.28515625" style="74" customWidth="1"/>
    <col min="7182" max="7182" width="9.140625" style="74" customWidth="1"/>
    <col min="7183" max="7183" width="5.85546875" style="74" customWidth="1"/>
    <col min="7184" max="7425" width="9.140625" style="74" customWidth="1"/>
    <col min="7426" max="7426" width="5.85546875" style="74" customWidth="1"/>
    <col min="7427" max="7427" width="9.140625" style="74" customWidth="1"/>
    <col min="7428" max="7428" width="9.5703125" style="74" bestFit="1" customWidth="1"/>
    <col min="7429" max="7429" width="9.140625" style="74" customWidth="1"/>
    <col min="7430" max="7431" width="10.42578125" style="74" customWidth="1"/>
    <col min="7432" max="7433" width="9.140625" style="74" customWidth="1"/>
    <col min="7434" max="7434" width="14.7109375" style="74" customWidth="1"/>
    <col min="7435" max="7435" width="9" style="74" customWidth="1"/>
    <col min="7436" max="7436" width="5.28515625" style="74" customWidth="1"/>
    <col min="7437" max="7437" width="10.28515625" style="74" customWidth="1"/>
    <col min="7438" max="7438" width="9.140625" style="74" customWidth="1"/>
    <col min="7439" max="7439" width="5.85546875" style="74" customWidth="1"/>
    <col min="7440" max="7681" width="9.140625" style="74" customWidth="1"/>
    <col min="7682" max="7682" width="5.85546875" style="74" customWidth="1"/>
    <col min="7683" max="7683" width="9.140625" style="74" customWidth="1"/>
    <col min="7684" max="7684" width="9.5703125" style="74" bestFit="1" customWidth="1"/>
    <col min="7685" max="7685" width="9.140625" style="74" customWidth="1"/>
    <col min="7686" max="7687" width="10.42578125" style="74" customWidth="1"/>
    <col min="7688" max="7689" width="9.140625" style="74" customWidth="1"/>
    <col min="7690" max="7690" width="14.7109375" style="74" customWidth="1"/>
    <col min="7691" max="7691" width="9" style="74" customWidth="1"/>
    <col min="7692" max="7692" width="5.28515625" style="74" customWidth="1"/>
    <col min="7693" max="7693" width="10.28515625" style="74" customWidth="1"/>
    <col min="7694" max="7694" width="9.140625" style="74" customWidth="1"/>
    <col min="7695" max="7695" width="5.85546875" style="74" customWidth="1"/>
    <col min="7696" max="7937" width="9.140625" style="74" customWidth="1"/>
    <col min="7938" max="7938" width="5.85546875" style="74" customWidth="1"/>
    <col min="7939" max="7939" width="9.140625" style="74" customWidth="1"/>
    <col min="7940" max="7940" width="9.5703125" style="74" bestFit="1" customWidth="1"/>
    <col min="7941" max="7941" width="9.140625" style="74" customWidth="1"/>
    <col min="7942" max="7943" width="10.42578125" style="74" customWidth="1"/>
    <col min="7944" max="7945" width="9.140625" style="74" customWidth="1"/>
    <col min="7946" max="7946" width="14.7109375" style="74" customWidth="1"/>
    <col min="7947" max="7947" width="9" style="74" customWidth="1"/>
    <col min="7948" max="7948" width="5.28515625" style="74" customWidth="1"/>
    <col min="7949" max="7949" width="10.28515625" style="74" customWidth="1"/>
    <col min="7950" max="7950" width="9.140625" style="74" customWidth="1"/>
    <col min="7951" max="7951" width="5.85546875" style="74" customWidth="1"/>
    <col min="7952" max="8193" width="9.140625" style="74" customWidth="1"/>
    <col min="8194" max="8194" width="5.85546875" style="74" customWidth="1"/>
    <col min="8195" max="8195" width="9.140625" style="74" customWidth="1"/>
    <col min="8196" max="8196" width="9.5703125" style="74" bestFit="1" customWidth="1"/>
    <col min="8197" max="8197" width="9.140625" style="74" customWidth="1"/>
    <col min="8198" max="8199" width="10.42578125" style="74" customWidth="1"/>
    <col min="8200" max="8201" width="9.140625" style="74" customWidth="1"/>
    <col min="8202" max="8202" width="14.7109375" style="74" customWidth="1"/>
    <col min="8203" max="8203" width="9" style="74" customWidth="1"/>
    <col min="8204" max="8204" width="5.28515625" style="74" customWidth="1"/>
    <col min="8205" max="8205" width="10.28515625" style="74" customWidth="1"/>
    <col min="8206" max="8206" width="9.140625" style="74" customWidth="1"/>
    <col min="8207" max="8207" width="5.85546875" style="74" customWidth="1"/>
    <col min="8208" max="8449" width="9.140625" style="74" customWidth="1"/>
    <col min="8450" max="8450" width="5.85546875" style="74" customWidth="1"/>
    <col min="8451" max="8451" width="9.140625" style="74" customWidth="1"/>
    <col min="8452" max="8452" width="9.5703125" style="74" bestFit="1" customWidth="1"/>
    <col min="8453" max="8453" width="9.140625" style="74" customWidth="1"/>
    <col min="8454" max="8455" width="10.42578125" style="74" customWidth="1"/>
    <col min="8456" max="8457" width="9.140625" style="74" customWidth="1"/>
    <col min="8458" max="8458" width="14.7109375" style="74" customWidth="1"/>
    <col min="8459" max="8459" width="9" style="74" customWidth="1"/>
    <col min="8460" max="8460" width="5.28515625" style="74" customWidth="1"/>
    <col min="8461" max="8461" width="10.28515625" style="74" customWidth="1"/>
    <col min="8462" max="8462" width="9.140625" style="74" customWidth="1"/>
    <col min="8463" max="8463" width="5.85546875" style="74" customWidth="1"/>
    <col min="8464" max="8705" width="9.140625" style="74" customWidth="1"/>
    <col min="8706" max="8706" width="5.85546875" style="74" customWidth="1"/>
    <col min="8707" max="8707" width="9.140625" style="74" customWidth="1"/>
    <col min="8708" max="8708" width="9.5703125" style="74" bestFit="1" customWidth="1"/>
    <col min="8709" max="8709" width="9.140625" style="74" customWidth="1"/>
    <col min="8710" max="8711" width="10.42578125" style="74" customWidth="1"/>
    <col min="8712" max="8713" width="9.140625" style="74" customWidth="1"/>
    <col min="8714" max="8714" width="14.7109375" style="74" customWidth="1"/>
    <col min="8715" max="8715" width="9" style="74" customWidth="1"/>
    <col min="8716" max="8716" width="5.28515625" style="74" customWidth="1"/>
    <col min="8717" max="8717" width="10.28515625" style="74" customWidth="1"/>
    <col min="8718" max="8718" width="9.140625" style="74" customWidth="1"/>
    <col min="8719" max="8719" width="5.85546875" style="74" customWidth="1"/>
    <col min="8720" max="8961" width="9.140625" style="74" customWidth="1"/>
    <col min="8962" max="8962" width="5.85546875" style="74" customWidth="1"/>
    <col min="8963" max="8963" width="9.140625" style="74" customWidth="1"/>
    <col min="8964" max="8964" width="9.5703125" style="74" bestFit="1" customWidth="1"/>
    <col min="8965" max="8965" width="9.140625" style="74" customWidth="1"/>
    <col min="8966" max="8967" width="10.42578125" style="74" customWidth="1"/>
    <col min="8968" max="8969" width="9.140625" style="74" customWidth="1"/>
    <col min="8970" max="8970" width="14.7109375" style="74" customWidth="1"/>
    <col min="8971" max="8971" width="9" style="74" customWidth="1"/>
    <col min="8972" max="8972" width="5.28515625" style="74" customWidth="1"/>
    <col min="8973" max="8973" width="10.28515625" style="74" customWidth="1"/>
    <col min="8974" max="8974" width="9.140625" style="74" customWidth="1"/>
    <col min="8975" max="8975" width="5.85546875" style="74" customWidth="1"/>
    <col min="8976" max="9217" width="9.140625" style="74" customWidth="1"/>
    <col min="9218" max="9218" width="5.85546875" style="74" customWidth="1"/>
    <col min="9219" max="9219" width="9.140625" style="74" customWidth="1"/>
    <col min="9220" max="9220" width="9.5703125" style="74" bestFit="1" customWidth="1"/>
    <col min="9221" max="9221" width="9.140625" style="74" customWidth="1"/>
    <col min="9222" max="9223" width="10.42578125" style="74" customWidth="1"/>
    <col min="9224" max="9225" width="9.140625" style="74" customWidth="1"/>
    <col min="9226" max="9226" width="14.7109375" style="74" customWidth="1"/>
    <col min="9227" max="9227" width="9" style="74" customWidth="1"/>
    <col min="9228" max="9228" width="5.28515625" style="74" customWidth="1"/>
    <col min="9229" max="9229" width="10.28515625" style="74" customWidth="1"/>
    <col min="9230" max="9230" width="9.140625" style="74" customWidth="1"/>
    <col min="9231" max="9231" width="5.85546875" style="74" customWidth="1"/>
    <col min="9232" max="9473" width="9.140625" style="74" customWidth="1"/>
    <col min="9474" max="9474" width="5.85546875" style="74" customWidth="1"/>
    <col min="9475" max="9475" width="9.140625" style="74" customWidth="1"/>
    <col min="9476" max="9476" width="9.5703125" style="74" bestFit="1" customWidth="1"/>
    <col min="9477" max="9477" width="9.140625" style="74" customWidth="1"/>
    <col min="9478" max="9479" width="10.42578125" style="74" customWidth="1"/>
    <col min="9480" max="9481" width="9.140625" style="74" customWidth="1"/>
    <col min="9482" max="9482" width="14.7109375" style="74" customWidth="1"/>
    <col min="9483" max="9483" width="9" style="74" customWidth="1"/>
    <col min="9484" max="9484" width="5.28515625" style="74" customWidth="1"/>
    <col min="9485" max="9485" width="10.28515625" style="74" customWidth="1"/>
    <col min="9486" max="9486" width="9.140625" style="74" customWidth="1"/>
    <col min="9487" max="9487" width="5.85546875" style="74" customWidth="1"/>
    <col min="9488" max="9729" width="9.140625" style="74" customWidth="1"/>
    <col min="9730" max="9730" width="5.85546875" style="74" customWidth="1"/>
    <col min="9731" max="9731" width="9.140625" style="74" customWidth="1"/>
    <col min="9732" max="9732" width="9.5703125" style="74" bestFit="1" customWidth="1"/>
    <col min="9733" max="9733" width="9.140625" style="74" customWidth="1"/>
    <col min="9734" max="9735" width="10.42578125" style="74" customWidth="1"/>
    <col min="9736" max="9737" width="9.140625" style="74" customWidth="1"/>
    <col min="9738" max="9738" width="14.7109375" style="74" customWidth="1"/>
    <col min="9739" max="9739" width="9" style="74" customWidth="1"/>
    <col min="9740" max="9740" width="5.28515625" style="74" customWidth="1"/>
    <col min="9741" max="9741" width="10.28515625" style="74" customWidth="1"/>
    <col min="9742" max="9742" width="9.140625" style="74" customWidth="1"/>
    <col min="9743" max="9743" width="5.85546875" style="74" customWidth="1"/>
    <col min="9744" max="9985" width="9.140625" style="74" customWidth="1"/>
    <col min="9986" max="9986" width="5.85546875" style="74" customWidth="1"/>
    <col min="9987" max="9987" width="9.140625" style="74" customWidth="1"/>
    <col min="9988" max="9988" width="9.5703125" style="74" bestFit="1" customWidth="1"/>
    <col min="9989" max="9989" width="9.140625" style="74" customWidth="1"/>
    <col min="9990" max="9991" width="10.42578125" style="74" customWidth="1"/>
    <col min="9992" max="9993" width="9.140625" style="74" customWidth="1"/>
    <col min="9994" max="9994" width="14.7109375" style="74" customWidth="1"/>
    <col min="9995" max="9995" width="9" style="74" customWidth="1"/>
    <col min="9996" max="9996" width="5.28515625" style="74" customWidth="1"/>
    <col min="9997" max="9997" width="10.28515625" style="74" customWidth="1"/>
    <col min="9998" max="9998" width="9.140625" style="74" customWidth="1"/>
    <col min="9999" max="9999" width="5.85546875" style="74" customWidth="1"/>
    <col min="10000" max="10241" width="9.140625" style="74" customWidth="1"/>
    <col min="10242" max="10242" width="5.85546875" style="74" customWidth="1"/>
    <col min="10243" max="10243" width="9.140625" style="74" customWidth="1"/>
    <col min="10244" max="10244" width="9.5703125" style="74" bestFit="1" customWidth="1"/>
    <col min="10245" max="10245" width="9.140625" style="74" customWidth="1"/>
    <col min="10246" max="10247" width="10.42578125" style="74" customWidth="1"/>
    <col min="10248" max="10249" width="9.140625" style="74" customWidth="1"/>
    <col min="10250" max="10250" width="14.7109375" style="74" customWidth="1"/>
    <col min="10251" max="10251" width="9" style="74" customWidth="1"/>
    <col min="10252" max="10252" width="5.28515625" style="74" customWidth="1"/>
    <col min="10253" max="10253" width="10.28515625" style="74" customWidth="1"/>
    <col min="10254" max="10254" width="9.140625" style="74" customWidth="1"/>
    <col min="10255" max="10255" width="5.85546875" style="74" customWidth="1"/>
    <col min="10256" max="10497" width="9.140625" style="74" customWidth="1"/>
    <col min="10498" max="10498" width="5.85546875" style="74" customWidth="1"/>
    <col min="10499" max="10499" width="9.140625" style="74" customWidth="1"/>
    <col min="10500" max="10500" width="9.5703125" style="74" bestFit="1" customWidth="1"/>
    <col min="10501" max="10501" width="9.140625" style="74" customWidth="1"/>
    <col min="10502" max="10503" width="10.42578125" style="74" customWidth="1"/>
    <col min="10504" max="10505" width="9.140625" style="74" customWidth="1"/>
    <col min="10506" max="10506" width="14.7109375" style="74" customWidth="1"/>
    <col min="10507" max="10507" width="9" style="74" customWidth="1"/>
    <col min="10508" max="10508" width="5.28515625" style="74" customWidth="1"/>
    <col min="10509" max="10509" width="10.28515625" style="74" customWidth="1"/>
    <col min="10510" max="10510" width="9.140625" style="74" customWidth="1"/>
    <col min="10511" max="10511" width="5.85546875" style="74" customWidth="1"/>
    <col min="10512" max="10753" width="9.140625" style="74" customWidth="1"/>
    <col min="10754" max="10754" width="5.85546875" style="74" customWidth="1"/>
    <col min="10755" max="10755" width="9.140625" style="74" customWidth="1"/>
    <col min="10756" max="10756" width="9.5703125" style="74" bestFit="1" customWidth="1"/>
    <col min="10757" max="10757" width="9.140625" style="74" customWidth="1"/>
    <col min="10758" max="10759" width="10.42578125" style="74" customWidth="1"/>
    <col min="10760" max="10761" width="9.140625" style="74" customWidth="1"/>
    <col min="10762" max="10762" width="14.7109375" style="74" customWidth="1"/>
    <col min="10763" max="10763" width="9" style="74" customWidth="1"/>
    <col min="10764" max="10764" width="5.28515625" style="74" customWidth="1"/>
    <col min="10765" max="10765" width="10.28515625" style="74" customWidth="1"/>
    <col min="10766" max="10766" width="9.140625" style="74" customWidth="1"/>
    <col min="10767" max="10767" width="5.85546875" style="74" customWidth="1"/>
    <col min="10768" max="11009" width="9.140625" style="74" customWidth="1"/>
    <col min="11010" max="11010" width="5.85546875" style="74" customWidth="1"/>
    <col min="11011" max="11011" width="9.140625" style="74" customWidth="1"/>
    <col min="11012" max="11012" width="9.5703125" style="74" bestFit="1" customWidth="1"/>
    <col min="11013" max="11013" width="9.140625" style="74" customWidth="1"/>
    <col min="11014" max="11015" width="10.42578125" style="74" customWidth="1"/>
    <col min="11016" max="11017" width="9.140625" style="74" customWidth="1"/>
    <col min="11018" max="11018" width="14.7109375" style="74" customWidth="1"/>
    <col min="11019" max="11019" width="9" style="74" customWidth="1"/>
    <col min="11020" max="11020" width="5.28515625" style="74" customWidth="1"/>
    <col min="11021" max="11021" width="10.28515625" style="74" customWidth="1"/>
    <col min="11022" max="11022" width="9.140625" style="74" customWidth="1"/>
    <col min="11023" max="11023" width="5.85546875" style="74" customWidth="1"/>
    <col min="11024" max="11265" width="9.140625" style="74" customWidth="1"/>
    <col min="11266" max="11266" width="5.85546875" style="74" customWidth="1"/>
    <col min="11267" max="11267" width="9.140625" style="74" customWidth="1"/>
    <col min="11268" max="11268" width="9.5703125" style="74" bestFit="1" customWidth="1"/>
    <col min="11269" max="11269" width="9.140625" style="74" customWidth="1"/>
    <col min="11270" max="11271" width="10.42578125" style="74" customWidth="1"/>
    <col min="11272" max="11273" width="9.140625" style="74" customWidth="1"/>
    <col min="11274" max="11274" width="14.7109375" style="74" customWidth="1"/>
    <col min="11275" max="11275" width="9" style="74" customWidth="1"/>
    <col min="11276" max="11276" width="5.28515625" style="74" customWidth="1"/>
    <col min="11277" max="11277" width="10.28515625" style="74" customWidth="1"/>
    <col min="11278" max="11278" width="9.140625" style="74" customWidth="1"/>
    <col min="11279" max="11279" width="5.85546875" style="74" customWidth="1"/>
    <col min="11280" max="11521" width="9.140625" style="74" customWidth="1"/>
    <col min="11522" max="11522" width="5.85546875" style="74" customWidth="1"/>
    <col min="11523" max="11523" width="9.140625" style="74" customWidth="1"/>
    <col min="11524" max="11524" width="9.5703125" style="74" bestFit="1" customWidth="1"/>
    <col min="11525" max="11525" width="9.140625" style="74" customWidth="1"/>
    <col min="11526" max="11527" width="10.42578125" style="74" customWidth="1"/>
    <col min="11528" max="11529" width="9.140625" style="74" customWidth="1"/>
    <col min="11530" max="11530" width="14.7109375" style="74" customWidth="1"/>
    <col min="11531" max="11531" width="9" style="74" customWidth="1"/>
    <col min="11532" max="11532" width="5.28515625" style="74" customWidth="1"/>
    <col min="11533" max="11533" width="10.28515625" style="74" customWidth="1"/>
    <col min="11534" max="11534" width="9.140625" style="74" customWidth="1"/>
    <col min="11535" max="11535" width="5.85546875" style="74" customWidth="1"/>
    <col min="11536" max="11777" width="9.140625" style="74" customWidth="1"/>
    <col min="11778" max="11778" width="5.85546875" style="74" customWidth="1"/>
    <col min="11779" max="11779" width="9.140625" style="74" customWidth="1"/>
    <col min="11780" max="11780" width="9.5703125" style="74" bestFit="1" customWidth="1"/>
    <col min="11781" max="11781" width="9.140625" style="74" customWidth="1"/>
    <col min="11782" max="11783" width="10.42578125" style="74" customWidth="1"/>
    <col min="11784" max="11785" width="9.140625" style="74" customWidth="1"/>
    <col min="11786" max="11786" width="14.7109375" style="74" customWidth="1"/>
    <col min="11787" max="11787" width="9" style="74" customWidth="1"/>
    <col min="11788" max="11788" width="5.28515625" style="74" customWidth="1"/>
    <col min="11789" max="11789" width="10.28515625" style="74" customWidth="1"/>
    <col min="11790" max="11790" width="9.140625" style="74" customWidth="1"/>
    <col min="11791" max="11791" width="5.85546875" style="74" customWidth="1"/>
    <col min="11792" max="12033" width="9.140625" style="74" customWidth="1"/>
    <col min="12034" max="12034" width="5.85546875" style="74" customWidth="1"/>
    <col min="12035" max="12035" width="9.140625" style="74" customWidth="1"/>
    <col min="12036" max="12036" width="9.5703125" style="74" bestFit="1" customWidth="1"/>
    <col min="12037" max="12037" width="9.140625" style="74" customWidth="1"/>
    <col min="12038" max="12039" width="10.42578125" style="74" customWidth="1"/>
    <col min="12040" max="12041" width="9.140625" style="74" customWidth="1"/>
    <col min="12042" max="12042" width="14.7109375" style="74" customWidth="1"/>
    <col min="12043" max="12043" width="9" style="74" customWidth="1"/>
    <col min="12044" max="12044" width="5.28515625" style="74" customWidth="1"/>
    <col min="12045" max="12045" width="10.28515625" style="74" customWidth="1"/>
    <col min="12046" max="12046" width="9.140625" style="74" customWidth="1"/>
    <col min="12047" max="12047" width="5.85546875" style="74" customWidth="1"/>
    <col min="12048" max="12289" width="9.140625" style="74" customWidth="1"/>
    <col min="12290" max="12290" width="5.85546875" style="74" customWidth="1"/>
    <col min="12291" max="12291" width="9.140625" style="74" customWidth="1"/>
    <col min="12292" max="12292" width="9.5703125" style="74" bestFit="1" customWidth="1"/>
    <col min="12293" max="12293" width="9.140625" style="74" customWidth="1"/>
    <col min="12294" max="12295" width="10.42578125" style="74" customWidth="1"/>
    <col min="12296" max="12297" width="9.140625" style="74" customWidth="1"/>
    <col min="12298" max="12298" width="14.7109375" style="74" customWidth="1"/>
    <col min="12299" max="12299" width="9" style="74" customWidth="1"/>
    <col min="12300" max="12300" width="5.28515625" style="74" customWidth="1"/>
    <col min="12301" max="12301" width="10.28515625" style="74" customWidth="1"/>
    <col min="12302" max="12302" width="9.140625" style="74" customWidth="1"/>
    <col min="12303" max="12303" width="5.85546875" style="74" customWidth="1"/>
    <col min="12304" max="12545" width="9.140625" style="74" customWidth="1"/>
    <col min="12546" max="12546" width="5.85546875" style="74" customWidth="1"/>
    <col min="12547" max="12547" width="9.140625" style="74" customWidth="1"/>
    <col min="12548" max="12548" width="9.5703125" style="74" bestFit="1" customWidth="1"/>
    <col min="12549" max="12549" width="9.140625" style="74" customWidth="1"/>
    <col min="12550" max="12551" width="10.42578125" style="74" customWidth="1"/>
    <col min="12552" max="12553" width="9.140625" style="74" customWidth="1"/>
    <col min="12554" max="12554" width="14.7109375" style="74" customWidth="1"/>
    <col min="12555" max="12555" width="9" style="74" customWidth="1"/>
    <col min="12556" max="12556" width="5.28515625" style="74" customWidth="1"/>
    <col min="12557" max="12557" width="10.28515625" style="74" customWidth="1"/>
    <col min="12558" max="12558" width="9.140625" style="74" customWidth="1"/>
    <col min="12559" max="12559" width="5.85546875" style="74" customWidth="1"/>
    <col min="12560" max="12801" width="9.140625" style="74" customWidth="1"/>
    <col min="12802" max="12802" width="5.85546875" style="74" customWidth="1"/>
    <col min="12803" max="12803" width="9.140625" style="74" customWidth="1"/>
    <col min="12804" max="12804" width="9.5703125" style="74" bestFit="1" customWidth="1"/>
    <col min="12805" max="12805" width="9.140625" style="74" customWidth="1"/>
    <col min="12806" max="12807" width="10.42578125" style="74" customWidth="1"/>
    <col min="12808" max="12809" width="9.140625" style="74" customWidth="1"/>
    <col min="12810" max="12810" width="14.7109375" style="74" customWidth="1"/>
    <col min="12811" max="12811" width="9" style="74" customWidth="1"/>
    <col min="12812" max="12812" width="5.28515625" style="74" customWidth="1"/>
    <col min="12813" max="12813" width="10.28515625" style="74" customWidth="1"/>
    <col min="12814" max="12814" width="9.140625" style="74" customWidth="1"/>
    <col min="12815" max="12815" width="5.85546875" style="74" customWidth="1"/>
    <col min="12816" max="13057" width="9.140625" style="74" customWidth="1"/>
    <col min="13058" max="13058" width="5.85546875" style="74" customWidth="1"/>
    <col min="13059" max="13059" width="9.140625" style="74" customWidth="1"/>
    <col min="13060" max="13060" width="9.5703125" style="74" bestFit="1" customWidth="1"/>
    <col min="13061" max="13061" width="9.140625" style="74" customWidth="1"/>
    <col min="13062" max="13063" width="10.42578125" style="74" customWidth="1"/>
    <col min="13064" max="13065" width="9.140625" style="74" customWidth="1"/>
    <col min="13066" max="13066" width="14.7109375" style="74" customWidth="1"/>
    <col min="13067" max="13067" width="9" style="74" customWidth="1"/>
    <col min="13068" max="13068" width="5.28515625" style="74" customWidth="1"/>
    <col min="13069" max="13069" width="10.28515625" style="74" customWidth="1"/>
    <col min="13070" max="13070" width="9.140625" style="74" customWidth="1"/>
    <col min="13071" max="13071" width="5.85546875" style="74" customWidth="1"/>
    <col min="13072" max="13313" width="9.140625" style="74" customWidth="1"/>
    <col min="13314" max="13314" width="5.85546875" style="74" customWidth="1"/>
    <col min="13315" max="13315" width="9.140625" style="74" customWidth="1"/>
    <col min="13316" max="13316" width="9.5703125" style="74" bestFit="1" customWidth="1"/>
    <col min="13317" max="13317" width="9.140625" style="74" customWidth="1"/>
    <col min="13318" max="13319" width="10.42578125" style="74" customWidth="1"/>
    <col min="13320" max="13321" width="9.140625" style="74" customWidth="1"/>
    <col min="13322" max="13322" width="14.7109375" style="74" customWidth="1"/>
    <col min="13323" max="13323" width="9" style="74" customWidth="1"/>
    <col min="13324" max="13324" width="5.28515625" style="74" customWidth="1"/>
    <col min="13325" max="13325" width="10.28515625" style="74" customWidth="1"/>
    <col min="13326" max="13326" width="9.140625" style="74" customWidth="1"/>
    <col min="13327" max="13327" width="5.85546875" style="74" customWidth="1"/>
    <col min="13328" max="13569" width="9.140625" style="74" customWidth="1"/>
    <col min="13570" max="13570" width="5.85546875" style="74" customWidth="1"/>
    <col min="13571" max="13571" width="9.140625" style="74" customWidth="1"/>
    <col min="13572" max="13572" width="9.5703125" style="74" bestFit="1" customWidth="1"/>
    <col min="13573" max="13573" width="9.140625" style="74" customWidth="1"/>
    <col min="13574" max="13575" width="10.42578125" style="74" customWidth="1"/>
    <col min="13576" max="13577" width="9.140625" style="74" customWidth="1"/>
    <col min="13578" max="13578" width="14.7109375" style="74" customWidth="1"/>
    <col min="13579" max="13579" width="9" style="74" customWidth="1"/>
    <col min="13580" max="13580" width="5.28515625" style="74" customWidth="1"/>
    <col min="13581" max="13581" width="10.28515625" style="74" customWidth="1"/>
    <col min="13582" max="13582" width="9.140625" style="74" customWidth="1"/>
    <col min="13583" max="13583" width="5.85546875" style="74" customWidth="1"/>
    <col min="13584" max="13825" width="9.140625" style="74" customWidth="1"/>
    <col min="13826" max="13826" width="5.85546875" style="74" customWidth="1"/>
    <col min="13827" max="13827" width="9.140625" style="74" customWidth="1"/>
    <col min="13828" max="13828" width="9.5703125" style="74" bestFit="1" customWidth="1"/>
    <col min="13829" max="13829" width="9.140625" style="74" customWidth="1"/>
    <col min="13830" max="13831" width="10.42578125" style="74" customWidth="1"/>
    <col min="13832" max="13833" width="9.140625" style="74" customWidth="1"/>
    <col min="13834" max="13834" width="14.7109375" style="74" customWidth="1"/>
    <col min="13835" max="13835" width="9" style="74" customWidth="1"/>
    <col min="13836" max="13836" width="5.28515625" style="74" customWidth="1"/>
    <col min="13837" max="13837" width="10.28515625" style="74" customWidth="1"/>
    <col min="13838" max="13838" width="9.140625" style="74" customWidth="1"/>
    <col min="13839" max="13839" width="5.85546875" style="74" customWidth="1"/>
    <col min="13840" max="14081" width="9.140625" style="74" customWidth="1"/>
    <col min="14082" max="14082" width="5.85546875" style="74" customWidth="1"/>
    <col min="14083" max="14083" width="9.140625" style="74" customWidth="1"/>
    <col min="14084" max="14084" width="9.5703125" style="74" bestFit="1" customWidth="1"/>
    <col min="14085" max="14085" width="9.140625" style="74" customWidth="1"/>
    <col min="14086" max="14087" width="10.42578125" style="74" customWidth="1"/>
    <col min="14088" max="14089" width="9.140625" style="74" customWidth="1"/>
    <col min="14090" max="14090" width="14.7109375" style="74" customWidth="1"/>
    <col min="14091" max="14091" width="9" style="74" customWidth="1"/>
    <col min="14092" max="14092" width="5.28515625" style="74" customWidth="1"/>
    <col min="14093" max="14093" width="10.28515625" style="74" customWidth="1"/>
    <col min="14094" max="14094" width="9.140625" style="74" customWidth="1"/>
    <col min="14095" max="14095" width="5.85546875" style="74" customWidth="1"/>
    <col min="14096" max="14337" width="9.140625" style="74" customWidth="1"/>
    <col min="14338" max="14338" width="5.85546875" style="74" customWidth="1"/>
    <col min="14339" max="14339" width="9.140625" style="74" customWidth="1"/>
    <col min="14340" max="14340" width="9.5703125" style="74" bestFit="1" customWidth="1"/>
    <col min="14341" max="14341" width="9.140625" style="74" customWidth="1"/>
    <col min="14342" max="14343" width="10.42578125" style="74" customWidth="1"/>
    <col min="14344" max="14345" width="9.140625" style="74" customWidth="1"/>
    <col min="14346" max="14346" width="14.7109375" style="74" customWidth="1"/>
    <col min="14347" max="14347" width="9" style="74" customWidth="1"/>
    <col min="14348" max="14348" width="5.28515625" style="74" customWidth="1"/>
    <col min="14349" max="14349" width="10.28515625" style="74" customWidth="1"/>
    <col min="14350" max="14350" width="9.140625" style="74" customWidth="1"/>
    <col min="14351" max="14351" width="5.85546875" style="74" customWidth="1"/>
    <col min="14352" max="14593" width="9.140625" style="74" customWidth="1"/>
    <col min="14594" max="14594" width="5.85546875" style="74" customWidth="1"/>
    <col min="14595" max="14595" width="9.140625" style="74" customWidth="1"/>
    <col min="14596" max="14596" width="9.5703125" style="74" bestFit="1" customWidth="1"/>
    <col min="14597" max="14597" width="9.140625" style="74" customWidth="1"/>
    <col min="14598" max="14599" width="10.42578125" style="74" customWidth="1"/>
    <col min="14600" max="14601" width="9.140625" style="74" customWidth="1"/>
    <col min="14602" max="14602" width="14.7109375" style="74" customWidth="1"/>
    <col min="14603" max="14603" width="9" style="74" customWidth="1"/>
    <col min="14604" max="14604" width="5.28515625" style="74" customWidth="1"/>
    <col min="14605" max="14605" width="10.28515625" style="74" customWidth="1"/>
    <col min="14606" max="14606" width="9.140625" style="74" customWidth="1"/>
    <col min="14607" max="14607" width="5.85546875" style="74" customWidth="1"/>
    <col min="14608" max="14849" width="9.140625" style="74" customWidth="1"/>
    <col min="14850" max="14850" width="5.85546875" style="74" customWidth="1"/>
    <col min="14851" max="14851" width="9.140625" style="74" customWidth="1"/>
    <col min="14852" max="14852" width="9.5703125" style="74" bestFit="1" customWidth="1"/>
    <col min="14853" max="14853" width="9.140625" style="74" customWidth="1"/>
    <col min="14854" max="14855" width="10.42578125" style="74" customWidth="1"/>
    <col min="14856" max="14857" width="9.140625" style="74" customWidth="1"/>
    <col min="14858" max="14858" width="14.7109375" style="74" customWidth="1"/>
    <col min="14859" max="14859" width="9" style="74" customWidth="1"/>
    <col min="14860" max="14860" width="5.28515625" style="74" customWidth="1"/>
    <col min="14861" max="14861" width="10.28515625" style="74" customWidth="1"/>
    <col min="14862" max="14862" width="9.140625" style="74" customWidth="1"/>
    <col min="14863" max="14863" width="5.85546875" style="74" customWidth="1"/>
    <col min="14864" max="15105" width="9.140625" style="74" customWidth="1"/>
    <col min="15106" max="15106" width="5.85546875" style="74" customWidth="1"/>
    <col min="15107" max="15107" width="9.140625" style="74" customWidth="1"/>
    <col min="15108" max="15108" width="9.5703125" style="74" bestFit="1" customWidth="1"/>
    <col min="15109" max="15109" width="9.140625" style="74" customWidth="1"/>
    <col min="15110" max="15111" width="10.42578125" style="74" customWidth="1"/>
    <col min="15112" max="15113" width="9.140625" style="74" customWidth="1"/>
    <col min="15114" max="15114" width="14.7109375" style="74" customWidth="1"/>
    <col min="15115" max="15115" width="9" style="74" customWidth="1"/>
    <col min="15116" max="15116" width="5.28515625" style="74" customWidth="1"/>
    <col min="15117" max="15117" width="10.28515625" style="74" customWidth="1"/>
    <col min="15118" max="15118" width="9.140625" style="74" customWidth="1"/>
    <col min="15119" max="15119" width="5.85546875" style="74" customWidth="1"/>
    <col min="15120" max="15361" width="9.140625" style="74" customWidth="1"/>
    <col min="15362" max="15362" width="5.85546875" style="74" customWidth="1"/>
    <col min="15363" max="15363" width="9.140625" style="74" customWidth="1"/>
    <col min="15364" max="15364" width="9.5703125" style="74" bestFit="1" customWidth="1"/>
    <col min="15365" max="15365" width="9.140625" style="74" customWidth="1"/>
    <col min="15366" max="15367" width="10.42578125" style="74" customWidth="1"/>
    <col min="15368" max="15369" width="9.140625" style="74" customWidth="1"/>
    <col min="15370" max="15370" width="14.7109375" style="74" customWidth="1"/>
    <col min="15371" max="15371" width="9" style="74" customWidth="1"/>
    <col min="15372" max="15372" width="5.28515625" style="74" customWidth="1"/>
    <col min="15373" max="15373" width="10.28515625" style="74" customWidth="1"/>
    <col min="15374" max="15374" width="9.140625" style="74" customWidth="1"/>
    <col min="15375" max="15375" width="5.85546875" style="74" customWidth="1"/>
    <col min="15376" max="15617" width="9.140625" style="74" customWidth="1"/>
    <col min="15618" max="15618" width="5.85546875" style="74" customWidth="1"/>
    <col min="15619" max="15619" width="9.140625" style="74" customWidth="1"/>
    <col min="15620" max="15620" width="9.5703125" style="74" bestFit="1" customWidth="1"/>
    <col min="15621" max="15621" width="9.140625" style="74" customWidth="1"/>
    <col min="15622" max="15623" width="10.42578125" style="74" customWidth="1"/>
    <col min="15624" max="15625" width="9.140625" style="74" customWidth="1"/>
    <col min="15626" max="15626" width="14.7109375" style="74" customWidth="1"/>
    <col min="15627" max="15627" width="9" style="74" customWidth="1"/>
    <col min="15628" max="15628" width="5.28515625" style="74" customWidth="1"/>
    <col min="15629" max="15629" width="10.28515625" style="74" customWidth="1"/>
    <col min="15630" max="15630" width="9.140625" style="74" customWidth="1"/>
    <col min="15631" max="15631" width="5.85546875" style="74" customWidth="1"/>
    <col min="15632" max="15873" width="9.140625" style="74" customWidth="1"/>
    <col min="15874" max="15874" width="5.85546875" style="74" customWidth="1"/>
    <col min="15875" max="15875" width="9.140625" style="74" customWidth="1"/>
    <col min="15876" max="15876" width="9.5703125" style="74" bestFit="1" customWidth="1"/>
    <col min="15877" max="15877" width="9.140625" style="74" customWidth="1"/>
    <col min="15878" max="15879" width="10.42578125" style="74" customWidth="1"/>
    <col min="15880" max="15881" width="9.140625" style="74" customWidth="1"/>
    <col min="15882" max="15882" width="14.7109375" style="74" customWidth="1"/>
    <col min="15883" max="15883" width="9" style="74" customWidth="1"/>
    <col min="15884" max="15884" width="5.28515625" style="74" customWidth="1"/>
    <col min="15885" max="15885" width="10.28515625" style="74" customWidth="1"/>
    <col min="15886" max="15886" width="9.140625" style="74" customWidth="1"/>
    <col min="15887" max="15887" width="5.85546875" style="74" customWidth="1"/>
    <col min="15888" max="16129" width="9.140625" style="74" customWidth="1"/>
    <col min="16130" max="16130" width="5.85546875" style="74" customWidth="1"/>
    <col min="16131" max="16131" width="9.140625" style="74" customWidth="1"/>
    <col min="16132" max="16132" width="9.5703125" style="74" bestFit="1" customWidth="1"/>
    <col min="16133" max="16133" width="9.140625" style="74" customWidth="1"/>
    <col min="16134" max="16135" width="10.42578125" style="74" customWidth="1"/>
    <col min="16136" max="16137" width="9.140625" style="74" customWidth="1"/>
    <col min="16138" max="16138" width="14.7109375" style="74" customWidth="1"/>
    <col min="16139" max="16139" width="9" style="74" customWidth="1"/>
    <col min="16140" max="16140" width="5.28515625" style="74" customWidth="1"/>
    <col min="16141" max="16141" width="10.28515625" style="74" customWidth="1"/>
    <col min="16142" max="16142" width="9.140625" style="74" customWidth="1"/>
    <col min="16143" max="16143" width="5.85546875" style="74" customWidth="1"/>
    <col min="16144" max="16384" width="9.140625" style="74" customWidth="1"/>
  </cols>
  <sheetData>
    <row r="1" spans="2:15" ht="13.5" customHeight="1" thickBot="1"/>
    <row r="2" spans="2:1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2:15">
      <c r="B3" s="72"/>
      <c r="C3" s="1001" t="s">
        <v>1132</v>
      </c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73"/>
    </row>
    <row r="4" spans="2:15">
      <c r="B4" s="72"/>
      <c r="E4" s="1012" t="s">
        <v>1115</v>
      </c>
      <c r="F4" s="846"/>
      <c r="G4" s="846"/>
      <c r="H4" s="846"/>
      <c r="I4" s="846"/>
      <c r="J4" s="846"/>
      <c r="K4" s="846"/>
      <c r="L4" s="846"/>
      <c r="O4" s="73"/>
    </row>
    <row r="5" spans="2:15">
      <c r="B5" s="1009" t="s">
        <v>1133</v>
      </c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1008"/>
    </row>
    <row r="6" spans="2:15">
      <c r="B6" s="72"/>
      <c r="D6" s="76"/>
      <c r="F6" s="76"/>
      <c r="H6" s="76"/>
      <c r="O6" s="73"/>
    </row>
    <row r="7" spans="2:15">
      <c r="B7" s="72"/>
      <c r="C7" s="76" t="s">
        <v>1134</v>
      </c>
      <c r="D7" s="137">
        <v>15</v>
      </c>
      <c r="E7" s="77"/>
      <c r="F7" s="78" t="s">
        <v>1117</v>
      </c>
      <c r="G7" s="138">
        <f>'ore di buio'!F5</f>
        <v>0</v>
      </c>
      <c r="H7" s="74" t="s">
        <v>1135</v>
      </c>
      <c r="O7" s="73"/>
    </row>
    <row r="8" spans="2:15">
      <c r="B8" s="72"/>
      <c r="C8" s="76" t="s">
        <v>1136</v>
      </c>
      <c r="D8" s="137">
        <v>12</v>
      </c>
      <c r="F8" s="76" t="s">
        <v>1118</v>
      </c>
      <c r="G8" s="138">
        <f>'ore di buio'!F6</f>
        <v>0</v>
      </c>
      <c r="H8" s="74" t="s">
        <v>1135</v>
      </c>
      <c r="I8" s="79" t="s">
        <v>1119</v>
      </c>
      <c r="J8" s="80" t="s">
        <v>1120</v>
      </c>
      <c r="K8" s="80"/>
      <c r="O8" s="73"/>
    </row>
    <row r="9" spans="2:15">
      <c r="B9" s="72"/>
      <c r="C9" s="76" t="s">
        <v>1137</v>
      </c>
      <c r="D9" s="137">
        <v>2025</v>
      </c>
      <c r="E9" s="81"/>
      <c r="H9" s="81"/>
      <c r="O9" s="73"/>
    </row>
    <row r="10" spans="2:15">
      <c r="B10" s="72"/>
      <c r="C10" s="76"/>
      <c r="D10" s="75"/>
      <c r="E10" s="81"/>
      <c r="F10" s="76"/>
      <c r="G10" s="81"/>
      <c r="H10" s="81"/>
      <c r="J10" s="82" t="s">
        <v>1138</v>
      </c>
      <c r="M10" s="83" t="s">
        <v>1139</v>
      </c>
      <c r="O10" s="73"/>
    </row>
    <row r="11" spans="2:15" ht="14.25" customHeight="1">
      <c r="B11" s="72"/>
      <c r="C11" s="76" t="s">
        <v>1140</v>
      </c>
      <c r="D11" s="137" t="s">
        <v>1141</v>
      </c>
      <c r="E11" s="81"/>
      <c r="F11" s="76" t="s">
        <v>1142</v>
      </c>
      <c r="G11" s="137">
        <v>0</v>
      </c>
      <c r="H11" s="84" t="s">
        <v>1135</v>
      </c>
      <c r="I11" s="75"/>
      <c r="O11" s="73"/>
    </row>
    <row r="12" spans="2:15" ht="14.25" customHeight="1">
      <c r="B12" s="72"/>
      <c r="C12" s="76" t="s">
        <v>1143</v>
      </c>
      <c r="D12" s="138">
        <v>10</v>
      </c>
      <c r="E12" s="85" t="s">
        <v>1144</v>
      </c>
      <c r="F12" s="76" t="s">
        <v>1145</v>
      </c>
      <c r="G12" s="137">
        <v>0</v>
      </c>
      <c r="H12" s="81"/>
      <c r="I12" s="1011" t="s">
        <v>1146</v>
      </c>
      <c r="J12" s="846"/>
      <c r="K12" s="846"/>
      <c r="L12" s="846"/>
      <c r="M12" s="846"/>
      <c r="N12" s="846"/>
      <c r="O12" s="73"/>
    </row>
    <row r="13" spans="2:15">
      <c r="B13" s="72"/>
      <c r="C13" s="76"/>
      <c r="D13" s="86"/>
      <c r="E13" s="81"/>
      <c r="F13" s="76"/>
      <c r="G13" s="81"/>
      <c r="H13" s="81"/>
      <c r="O13" s="73"/>
    </row>
    <row r="14" spans="2:15" hidden="1" outlineLevel="1">
      <c r="B14" s="72"/>
      <c r="C14" s="87">
        <f>IF(D8&gt;2,D9,D9-1)</f>
        <v>2025</v>
      </c>
      <c r="D14" s="88">
        <f>IF(D8&gt;2,D8,D8+12)</f>
        <v>12</v>
      </c>
      <c r="E14" s="88">
        <f>IF((C14+D8/100+D7/10000)&lt;1582.1015,0,2-TRUNC(C14/100)+TRUNC(TRUNC(C14/100)/4))</f>
        <v>-13</v>
      </c>
      <c r="F14" s="1010">
        <f>TRUNC(365.25*(C14+4716))+TRUNC(30.6*(D14+1))+D7+E14-1524.5</f>
        <v>2461024.5</v>
      </c>
      <c r="G14" s="1005"/>
      <c r="H14" s="88">
        <f>TRUNC(F14+1.5)-7*TRUNC((F14+1.5)/7)</f>
        <v>1</v>
      </c>
      <c r="I14" s="1013">
        <f>(F14-2451545)/36525</f>
        <v>0.25953456536618752</v>
      </c>
      <c r="J14" s="1005"/>
      <c r="K14" s="1004">
        <f>2400.051336907*I14+0.000025862*I14^2-0.000000002*I14^3</f>
        <v>622.89628232267796</v>
      </c>
      <c r="L14" s="1005"/>
      <c r="M14" s="89">
        <f>23.439291111-0.013004167*I14-0.000000164*I14^2+0.000000503*I14^3</f>
        <v>23.435916077916296</v>
      </c>
      <c r="O14" s="73"/>
    </row>
    <row r="15" spans="2:15" hidden="1" outlineLevel="1">
      <c r="B15" s="72"/>
      <c r="C15" s="90">
        <f>ACOS((-0.01454-SIN(G7*PI()/180)*SIN(F23*PI()/180))/(COS(G7*PI()/180)*COS(F23*PI()/180)))*180/PI()</f>
        <v>90.906300748061923</v>
      </c>
      <c r="D15" s="91">
        <f>ACOS((SIN(-6*PI()/180)-(SIN(G7*PI()/180)*SIN(F23*PI()/180)))/((COS(G7*PI()/180)*COS(F23*PI()/180))))*180/PI()</f>
        <v>96.529272154031119</v>
      </c>
      <c r="E15" s="91">
        <f>ACOS((SIN(-12*PI()/180)-(SIN(G7*PI()/180)*SIN(F23*PI()/180)))/((COS(G7*PI()/180)*COS(F23*PI()/180))))*180/PI()</f>
        <v>103.07202795612396</v>
      </c>
      <c r="F15" s="91">
        <f>ACOS((SIN(-18*PI()/180)-(SIN(G7*PI()/180)*SIN(F23*PI()/180)))/((COS(G7*PI()/180)*COS(F23*PI()/180))))*180/PI()</f>
        <v>109.6432580385258</v>
      </c>
      <c r="G15" s="92">
        <f>ABS(D15-C15)/15</f>
        <v>0.37486476039794636</v>
      </c>
      <c r="H15" s="92">
        <f>ABS(E15-C15)/15</f>
        <v>0.81104848053746914</v>
      </c>
      <c r="I15" s="92">
        <f>ABS(F15-C15)/15</f>
        <v>1.2491304860309251</v>
      </c>
      <c r="J15" s="93">
        <f>(D12-F38)*15</f>
        <v>-28.782984347559957</v>
      </c>
      <c r="K15" s="1004">
        <f>J22+((J20+G12)*1.00273790935)</f>
        <v>39.621035974177957</v>
      </c>
      <c r="L15" s="1005"/>
      <c r="M15" s="89">
        <f>6.697374558+(K14-(TRUNC(K14/24)*24))</f>
        <v>29.593656880677962</v>
      </c>
      <c r="O15" s="73"/>
    </row>
    <row r="16" spans="2:15" hidden="1" outlineLevel="1">
      <c r="B16" s="72"/>
      <c r="C16" s="90">
        <f>ACOS(-TAN(G7*PI()/180)*TAN(F23*PI()/180))*180/PI()</f>
        <v>90</v>
      </c>
      <c r="D16" s="91">
        <f>ACOS((SIN(-6*PI()/180)-(SIN(G7*PI()/180)*SIN(F23*PI()/180)))/((COS(G7*PI()/180)*COS(F23*PI()/180))))*180/PI()</f>
        <v>96.529272154031119</v>
      </c>
      <c r="E16" s="91">
        <f>ACOS((SIN(-12*PI()/180)-(SIN(G7*PI()/180)*SIN(F23*PI()/180)))/((COS(G7*PI()/180)*COS(F23*PI()/180))))*180/PI()</f>
        <v>103.07202795612396</v>
      </c>
      <c r="F16" s="91">
        <f>ACOS((SIN(-18*PI()/180)-(SIN(G7*PI()/180)*SIN(F23*PI()/180)))/((COS(G7*PI()/180)*COS(F23*PI()/180))))*180/PI()</f>
        <v>109.6432580385258</v>
      </c>
      <c r="G16" s="92">
        <f>ABS(D16-C16)/15</f>
        <v>0.43528481026874127</v>
      </c>
      <c r="H16" s="92">
        <f>ABS(E16-C16)/15</f>
        <v>0.871468530408264</v>
      </c>
      <c r="I16" s="92">
        <f>ABS(F16-C16)/15</f>
        <v>1.3095505359017201</v>
      </c>
      <c r="J16" s="93">
        <f>(D12-F38)*15</f>
        <v>-28.782984347559957</v>
      </c>
      <c r="K16" s="74" t="s">
        <v>1147</v>
      </c>
      <c r="O16" s="73"/>
    </row>
    <row r="17" spans="1:15" collapsed="1">
      <c r="B17" s="72"/>
      <c r="O17" s="73"/>
    </row>
    <row r="18" spans="1:15" ht="14.25" customHeight="1">
      <c r="B18" s="72"/>
      <c r="C18" s="1002" t="s">
        <v>1148</v>
      </c>
      <c r="D18" s="846"/>
      <c r="E18" s="1003"/>
      <c r="F18" s="94">
        <f>IF(D11="si", TRUNC(275*D8/9)-TRUNC((D8+9)/12)+D7-30,TRUNC(275*D8/9)-2*TRUNC((D8+9)/12)+D7-30)</f>
        <v>349</v>
      </c>
      <c r="G18" s="81" t="str">
        <f>IF(D11="si","di anno bisestile","di anno ordinario")</f>
        <v>di anno ordinario</v>
      </c>
      <c r="I18" s="76"/>
      <c r="J18" s="95"/>
      <c r="K18" s="96"/>
      <c r="L18" s="79" t="s">
        <v>1149</v>
      </c>
      <c r="M18" s="79" t="s">
        <v>1150</v>
      </c>
      <c r="N18" s="79" t="s">
        <v>1151</v>
      </c>
      <c r="O18" s="73"/>
    </row>
    <row r="19" spans="1:15" ht="14.25" customHeight="1">
      <c r="B19" s="72"/>
      <c r="C19" s="1002" t="s">
        <v>1152</v>
      </c>
      <c r="D19" s="846"/>
      <c r="E19" s="1003"/>
      <c r="F19" s="94" t="str">
        <f>IF(H14=0,"domenica",IF(H14=1,"lunedì",IF(H14=2,"martedì",IF(H14=3,"mercoledì",IF(H14=4,"giovedì",IF(H14=5,"venerdì",IF(H14=6,"sabato")))))))</f>
        <v>lunedì</v>
      </c>
      <c r="G19" s="81"/>
      <c r="H19" s="81"/>
      <c r="I19" s="76" t="s">
        <v>1153</v>
      </c>
      <c r="J19" s="97">
        <f>D12</f>
        <v>10</v>
      </c>
      <c r="K19" s="96" t="s">
        <v>1154</v>
      </c>
      <c r="L19" s="98">
        <f t="shared" ref="L19:L25" si="0">TRUNC(J19)</f>
        <v>10</v>
      </c>
      <c r="M19" s="98">
        <f t="shared" ref="M19:M25" si="1">TRUNC((J19-L19)*60)</f>
        <v>0</v>
      </c>
      <c r="N19" s="99">
        <f t="shared" ref="N19:N25" si="2">(((J19-L19)*60)-M19)*60</f>
        <v>0</v>
      </c>
      <c r="O19" s="73"/>
    </row>
    <row r="20" spans="1:15" ht="14.25" customHeight="1">
      <c r="B20" s="72"/>
      <c r="C20" s="81"/>
      <c r="D20" s="100"/>
      <c r="E20" s="100"/>
      <c r="F20" s="81"/>
      <c r="G20" s="81"/>
      <c r="H20" s="81"/>
      <c r="I20" s="101" t="s">
        <v>1155</v>
      </c>
      <c r="J20" s="97">
        <f>D12-(F21/15)</f>
        <v>10</v>
      </c>
      <c r="K20" s="96" t="s">
        <v>1154</v>
      </c>
      <c r="L20" s="98">
        <f t="shared" si="0"/>
        <v>10</v>
      </c>
      <c r="M20" s="98">
        <f t="shared" si="1"/>
        <v>0</v>
      </c>
      <c r="N20" s="102">
        <f t="shared" si="2"/>
        <v>0</v>
      </c>
      <c r="O20" s="73"/>
    </row>
    <row r="21" spans="1:15" ht="14.25" customHeight="1">
      <c r="B21" s="72"/>
      <c r="C21" s="1002" t="s">
        <v>1156</v>
      </c>
      <c r="D21" s="846"/>
      <c r="E21" s="1003"/>
      <c r="F21" s="97">
        <f>G8-G11</f>
        <v>0</v>
      </c>
      <c r="G21" s="74" t="s">
        <v>1135</v>
      </c>
      <c r="I21" s="101" t="s">
        <v>1157</v>
      </c>
      <c r="J21" s="97">
        <f>D12+G12</f>
        <v>10</v>
      </c>
      <c r="K21" s="96" t="s">
        <v>1154</v>
      </c>
      <c r="L21" s="98">
        <f t="shared" si="0"/>
        <v>10</v>
      </c>
      <c r="M21" s="98">
        <f t="shared" si="1"/>
        <v>0</v>
      </c>
      <c r="N21" s="102">
        <f t="shared" si="2"/>
        <v>0</v>
      </c>
      <c r="O21" s="73"/>
    </row>
    <row r="22" spans="1:15" ht="15" customHeight="1">
      <c r="B22" s="72"/>
      <c r="I22" s="101" t="s">
        <v>1158</v>
      </c>
      <c r="J22" s="97">
        <f>IF(M15&lt;0,M15+24,M15)</f>
        <v>29.593656880677962</v>
      </c>
      <c r="K22" s="96" t="s">
        <v>1154</v>
      </c>
      <c r="L22" s="98">
        <f t="shared" si="0"/>
        <v>29</v>
      </c>
      <c r="M22" s="98">
        <f t="shared" si="1"/>
        <v>35</v>
      </c>
      <c r="N22" s="102">
        <f t="shared" si="2"/>
        <v>37.164770440662664</v>
      </c>
      <c r="O22" s="73"/>
    </row>
    <row r="23" spans="1:15" ht="14.25" customHeight="1">
      <c r="B23" s="72"/>
      <c r="C23" s="1002" t="s">
        <v>1159</v>
      </c>
      <c r="D23" s="846"/>
      <c r="E23" s="1003"/>
      <c r="F23" s="97">
        <f>0.3838+23.2623*COS(0.01720279*F18-2.965)+0.3552*COS(0.03440558*F18-3.0635)+0.1342*COS(0.05160838*F18-2.5897)+0.0326*COS(0.06881117*F18+0.0511)</f>
        <v>-23.18357268853924</v>
      </c>
      <c r="G23" s="74" t="s">
        <v>1135</v>
      </c>
      <c r="I23" s="101" t="s">
        <v>1160</v>
      </c>
      <c r="J23" s="97">
        <f>IF(K15&gt;24,K15-24,K15)</f>
        <v>15.621035974177957</v>
      </c>
      <c r="K23" s="96" t="s">
        <v>1154</v>
      </c>
      <c r="L23" s="98">
        <f t="shared" si="0"/>
        <v>15</v>
      </c>
      <c r="M23" s="98">
        <f t="shared" si="1"/>
        <v>37</v>
      </c>
      <c r="N23" s="102">
        <f t="shared" si="2"/>
        <v>15.729507040645103</v>
      </c>
      <c r="O23" s="73"/>
    </row>
    <row r="24" spans="1:15" ht="14.25" customHeight="1">
      <c r="B24" s="72"/>
      <c r="I24" s="101" t="s">
        <v>1161</v>
      </c>
      <c r="J24" s="97">
        <f>J23+(G8*4/60)</f>
        <v>15.621035974177957</v>
      </c>
      <c r="K24" s="96" t="s">
        <v>1154</v>
      </c>
      <c r="L24" s="98">
        <f t="shared" si="0"/>
        <v>15</v>
      </c>
      <c r="M24" s="98">
        <f t="shared" si="1"/>
        <v>37</v>
      </c>
      <c r="N24" s="102">
        <f t="shared" si="2"/>
        <v>15.729507040645103</v>
      </c>
      <c r="O24" s="73"/>
    </row>
    <row r="25" spans="1:15" ht="14.25" customHeight="1">
      <c r="B25" s="72"/>
      <c r="C25" s="1002" t="s">
        <v>1162</v>
      </c>
      <c r="D25" s="846"/>
      <c r="E25" s="1003"/>
      <c r="F25" s="103">
        <f>7.367*COS(0.01720279*F18+1.4981)+9.9182*COS(0.03440558*F18+1.9196)+0.306*COS(0.05160838*F18+1.8089)+0.2027*COS(0.06881117*F18+2.2459)</f>
        <v>4.8680626097601438</v>
      </c>
      <c r="G25" s="85" t="s">
        <v>1163</v>
      </c>
      <c r="H25" s="104"/>
      <c r="I25" s="76" t="s">
        <v>1164</v>
      </c>
      <c r="J25" s="105">
        <f>J20-(F25/60)</f>
        <v>9.9188656231706638</v>
      </c>
      <c r="K25" s="96" t="s">
        <v>1154</v>
      </c>
      <c r="L25" s="98">
        <f t="shared" si="0"/>
        <v>9</v>
      </c>
      <c r="M25" s="98">
        <f t="shared" si="1"/>
        <v>55</v>
      </c>
      <c r="N25" s="102">
        <f t="shared" si="2"/>
        <v>7.9162434143896121</v>
      </c>
      <c r="O25" s="73"/>
    </row>
    <row r="26" spans="1:15" ht="14.25" customHeight="1">
      <c r="B26" s="72"/>
      <c r="C26" s="76"/>
      <c r="D26" s="76"/>
      <c r="E26" s="76"/>
      <c r="F26" s="79"/>
      <c r="G26" s="85"/>
      <c r="H26" s="104"/>
      <c r="O26" s="73"/>
    </row>
    <row r="27" spans="1:15">
      <c r="B27" s="72"/>
      <c r="C27" s="1002" t="s">
        <v>1165</v>
      </c>
      <c r="D27" s="846"/>
      <c r="E27" s="846"/>
      <c r="F27" s="1003"/>
      <c r="G27" s="97">
        <f>ASIN((SIN(G7*PI()/180)*SIN(F23*PI()/180))+(COS(G7*PI()/180)*COS(F23*PI()/180)*COS(J15*PI()/180)))*180/PI()</f>
        <v>53.675480919779645</v>
      </c>
      <c r="H27" s="74" t="s">
        <v>1135</v>
      </c>
      <c r="J27" s="106"/>
      <c r="M27" s="106"/>
      <c r="O27" s="73"/>
    </row>
    <row r="28" spans="1:15">
      <c r="B28" s="72"/>
      <c r="C28" s="1002" t="s">
        <v>1166</v>
      </c>
      <c r="D28" s="846"/>
      <c r="E28" s="846"/>
      <c r="F28" s="1003"/>
      <c r="G28" s="97">
        <f>90-G7+F23</f>
        <v>66.816427311460757</v>
      </c>
      <c r="H28" s="74" t="s">
        <v>1135</v>
      </c>
      <c r="M28" s="106"/>
      <c r="O28" s="73"/>
    </row>
    <row r="29" spans="1:15">
      <c r="A29" s="81"/>
      <c r="B29" s="107"/>
      <c r="C29" s="1002" t="s">
        <v>1167</v>
      </c>
      <c r="D29" s="846"/>
      <c r="E29" s="846"/>
      <c r="F29" s="1003"/>
      <c r="G29" s="97">
        <f>90-G7</f>
        <v>90</v>
      </c>
      <c r="H29" s="74" t="s">
        <v>1135</v>
      </c>
      <c r="J29" s="106"/>
      <c r="O29" s="73"/>
    </row>
    <row r="30" spans="1:15">
      <c r="B30" s="72"/>
      <c r="C30" s="1002" t="s">
        <v>1168</v>
      </c>
      <c r="D30" s="846"/>
      <c r="E30" s="846"/>
      <c r="F30" s="1003"/>
      <c r="G30" s="103">
        <f>90-(G7-(-M14))</f>
        <v>66.564083922083711</v>
      </c>
      <c r="H30" s="74" t="s">
        <v>1135</v>
      </c>
      <c r="J30" s="106"/>
      <c r="O30" s="73"/>
    </row>
    <row r="31" spans="1:15">
      <c r="B31" s="72"/>
      <c r="C31" s="1006" t="s">
        <v>1169</v>
      </c>
      <c r="D31" s="846"/>
      <c r="E31" s="846"/>
      <c r="F31" s="846"/>
      <c r="G31" s="103">
        <f>90-(G7-(+M14))</f>
        <v>113.43591607791629</v>
      </c>
      <c r="H31" s="74" t="s">
        <v>1135</v>
      </c>
      <c r="J31" s="106"/>
      <c r="O31" s="73"/>
    </row>
    <row r="32" spans="1:15">
      <c r="B32" s="72"/>
      <c r="C32" s="76"/>
      <c r="D32" s="76"/>
      <c r="E32" s="76"/>
      <c r="F32" s="76"/>
      <c r="O32" s="73"/>
    </row>
    <row r="33" spans="2:16">
      <c r="B33" s="72"/>
      <c r="H33" s="79" t="s">
        <v>1149</v>
      </c>
      <c r="I33" s="79" t="s">
        <v>1150</v>
      </c>
      <c r="J33" s="79" t="s">
        <v>1151</v>
      </c>
      <c r="O33" s="73"/>
    </row>
    <row r="34" spans="2:16" ht="14.25" customHeight="1">
      <c r="B34" s="72"/>
      <c r="C34" s="1002" t="s">
        <v>1170</v>
      </c>
      <c r="D34" s="846"/>
      <c r="E34" s="1003"/>
      <c r="F34" s="97">
        <f>F37-I15</f>
        <v>4.6093150872689437</v>
      </c>
      <c r="G34" s="96" t="s">
        <v>1171</v>
      </c>
      <c r="H34" s="98">
        <f t="shared" ref="H34:H42" si="3">TRUNC(F34)</f>
        <v>4</v>
      </c>
      <c r="I34" s="98">
        <f t="shared" ref="I34:I42" si="4">TRUNC((F34-H34)*60)</f>
        <v>36</v>
      </c>
      <c r="J34" s="99">
        <f t="shared" ref="J34:J42" si="5">(((F34-H34)*60)-I34)*60</f>
        <v>33.534314168197454</v>
      </c>
      <c r="M34" s="108">
        <f>F34+G12</f>
        <v>4.6093150872689437</v>
      </c>
      <c r="N34" s="96" t="s">
        <v>1172</v>
      </c>
      <c r="O34" s="73"/>
    </row>
    <row r="35" spans="2:16" ht="14.25" customHeight="1">
      <c r="B35" s="72"/>
      <c r="C35" s="1002" t="s">
        <v>1173</v>
      </c>
      <c r="D35" s="846"/>
      <c r="E35" s="1003"/>
      <c r="F35" s="97">
        <f>F37-H15</f>
        <v>5.0473970927623997</v>
      </c>
      <c r="G35" s="96" t="s">
        <v>1171</v>
      </c>
      <c r="H35" s="98">
        <f t="shared" si="3"/>
        <v>5</v>
      </c>
      <c r="I35" s="98">
        <f t="shared" si="4"/>
        <v>2</v>
      </c>
      <c r="J35" s="99">
        <f t="shared" si="5"/>
        <v>50.629533944638823</v>
      </c>
      <c r="M35" s="108">
        <f>F35+G12</f>
        <v>5.0473970927623997</v>
      </c>
      <c r="N35" s="96" t="s">
        <v>1172</v>
      </c>
      <c r="O35" s="73"/>
    </row>
    <row r="36" spans="2:16" ht="14.25" customHeight="1">
      <c r="B36" s="72"/>
      <c r="C36" s="1002" t="s">
        <v>1174</v>
      </c>
      <c r="D36" s="846"/>
      <c r="E36" s="1003"/>
      <c r="F36" s="97">
        <f>F37-G15</f>
        <v>5.4835808129019226</v>
      </c>
      <c r="G36" s="96" t="s">
        <v>1171</v>
      </c>
      <c r="H36" s="98">
        <f t="shared" si="3"/>
        <v>5</v>
      </c>
      <c r="I36" s="98">
        <f t="shared" si="4"/>
        <v>29</v>
      </c>
      <c r="J36" s="99">
        <f t="shared" si="5"/>
        <v>0.89092644692122747</v>
      </c>
      <c r="M36" s="108">
        <f>F36+G12</f>
        <v>5.4835808129019226</v>
      </c>
      <c r="N36" s="96" t="s">
        <v>1172</v>
      </c>
      <c r="O36" s="73"/>
    </row>
    <row r="37" spans="2:16" ht="14.25" customHeight="1">
      <c r="B37" s="72"/>
      <c r="C37" s="1006" t="s">
        <v>1175</v>
      </c>
      <c r="D37" s="846"/>
      <c r="E37" s="846"/>
      <c r="F37" s="97">
        <f>F38-C15/15</f>
        <v>5.8584455732998686</v>
      </c>
      <c r="G37" s="96" t="s">
        <v>1171</v>
      </c>
      <c r="H37" s="98">
        <f t="shared" si="3"/>
        <v>5</v>
      </c>
      <c r="I37" s="98">
        <f t="shared" si="4"/>
        <v>51</v>
      </c>
      <c r="J37" s="99">
        <f t="shared" si="5"/>
        <v>30.404063879527143</v>
      </c>
      <c r="M37" s="108">
        <f>F37+G12</f>
        <v>5.8584455732998686</v>
      </c>
      <c r="N37" s="96" t="s">
        <v>1172</v>
      </c>
      <c r="O37" s="73"/>
    </row>
    <row r="38" spans="2:16" ht="14.25" customHeight="1">
      <c r="B38" s="72"/>
      <c r="C38" s="1006" t="s">
        <v>1176</v>
      </c>
      <c r="D38" s="846"/>
      <c r="E38" s="846"/>
      <c r="F38" s="97">
        <f>12-(F25/60)-(F21/15)</f>
        <v>11.918865623170664</v>
      </c>
      <c r="G38" s="96" t="s">
        <v>1171</v>
      </c>
      <c r="H38" s="98">
        <f t="shared" si="3"/>
        <v>11</v>
      </c>
      <c r="I38" s="98">
        <f t="shared" si="4"/>
        <v>55</v>
      </c>
      <c r="J38" s="99">
        <f t="shared" si="5"/>
        <v>7.9162434143896121</v>
      </c>
      <c r="K38" s="109"/>
      <c r="L38" s="81"/>
      <c r="M38" s="108">
        <f>F38+G12</f>
        <v>11.918865623170664</v>
      </c>
      <c r="N38" s="96" t="s">
        <v>1172</v>
      </c>
      <c r="O38" s="110"/>
      <c r="P38" s="81"/>
    </row>
    <row r="39" spans="2:16" ht="14.25" customHeight="1">
      <c r="B39" s="72"/>
      <c r="C39" s="1002" t="s">
        <v>1177</v>
      </c>
      <c r="D39" s="846"/>
      <c r="E39" s="1003"/>
      <c r="F39" s="97">
        <f>F38+C15/15</f>
        <v>17.97928567304146</v>
      </c>
      <c r="G39" s="96" t="s">
        <v>1171</v>
      </c>
      <c r="H39" s="98">
        <f t="shared" si="3"/>
        <v>17</v>
      </c>
      <c r="I39" s="98">
        <f t="shared" si="4"/>
        <v>58</v>
      </c>
      <c r="J39" s="99">
        <f t="shared" si="5"/>
        <v>45.428422949255491</v>
      </c>
      <c r="K39" s="109"/>
      <c r="L39" s="75"/>
      <c r="M39" s="108">
        <f>F39+G12</f>
        <v>17.97928567304146</v>
      </c>
      <c r="N39" s="96" t="s">
        <v>1172</v>
      </c>
      <c r="O39" s="110"/>
      <c r="P39" s="81"/>
    </row>
    <row r="40" spans="2:16" ht="14.25" customHeight="1">
      <c r="B40" s="72"/>
      <c r="C40" s="1002" t="s">
        <v>1178</v>
      </c>
      <c r="D40" s="846"/>
      <c r="E40" s="1003"/>
      <c r="F40" s="97">
        <f>F39+G15</f>
        <v>18.354150433439408</v>
      </c>
      <c r="G40" s="96" t="s">
        <v>1171</v>
      </c>
      <c r="H40" s="98">
        <f t="shared" si="3"/>
        <v>18</v>
      </c>
      <c r="I40" s="98">
        <f t="shared" si="4"/>
        <v>21</v>
      </c>
      <c r="J40" s="99">
        <f t="shared" si="5"/>
        <v>14.941560381867589</v>
      </c>
      <c r="K40" s="109"/>
      <c r="L40" s="111"/>
      <c r="M40" s="108">
        <f>F40+G12</f>
        <v>18.354150433439408</v>
      </c>
      <c r="N40" s="96" t="s">
        <v>1172</v>
      </c>
      <c r="O40" s="110"/>
      <c r="P40" s="81"/>
    </row>
    <row r="41" spans="2:16" ht="14.25" customHeight="1">
      <c r="B41" s="72"/>
      <c r="C41" s="1002" t="s">
        <v>1179</v>
      </c>
      <c r="D41" s="846"/>
      <c r="E41" s="1003"/>
      <c r="F41" s="97">
        <f>F39+H15</f>
        <v>18.790334153578929</v>
      </c>
      <c r="G41" s="96" t="s">
        <v>1171</v>
      </c>
      <c r="H41" s="98">
        <f t="shared" si="3"/>
        <v>18</v>
      </c>
      <c r="I41" s="98">
        <f t="shared" si="4"/>
        <v>47</v>
      </c>
      <c r="J41" s="99">
        <f t="shared" si="5"/>
        <v>25.202952884143599</v>
      </c>
      <c r="K41" s="109"/>
      <c r="L41" s="111"/>
      <c r="M41" s="108">
        <f>F41+G12</f>
        <v>18.790334153578929</v>
      </c>
      <c r="N41" s="96" t="s">
        <v>1172</v>
      </c>
      <c r="O41" s="110"/>
      <c r="P41" s="81"/>
    </row>
    <row r="42" spans="2:16" ht="14.25" customHeight="1">
      <c r="B42" s="72"/>
      <c r="C42" s="1002" t="s">
        <v>1180</v>
      </c>
      <c r="D42" s="846"/>
      <c r="E42" s="1003"/>
      <c r="F42" s="97">
        <f>F39+I15</f>
        <v>19.228416159072385</v>
      </c>
      <c r="G42" s="96" t="s">
        <v>1171</v>
      </c>
      <c r="H42" s="98">
        <f t="shared" si="3"/>
        <v>19</v>
      </c>
      <c r="I42" s="98">
        <f t="shared" si="4"/>
        <v>13</v>
      </c>
      <c r="J42" s="99">
        <f t="shared" si="5"/>
        <v>42.29817266058518</v>
      </c>
      <c r="K42" s="109"/>
      <c r="L42" s="81"/>
      <c r="M42" s="108">
        <f>F42+G12</f>
        <v>19.228416159072385</v>
      </c>
      <c r="N42" s="96" t="s">
        <v>1172</v>
      </c>
      <c r="O42" s="110"/>
      <c r="P42" s="81"/>
    </row>
    <row r="43" spans="2:16">
      <c r="B43" s="72"/>
      <c r="F43" s="112"/>
      <c r="G43" s="112"/>
      <c r="H43" s="81"/>
      <c r="O43" s="73"/>
    </row>
    <row r="44" spans="2:16" ht="14.25" customHeight="1">
      <c r="B44" s="72"/>
      <c r="C44" s="1002" t="s">
        <v>1181</v>
      </c>
      <c r="D44" s="846"/>
      <c r="E44" s="1003"/>
      <c r="F44" s="113">
        <f>F39-F37</f>
        <v>12.120840099741592</v>
      </c>
      <c r="G44" s="96" t="s">
        <v>1171</v>
      </c>
      <c r="H44" s="98">
        <f>TRUNC(F44)</f>
        <v>12</v>
      </c>
      <c r="I44" s="98">
        <f>TRUNC((F44-H44)*60)</f>
        <v>7</v>
      </c>
      <c r="J44" s="99">
        <f>(((F44-H44)*60)-I44)*60</f>
        <v>15.024359069731759</v>
      </c>
      <c r="M44" s="108">
        <f>F44+G12</f>
        <v>12.120840099741592</v>
      </c>
      <c r="N44" s="96" t="s">
        <v>1172</v>
      </c>
      <c r="O44" s="73"/>
    </row>
    <row r="45" spans="2:16" ht="14.25" customHeight="1">
      <c r="B45" s="72"/>
      <c r="C45" s="1002" t="s">
        <v>1182</v>
      </c>
      <c r="D45" s="846"/>
      <c r="E45" s="1003"/>
      <c r="F45" s="125">
        <f>24-F44</f>
        <v>11.879159900258408</v>
      </c>
      <c r="G45" s="96" t="s">
        <v>1171</v>
      </c>
      <c r="H45" s="98">
        <f>TRUNC(F45)</f>
        <v>11</v>
      </c>
      <c r="I45" s="98">
        <f>TRUNC((F45-H45)*60)</f>
        <v>52</v>
      </c>
      <c r="J45" s="99">
        <f>(((F45-H45)*60)-I45)*60</f>
        <v>44.975640930268241</v>
      </c>
      <c r="M45" s="108">
        <f>F45+G12</f>
        <v>11.879159900258408</v>
      </c>
      <c r="N45" s="96" t="s">
        <v>1172</v>
      </c>
      <c r="O45" s="73"/>
    </row>
    <row r="46" spans="2:16" ht="14.25" customHeight="1">
      <c r="B46" s="72"/>
      <c r="C46" s="1002" t="s">
        <v>1183</v>
      </c>
      <c r="D46" s="846"/>
      <c r="E46" s="1003"/>
      <c r="F46" s="113">
        <f>(F39+G15)-(F37-G15)</f>
        <v>12.870569620537484</v>
      </c>
      <c r="G46" s="96" t="s">
        <v>1171</v>
      </c>
      <c r="H46" s="98">
        <f>TRUNC(F46)</f>
        <v>12</v>
      </c>
      <c r="I46" s="98">
        <f>TRUNC((F46-H46)*60)</f>
        <v>52</v>
      </c>
      <c r="J46" s="99">
        <f>(((F46-H46)*60)-I46)*60</f>
        <v>14.050633934943164</v>
      </c>
      <c r="M46" s="108">
        <f>F46+G12</f>
        <v>12.870569620537484</v>
      </c>
      <c r="N46" s="96" t="s">
        <v>1172</v>
      </c>
      <c r="O46" s="73"/>
    </row>
    <row r="47" spans="2:16" ht="14.25" customHeight="1">
      <c r="B47" s="72"/>
      <c r="C47" s="1006" t="s">
        <v>1184</v>
      </c>
      <c r="D47" s="846"/>
      <c r="E47" s="846"/>
      <c r="F47" s="97">
        <f>24-(F39+I15)+(F37-I15)</f>
        <v>9.380898928196558</v>
      </c>
      <c r="G47" s="96" t="s">
        <v>1171</v>
      </c>
      <c r="H47" s="98">
        <f>TRUNC(F47)</f>
        <v>9</v>
      </c>
      <c r="I47" s="98">
        <f>TRUNC((F47-H47)*60)</f>
        <v>22</v>
      </c>
      <c r="J47" s="99">
        <f>(((F47-H47)*60)-I47)*60</f>
        <v>51.236141507608863</v>
      </c>
      <c r="M47" s="108">
        <f>F47+G12</f>
        <v>9.380898928196558</v>
      </c>
      <c r="N47" s="96" t="s">
        <v>1172</v>
      </c>
      <c r="O47" s="73"/>
    </row>
    <row r="48" spans="2:16" ht="14.25" customHeight="1">
      <c r="B48" s="72"/>
      <c r="C48" s="76"/>
      <c r="D48" s="76"/>
      <c r="E48" s="76"/>
      <c r="F48" s="114"/>
      <c r="G48" s="96"/>
      <c r="H48" s="98"/>
      <c r="I48" s="98"/>
      <c r="J48" s="99"/>
      <c r="M48" s="106"/>
      <c r="N48" s="96"/>
      <c r="O48" s="73"/>
    </row>
    <row r="49" spans="2:15" ht="14.25" customHeight="1">
      <c r="B49" s="1007" t="s">
        <v>1185</v>
      </c>
      <c r="C49" s="846"/>
      <c r="D49" s="846"/>
      <c r="E49" s="846"/>
      <c r="F49" s="846"/>
      <c r="G49" s="846"/>
      <c r="H49" s="846"/>
      <c r="I49" s="846"/>
      <c r="J49" s="846"/>
      <c r="K49" s="846"/>
      <c r="L49" s="846"/>
      <c r="M49" s="846"/>
      <c r="N49" s="846"/>
      <c r="O49" s="1008"/>
    </row>
    <row r="50" spans="2:15" ht="14.25" customHeight="1">
      <c r="B50" s="72"/>
      <c r="C50" s="76"/>
      <c r="D50" s="76"/>
      <c r="E50" s="76"/>
      <c r="F50" s="114"/>
      <c r="G50" s="96"/>
      <c r="H50" s="98"/>
      <c r="I50" s="98"/>
      <c r="J50" s="99"/>
      <c r="M50" s="106"/>
      <c r="N50" s="96"/>
      <c r="O50" s="73"/>
    </row>
    <row r="51" spans="2:15">
      <c r="B51" s="72"/>
      <c r="H51" s="79" t="s">
        <v>1149</v>
      </c>
      <c r="I51" s="79" t="s">
        <v>1150</v>
      </c>
      <c r="J51" s="79" t="s">
        <v>1151</v>
      </c>
      <c r="O51" s="73"/>
    </row>
    <row r="52" spans="2:15" ht="14.25" customHeight="1">
      <c r="B52" s="72"/>
      <c r="C52" s="1002" t="s">
        <v>1170</v>
      </c>
      <c r="D52" s="846"/>
      <c r="E52" s="1003"/>
      <c r="F52" s="97">
        <f>F55-I16</f>
        <v>4.6093150872689437</v>
      </c>
      <c r="G52" s="96" t="s">
        <v>1171</v>
      </c>
      <c r="H52" s="98">
        <f t="shared" ref="H52:H60" si="6">TRUNC(F52)</f>
        <v>4</v>
      </c>
      <c r="I52" s="98">
        <f t="shared" ref="I52:I60" si="7">TRUNC((F52-H52)*60)</f>
        <v>36</v>
      </c>
      <c r="J52" s="99">
        <f t="shared" ref="J52:J60" si="8">(((F52-H52)*60)-I52)*60</f>
        <v>33.534314168197454</v>
      </c>
      <c r="M52" s="108">
        <f>F52+G12</f>
        <v>4.6093150872689437</v>
      </c>
      <c r="N52" s="96" t="s">
        <v>1172</v>
      </c>
      <c r="O52" s="73"/>
    </row>
    <row r="53" spans="2:15" ht="14.25" customHeight="1">
      <c r="B53" s="72"/>
      <c r="C53" s="1002" t="s">
        <v>1173</v>
      </c>
      <c r="D53" s="846"/>
      <c r="E53" s="1003"/>
      <c r="F53" s="97">
        <f>F55-H16</f>
        <v>5.0473970927623997</v>
      </c>
      <c r="G53" s="96" t="s">
        <v>1171</v>
      </c>
      <c r="H53" s="98">
        <f t="shared" si="6"/>
        <v>5</v>
      </c>
      <c r="I53" s="98">
        <f t="shared" si="7"/>
        <v>2</v>
      </c>
      <c r="J53" s="99">
        <f t="shared" si="8"/>
        <v>50.629533944638823</v>
      </c>
      <c r="M53" s="108">
        <f>F53+G12</f>
        <v>5.0473970927623997</v>
      </c>
      <c r="N53" s="96" t="s">
        <v>1172</v>
      </c>
      <c r="O53" s="73"/>
    </row>
    <row r="54" spans="2:15" ht="14.25" customHeight="1">
      <c r="B54" s="72"/>
      <c r="C54" s="1002" t="s">
        <v>1174</v>
      </c>
      <c r="D54" s="846"/>
      <c r="E54" s="1003"/>
      <c r="F54" s="97">
        <f>F55-G16</f>
        <v>5.4835808129019226</v>
      </c>
      <c r="G54" s="96" t="s">
        <v>1171</v>
      </c>
      <c r="H54" s="98">
        <f t="shared" si="6"/>
        <v>5</v>
      </c>
      <c r="I54" s="98">
        <f t="shared" si="7"/>
        <v>29</v>
      </c>
      <c r="J54" s="99">
        <f t="shared" si="8"/>
        <v>0.89092644692122747</v>
      </c>
      <c r="M54" s="108">
        <f>F54+G12</f>
        <v>5.4835808129019226</v>
      </c>
      <c r="N54" s="96" t="s">
        <v>1172</v>
      </c>
      <c r="O54" s="73"/>
    </row>
    <row r="55" spans="2:15" ht="14.25" customHeight="1">
      <c r="B55" s="72"/>
      <c r="C55" s="1006" t="s">
        <v>1175</v>
      </c>
      <c r="D55" s="846"/>
      <c r="E55" s="846"/>
      <c r="F55" s="97">
        <f>F56-C16/15</f>
        <v>5.9188656231706638</v>
      </c>
      <c r="G55" s="96" t="s">
        <v>1171</v>
      </c>
      <c r="H55" s="98">
        <f t="shared" si="6"/>
        <v>5</v>
      </c>
      <c r="I55" s="98">
        <f t="shared" si="7"/>
        <v>55</v>
      </c>
      <c r="J55" s="99">
        <f t="shared" si="8"/>
        <v>7.9162434143896121</v>
      </c>
      <c r="M55" s="108">
        <f>F55+G12</f>
        <v>5.9188656231706638</v>
      </c>
      <c r="N55" s="96" t="s">
        <v>1172</v>
      </c>
      <c r="O55" s="73"/>
    </row>
    <row r="56" spans="2:15" ht="14.25" customHeight="1">
      <c r="B56" s="72"/>
      <c r="C56" s="1006" t="s">
        <v>1176</v>
      </c>
      <c r="D56" s="846"/>
      <c r="E56" s="846"/>
      <c r="F56" s="97">
        <f>12-(F25/60)-(F21/15)</f>
        <v>11.918865623170664</v>
      </c>
      <c r="G56" s="96" t="s">
        <v>1171</v>
      </c>
      <c r="H56" s="98">
        <f t="shared" si="6"/>
        <v>11</v>
      </c>
      <c r="I56" s="98">
        <f t="shared" si="7"/>
        <v>55</v>
      </c>
      <c r="J56" s="99">
        <f t="shared" si="8"/>
        <v>7.9162434143896121</v>
      </c>
      <c r="K56" s="109"/>
      <c r="L56" s="81"/>
      <c r="M56" s="108">
        <f>F56+G12</f>
        <v>11.918865623170664</v>
      </c>
      <c r="N56" s="96" t="s">
        <v>1172</v>
      </c>
      <c r="O56" s="73"/>
    </row>
    <row r="57" spans="2:15" ht="14.25" customHeight="1">
      <c r="B57" s="72"/>
      <c r="C57" s="1002" t="s">
        <v>1177</v>
      </c>
      <c r="D57" s="846"/>
      <c r="E57" s="1003"/>
      <c r="F57" s="97">
        <f>F56+C16/15</f>
        <v>17.918865623170664</v>
      </c>
      <c r="G57" s="96" t="s">
        <v>1171</v>
      </c>
      <c r="H57" s="98">
        <f t="shared" si="6"/>
        <v>17</v>
      </c>
      <c r="I57" s="98">
        <f t="shared" si="7"/>
        <v>55</v>
      </c>
      <c r="J57" s="99">
        <f t="shared" si="8"/>
        <v>7.9162434143896121</v>
      </c>
      <c r="K57" s="109"/>
      <c r="L57" s="75"/>
      <c r="M57" s="108">
        <f>F57+G12</f>
        <v>17.918865623170664</v>
      </c>
      <c r="N57" s="96" t="s">
        <v>1172</v>
      </c>
      <c r="O57" s="73"/>
    </row>
    <row r="58" spans="2:15" ht="14.25" customHeight="1">
      <c r="B58" s="72"/>
      <c r="C58" s="1002" t="s">
        <v>1178</v>
      </c>
      <c r="D58" s="846"/>
      <c r="E58" s="1003"/>
      <c r="F58" s="97">
        <f>F57+G16</f>
        <v>18.354150433439404</v>
      </c>
      <c r="G58" s="96" t="s">
        <v>1171</v>
      </c>
      <c r="H58" s="98">
        <f t="shared" si="6"/>
        <v>18</v>
      </c>
      <c r="I58" s="98">
        <f t="shared" si="7"/>
        <v>21</v>
      </c>
      <c r="J58" s="99">
        <f t="shared" si="8"/>
        <v>14.941560381854799</v>
      </c>
      <c r="K58" s="109"/>
      <c r="L58" s="111"/>
      <c r="M58" s="108">
        <f>F58+G12</f>
        <v>18.354150433439404</v>
      </c>
      <c r="N58" s="96" t="s">
        <v>1172</v>
      </c>
      <c r="O58" s="73"/>
    </row>
    <row r="59" spans="2:15" ht="14.25" customHeight="1">
      <c r="B59" s="72"/>
      <c r="C59" s="1002" t="s">
        <v>1179</v>
      </c>
      <c r="D59" s="846"/>
      <c r="E59" s="1003"/>
      <c r="F59" s="97">
        <f>F57+H16</f>
        <v>18.790334153578929</v>
      </c>
      <c r="G59" s="96" t="s">
        <v>1171</v>
      </c>
      <c r="H59" s="98">
        <f t="shared" si="6"/>
        <v>18</v>
      </c>
      <c r="I59" s="98">
        <f t="shared" si="7"/>
        <v>47</v>
      </c>
      <c r="J59" s="99">
        <f t="shared" si="8"/>
        <v>25.202952884143599</v>
      </c>
      <c r="K59" s="109"/>
      <c r="L59" s="111"/>
      <c r="M59" s="108">
        <f>F59+G12</f>
        <v>18.790334153578929</v>
      </c>
      <c r="N59" s="96" t="s">
        <v>1172</v>
      </c>
      <c r="O59" s="73"/>
    </row>
    <row r="60" spans="2:15" ht="14.25" customHeight="1">
      <c r="B60" s="72"/>
      <c r="C60" s="1002" t="s">
        <v>1180</v>
      </c>
      <c r="D60" s="846"/>
      <c r="E60" s="1003"/>
      <c r="F60" s="97">
        <f>F57+I16</f>
        <v>19.228416159072385</v>
      </c>
      <c r="G60" s="96" t="s">
        <v>1171</v>
      </c>
      <c r="H60" s="98">
        <f t="shared" si="6"/>
        <v>19</v>
      </c>
      <c r="I60" s="98">
        <f t="shared" si="7"/>
        <v>13</v>
      </c>
      <c r="J60" s="99">
        <f t="shared" si="8"/>
        <v>42.29817266058518</v>
      </c>
      <c r="K60" s="109"/>
      <c r="L60" s="81"/>
      <c r="M60" s="108">
        <f>F60+G12</f>
        <v>19.228416159072385</v>
      </c>
      <c r="N60" s="96" t="s">
        <v>1172</v>
      </c>
      <c r="O60" s="73"/>
    </row>
    <row r="61" spans="2:15">
      <c r="B61" s="72"/>
      <c r="F61" s="112"/>
      <c r="G61" s="112"/>
      <c r="H61" s="81"/>
      <c r="O61" s="73"/>
    </row>
    <row r="62" spans="2:15" ht="14.25" customHeight="1">
      <c r="B62" s="72"/>
      <c r="C62" s="1002" t="s">
        <v>1181</v>
      </c>
      <c r="D62" s="846"/>
      <c r="E62" s="1003"/>
      <c r="F62" s="113">
        <f>F57-F55</f>
        <v>12</v>
      </c>
      <c r="G62" s="96" t="s">
        <v>1171</v>
      </c>
      <c r="H62" s="98">
        <f>TRUNC(F62)</f>
        <v>12</v>
      </c>
      <c r="I62" s="98">
        <f>TRUNC((F62-H62)*60)</f>
        <v>0</v>
      </c>
      <c r="J62" s="99">
        <f>(((F62-H62)*60)-I62)*60</f>
        <v>0</v>
      </c>
      <c r="M62" s="108">
        <f>F62+G12</f>
        <v>12</v>
      </c>
      <c r="N62" s="96" t="s">
        <v>1172</v>
      </c>
      <c r="O62" s="73"/>
    </row>
    <row r="63" spans="2:15" ht="14.25" customHeight="1">
      <c r="B63" s="72"/>
      <c r="C63" s="1002" t="s">
        <v>1182</v>
      </c>
      <c r="D63" s="846"/>
      <c r="E63" s="1003"/>
      <c r="F63" s="113">
        <f>24-F62</f>
        <v>12</v>
      </c>
      <c r="G63" s="96" t="s">
        <v>1171</v>
      </c>
      <c r="H63" s="98">
        <f>TRUNC(F63)</f>
        <v>12</v>
      </c>
      <c r="I63" s="98">
        <f>TRUNC((F63-H63)*60)</f>
        <v>0</v>
      </c>
      <c r="J63" s="99">
        <f>(((F63-H63)*60)-I63)*60</f>
        <v>0</v>
      </c>
      <c r="M63" s="108">
        <f>F63+G12</f>
        <v>12</v>
      </c>
      <c r="N63" s="96" t="s">
        <v>1172</v>
      </c>
      <c r="O63" s="73"/>
    </row>
    <row r="64" spans="2:15" ht="14.25" customHeight="1">
      <c r="B64" s="72"/>
      <c r="C64" s="1002" t="s">
        <v>1183</v>
      </c>
      <c r="D64" s="846"/>
      <c r="E64" s="1003"/>
      <c r="F64" s="113">
        <f>(F57+G16)-(F55-G16)</f>
        <v>12.870569620537481</v>
      </c>
      <c r="G64" s="96" t="s">
        <v>1171</v>
      </c>
      <c r="H64" s="98">
        <f>TRUNC(F64)</f>
        <v>12</v>
      </c>
      <c r="I64" s="98">
        <f>TRUNC((F64-H64)*60)</f>
        <v>52</v>
      </c>
      <c r="J64" s="99">
        <f>(((F64-H64)*60)-I64)*60</f>
        <v>14.050633934930374</v>
      </c>
      <c r="M64" s="108">
        <f>F64+G12</f>
        <v>12.870569620537481</v>
      </c>
      <c r="N64" s="96" t="s">
        <v>1172</v>
      </c>
      <c r="O64" s="73"/>
    </row>
    <row r="65" spans="2:15" ht="14.25" customHeight="1">
      <c r="B65" s="72"/>
      <c r="C65" s="1006" t="s">
        <v>1184</v>
      </c>
      <c r="D65" s="846"/>
      <c r="E65" s="846"/>
      <c r="F65" s="97">
        <f>24-(F57+I16)+(F55-I16)</f>
        <v>9.380898928196558</v>
      </c>
      <c r="G65" s="96" t="s">
        <v>1171</v>
      </c>
      <c r="H65" s="98">
        <f>TRUNC(F65)</f>
        <v>9</v>
      </c>
      <c r="I65" s="98">
        <f>TRUNC((F65-H65)*60)</f>
        <v>22</v>
      </c>
      <c r="J65" s="99">
        <f>(((F65-H65)*60)-I65)*60</f>
        <v>51.236141507608863</v>
      </c>
      <c r="M65" s="108">
        <f>F65+G12</f>
        <v>9.380898928196558</v>
      </c>
      <c r="N65" s="96" t="s">
        <v>1172</v>
      </c>
      <c r="O65" s="73"/>
    </row>
    <row r="66" spans="2:15" ht="14.25" customHeight="1">
      <c r="B66" s="72"/>
      <c r="C66" s="76"/>
      <c r="D66" s="76"/>
      <c r="E66" s="76"/>
      <c r="F66" s="115"/>
      <c r="G66" s="96"/>
      <c r="H66" s="116"/>
      <c r="I66" s="116"/>
      <c r="J66" s="98"/>
      <c r="O66" s="73"/>
    </row>
    <row r="67" spans="2:15">
      <c r="B67" s="72"/>
      <c r="C67" s="1015" t="s">
        <v>1186</v>
      </c>
      <c r="D67" s="846"/>
      <c r="E67" s="846"/>
      <c r="G67" s="81"/>
      <c r="H67" s="81"/>
      <c r="J67" s="1014" t="s">
        <v>1187</v>
      </c>
      <c r="K67" s="846"/>
      <c r="L67" s="846"/>
      <c r="M67" s="846"/>
      <c r="N67" s="846"/>
      <c r="O67" s="73"/>
    </row>
    <row r="68" spans="2:15" ht="13.5" customHeight="1" thickBot="1">
      <c r="B68" s="117"/>
      <c r="C68" s="118"/>
      <c r="D68" s="118"/>
      <c r="E68" s="119"/>
      <c r="F68" s="120"/>
      <c r="G68" s="120"/>
      <c r="H68" s="121"/>
      <c r="I68" s="118"/>
      <c r="J68" s="118"/>
      <c r="K68" s="118"/>
      <c r="L68" s="118"/>
      <c r="M68" s="118"/>
      <c r="N68" s="118"/>
      <c r="O68" s="122"/>
    </row>
    <row r="69" spans="2:15">
      <c r="E69" s="139"/>
      <c r="F69" s="112"/>
      <c r="G69" s="112"/>
      <c r="H69" s="81"/>
    </row>
  </sheetData>
  <sheetProtection algorithmName="SHA-512" hashValue="Rm+DxZoYPm5pjcems8u8LaYsPjaGFAEmleYRqgmHojGpW5RYIXDsDXR++R3x677u98IWeU/6tZz+/lNPYaC9WQ==" saltValue="tGzuNl+H2I4jhUTWADsn3w==" spinCount="100000" sheet="1" objects="1" scenarios="1"/>
  <mergeCells count="47">
    <mergeCell ref="J67:N67"/>
    <mergeCell ref="C67:E67"/>
    <mergeCell ref="C63:E63"/>
    <mergeCell ref="C64:E64"/>
    <mergeCell ref="C65:E65"/>
    <mergeCell ref="C59:E59"/>
    <mergeCell ref="C21:E21"/>
    <mergeCell ref="C28:F28"/>
    <mergeCell ref="C46:E46"/>
    <mergeCell ref="C18:E18"/>
    <mergeCell ref="C54:E54"/>
    <mergeCell ref="C44:E44"/>
    <mergeCell ref="C41:E41"/>
    <mergeCell ref="C55:E55"/>
    <mergeCell ref="C40:E40"/>
    <mergeCell ref="C57:E57"/>
    <mergeCell ref="C53:E53"/>
    <mergeCell ref="C29:F29"/>
    <mergeCell ref="K15:L15"/>
    <mergeCell ref="I14:J14"/>
    <mergeCell ref="C56:E56"/>
    <mergeCell ref="C25:E25"/>
    <mergeCell ref="E4:L4"/>
    <mergeCell ref="C36:E36"/>
    <mergeCell ref="C52:E52"/>
    <mergeCell ref="C23:E23"/>
    <mergeCell ref="C39:E39"/>
    <mergeCell ref="C30:F30"/>
    <mergeCell ref="C38:E38"/>
    <mergeCell ref="C19:E19"/>
    <mergeCell ref="C37:E37"/>
    <mergeCell ref="C3:N3"/>
    <mergeCell ref="C34:E34"/>
    <mergeCell ref="K14:L14"/>
    <mergeCell ref="C62:E62"/>
    <mergeCell ref="C42:E42"/>
    <mergeCell ref="C58:E58"/>
    <mergeCell ref="C31:F31"/>
    <mergeCell ref="B49:O49"/>
    <mergeCell ref="C45:E45"/>
    <mergeCell ref="B5:O5"/>
    <mergeCell ref="F14:G14"/>
    <mergeCell ref="C35:E35"/>
    <mergeCell ref="C27:F27"/>
    <mergeCell ref="C47:E47"/>
    <mergeCell ref="I12:N12"/>
    <mergeCell ref="C60:E60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27</vt:i4>
      </vt:variant>
      <vt:variant>
        <vt:lpstr>Intervalli denominati</vt:lpstr>
      </vt:variant>
      <vt:variant>
        <vt:i4>21</vt:i4>
      </vt:variant>
    </vt:vector>
  </HeadingPairs>
  <TitlesOfParts>
    <vt:vector size="48" baseType="lpstr">
      <vt:lpstr>INSER. DATI</vt:lpstr>
      <vt:lpstr>DATI</vt:lpstr>
      <vt:lpstr>STAMPA</vt:lpstr>
      <vt:lpstr>X OK</vt:lpstr>
      <vt:lpstr>x inserimento dati fissi</vt:lpstr>
      <vt:lpstr>X CODICI PORTATE</vt:lpstr>
      <vt:lpstr>CARATTERISTICHE</vt:lpstr>
      <vt:lpstr>Foglio1</vt:lpstr>
      <vt:lpstr>IA</vt:lpstr>
      <vt:lpstr>radiazione</vt:lpstr>
      <vt:lpstr>porti ITA</vt:lpstr>
      <vt:lpstr>note</vt:lpstr>
      <vt:lpstr>ore di buio</vt:lpstr>
      <vt:lpstr>X STAM  PDF</vt:lpstr>
      <vt:lpstr>STAMPA OK POINT</vt:lpstr>
      <vt:lpstr>gen</vt:lpstr>
      <vt:lpstr>feb</vt:lpstr>
      <vt:lpstr>mar</vt:lpstr>
      <vt:lpstr>apr</vt:lpstr>
      <vt:lpstr>mag</vt:lpstr>
      <vt:lpstr>giu</vt:lpstr>
      <vt:lpstr>lug</vt:lpstr>
      <vt:lpstr>ago</vt:lpstr>
      <vt:lpstr>set</vt:lpstr>
      <vt:lpstr>ott</vt:lpstr>
      <vt:lpstr>nov</vt:lpstr>
      <vt:lpstr>dic</vt:lpstr>
      <vt:lpstr>Foglio1!Area_stampa</vt:lpstr>
      <vt:lpstr>STAMPA!Area_stampa</vt:lpstr>
      <vt:lpstr>'STAMPA OK POINT'!Area_stampa</vt:lpstr>
      <vt:lpstr>'X CODICI PORTATE'!Area_stampa</vt:lpstr>
      <vt:lpstr>'X STAM  PDF'!Area_stampa</vt:lpstr>
      <vt:lpstr>DATI!CL_101</vt:lpstr>
      <vt:lpstr>DATI!CL_201</vt:lpstr>
      <vt:lpstr>DATI!CL_299</vt:lpstr>
      <vt:lpstr>DATI!CL_299__H</vt:lpstr>
      <vt:lpstr>DATI!CL_301</vt:lpstr>
      <vt:lpstr>DATI!CL_301_H</vt:lpstr>
      <vt:lpstr>DATI!CL_350</vt:lpstr>
      <vt:lpstr>DATI!CL_401</vt:lpstr>
      <vt:lpstr>DATI!CL_401_H</vt:lpstr>
      <vt:lpstr>DATI!CL_450</vt:lpstr>
      <vt:lpstr>COLORE</vt:lpstr>
      <vt:lpstr>Localita1</vt:lpstr>
      <vt:lpstr>portate</vt:lpstr>
      <vt:lpstr>STAMPA!V.LAMP</vt:lpstr>
      <vt:lpstr>'STAMPA OK POINT'!V.LAMP</vt:lpstr>
      <vt:lpstr>'X STAM  PDF'!V.LAMP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EmmeKappa</dc:creator>
  <cp:lastModifiedBy>maurizio marchionni</cp:lastModifiedBy>
  <cp:lastPrinted>2026-04-26T20:26:34Z</cp:lastPrinted>
  <dcterms:created xsi:type="dcterms:W3CDTF">2001-06-02T16:12:19Z</dcterms:created>
  <dcterms:modified xsi:type="dcterms:W3CDTF">2026-04-26T20:26:47Z</dcterms:modified>
</cp:coreProperties>
</file>